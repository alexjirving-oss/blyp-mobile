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Executive Summary" sheetId="2" state="visible" r:id="rId2"/>
    <sheet xmlns:r="http://schemas.openxmlformats.org/officeDocument/2006/relationships" name="Feature Register" sheetId="3" state="visible" r:id="rId3"/>
    <sheet xmlns:r="http://schemas.openxmlformats.org/officeDocument/2006/relationships" name="Evidence Ledger" sheetId="4" state="visible" r:id="rId4"/>
    <sheet xmlns:r="http://schemas.openxmlformats.org/officeDocument/2006/relationships" name="Runtime Paths" sheetId="5" state="visible" r:id="rId5"/>
    <sheet xmlns:r="http://schemas.openxmlformats.org/officeDocument/2006/relationships" name="Component Map" sheetId="6" state="visible" r:id="rId6"/>
    <sheet xmlns:r="http://schemas.openxmlformats.org/officeDocument/2006/relationships" name="Production Gates" sheetId="7" state="visible" r:id="rId7"/>
    <sheet xmlns:r="http://schemas.openxmlformats.org/officeDocument/2006/relationships" name="Sources &amp; Revisions" sheetId="8" state="visible" r:id="rId8"/>
    <sheet xmlns:r="http://schemas.openxmlformats.org/officeDocument/2006/relationships" name="Decisions &amp; Changes" sheetId="9" state="visible" r:id="rId9"/>
    <sheet xmlns:r="http://schemas.openxmlformats.org/officeDocument/2006/relationships" name="Lists" sheetId="10" state="hidden" r:id="rId10"/>
  </sheets>
  <definedNames>
    <definedName name="_xlnm._FilterDatabase" localSheetId="2" hidden="1">'Feature Register'!$A$1:$BL$634</definedName>
    <definedName name="_xlnm._FilterDatabase" localSheetId="3" hidden="1">'Evidence Ledger'!$A$1:$K$313</definedName>
    <definedName name="_xlnm._FilterDatabase" localSheetId="4" hidden="1">'Runtime Paths'!$A$1:$N$19</definedName>
    <definedName name="_xlnm._FilterDatabase" localSheetId="5" hidden="1">'Component Map'!$A$1:$M$21</definedName>
    <definedName name="_xlnm._FilterDatabase" localSheetId="7" hidden="1">'Sources &amp; Revisions'!$A$1:$F$12</definedName>
    <definedName name="_xlnm._FilterDatabase" localSheetId="8" hidden="1">'Decisions &amp; Changes'!$A$1:$H$6</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Aptos Display"/>
      <b val="1"/>
      <color rgb="00F4F7F7"/>
      <sz val="28"/>
    </font>
    <font>
      <name val="Aptos"/>
      <i val="1"/>
      <color rgb="0039E6D3"/>
      <sz val="12"/>
    </font>
    <font>
      <name val="Aptos"/>
      <b val="1"/>
      <color rgb="00080B0C"/>
    </font>
    <font>
      <name val="Aptos"/>
      <color rgb="001C2627"/>
      <sz val="10"/>
    </font>
    <font>
      <name val="Aptos"/>
      <b val="1"/>
      <color rgb="00F4F7F7"/>
      <sz val="10"/>
    </font>
    <font>
      <name val="Aptos"/>
      <color rgb="001C2627"/>
      <sz val="9"/>
    </font>
    <font>
      <name val="Aptos"/>
      <color rgb="00007A70"/>
      <sz val="9"/>
      <u val="single"/>
    </font>
    <font>
      <name val="Aptos Display"/>
      <b val="1"/>
      <color rgb="00F4F7F7"/>
      <sz val="24"/>
    </font>
    <font>
      <name val="Aptos"/>
      <i val="1"/>
      <color rgb="0039E6D3"/>
      <sz val="11"/>
    </font>
    <font>
      <name val="Aptos"/>
      <b val="1"/>
      <color rgb="00A7B2B2"/>
      <sz val="9"/>
    </font>
    <font>
      <name val="Aptos Display"/>
      <b val="1"/>
      <color rgb="0039E6D3"/>
      <sz val="24"/>
    </font>
    <font>
      <name val="Aptos Display"/>
      <b val="1"/>
      <color rgb="0062A8FF"/>
      <sz val="24"/>
    </font>
    <font>
      <name val="Aptos Display"/>
      <b val="1"/>
      <color rgb="00F4B860"/>
      <sz val="24"/>
    </font>
    <font>
      <name val="Aptos Display"/>
      <b val="1"/>
      <color rgb="0068D391"/>
      <sz val="24"/>
    </font>
    <font>
      <name val="Aptos Display"/>
      <b val="1"/>
      <color rgb="00B79BFF"/>
      <sz val="24"/>
    </font>
    <font>
      <name val="Aptos Display"/>
      <b val="1"/>
      <color rgb="00FF6B6B"/>
      <sz val="24"/>
    </font>
    <font>
      <name val="Aptos"/>
      <b val="1"/>
      <color rgb="00FF6B6B"/>
      <sz val="11"/>
    </font>
    <font>
      <name val="Aptos Display"/>
      <b val="1"/>
      <color rgb="0039E6D3"/>
      <sz val="13"/>
    </font>
    <font>
      <name val="Aptos"/>
      <b val="1"/>
      <color rgb="00080B0C"/>
      <sz val="9"/>
    </font>
    <font>
      <name val="Aptos"/>
      <b val="1"/>
      <color rgb="00F4F7F7"/>
      <sz val="9"/>
    </font>
  </fonts>
  <fills count="17">
    <fill>
      <patternFill/>
    </fill>
    <fill>
      <patternFill patternType="gray125"/>
    </fill>
    <fill>
      <patternFill patternType="solid">
        <fgColor rgb="00080B0C"/>
      </patternFill>
    </fill>
    <fill>
      <patternFill patternType="solid">
        <fgColor rgb="0039E6D3"/>
      </patternFill>
    </fill>
    <fill>
      <patternFill patternType="solid">
        <fgColor rgb="00FFFFFF"/>
      </patternFill>
    </fill>
    <fill>
      <patternFill patternType="solid">
        <fgColor rgb="00111718"/>
      </patternFill>
    </fill>
    <fill>
      <patternFill patternType="solid">
        <fgColor rgb="00332023"/>
      </patternFill>
    </fill>
    <fill>
      <patternFill patternType="solid">
        <fgColor rgb="0068D391"/>
      </patternFill>
    </fill>
    <fill>
      <patternFill patternType="solid">
        <fgColor rgb="00F4B860"/>
      </patternFill>
    </fill>
    <fill>
      <patternFill patternType="solid">
        <fgColor rgb="0062A8FF"/>
      </patternFill>
    </fill>
    <fill>
      <patternFill patternType="solid">
        <fgColor rgb="00B79BFF"/>
      </patternFill>
    </fill>
    <fill>
      <patternFill patternType="solid">
        <fgColor rgb="00FF6B6B"/>
      </patternFill>
    </fill>
    <fill>
      <patternFill patternType="solid">
        <fgColor rgb="006E7B7C"/>
      </patternFill>
    </fill>
    <fill>
      <patternFill patternType="solid">
        <fgColor rgb="009AA3A3"/>
      </patternFill>
    </fill>
    <fill>
      <patternFill patternType="solid">
        <fgColor rgb="00C6CECE"/>
      </patternFill>
    </fill>
    <fill>
      <patternFill patternType="solid">
        <fgColor rgb="009BC6C0"/>
      </patternFill>
    </fill>
    <fill>
      <patternFill patternType="solid">
        <fgColor rgb="00DDE3E2"/>
      </patternFill>
    </fill>
  </fills>
  <borders count="3">
    <border>
      <left/>
      <right/>
      <top/>
      <bottom/>
      <diagonal/>
    </border>
    <border>
      <bottom style="thin">
        <color rgb="00D8E0DF"/>
      </bottom>
    </border>
    <border>
      <bottom style="medium">
        <color rgb="0039E6D3"/>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9" fillId="2" borderId="0" applyAlignment="1" pivotButton="0" quotePrefix="0" xfId="0">
      <alignment vertical="center"/>
    </xf>
    <xf numFmtId="0" fontId="10" fillId="5" borderId="0" applyAlignment="1" pivotButton="0" quotePrefix="0" xfId="0">
      <alignment horizontal="center" vertical="center" wrapText="1"/>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6" borderId="0" applyAlignment="1" pivotButton="0" quotePrefix="0" xfId="0">
      <alignment vertical="center" wrapText="1"/>
    </xf>
    <xf numFmtId="0" fontId="18" fillId="0" borderId="0" applyAlignment="1" pivotButton="0" quotePrefix="0" xfId="0">
      <alignment vertical="center"/>
    </xf>
    <xf numFmtId="0" fontId="5" fillId="2" borderId="2" applyAlignment="1" pivotButton="0" quotePrefix="0" xfId="0">
      <alignment horizontal="left" vertical="center" wrapText="1"/>
    </xf>
    <xf numFmtId="0" fontId="19" fillId="7" borderId="1" applyAlignment="1" pivotButton="0" quotePrefix="0" xfId="0">
      <alignment vertical="top"/>
    </xf>
    <xf numFmtId="0" fontId="6" fillId="0" borderId="1" applyAlignment="1" pivotButton="0" quotePrefix="0" xfId="0">
      <alignment vertical="top"/>
    </xf>
    <xf numFmtId="164" fontId="6" fillId="0" borderId="1" applyAlignment="1" pivotButton="0" quotePrefix="0" xfId="0">
      <alignment vertical="top"/>
    </xf>
    <xf numFmtId="0" fontId="19" fillId="8" borderId="1" applyAlignment="1" pivotButton="0" quotePrefix="0" xfId="0">
      <alignment vertical="top"/>
    </xf>
    <xf numFmtId="0" fontId="19" fillId="9" borderId="1" applyAlignment="1" pivotButton="0" quotePrefix="0" xfId="0">
      <alignment vertical="top"/>
    </xf>
    <xf numFmtId="0" fontId="19" fillId="10" borderId="1" applyAlignment="1" pivotButton="0" quotePrefix="0" xfId="0">
      <alignment vertical="top"/>
    </xf>
    <xf numFmtId="0" fontId="20" fillId="11" borderId="1" applyAlignment="1" pivotButton="0" quotePrefix="0" xfId="0">
      <alignment vertical="top"/>
    </xf>
    <xf numFmtId="0" fontId="20" fillId="12" borderId="1" applyAlignment="1" pivotButton="0" quotePrefix="0" xfId="0">
      <alignment vertical="top"/>
    </xf>
    <xf numFmtId="0" fontId="19" fillId="13" borderId="1" applyAlignment="1" pivotButton="0" quotePrefix="0" xfId="0">
      <alignment vertical="top"/>
    </xf>
    <xf numFmtId="0" fontId="19" fillId="14" borderId="1" applyAlignment="1" pivotButton="0" quotePrefix="0" xfId="0">
      <alignment vertical="top"/>
    </xf>
    <xf numFmtId="0" fontId="19" fillId="3" borderId="1" applyAlignment="1" pivotButton="0" quotePrefix="0" xfId="0">
      <alignment vertical="top"/>
    </xf>
    <xf numFmtId="0" fontId="19" fillId="15" borderId="1" applyAlignment="1" pivotButton="0" quotePrefix="0" xfId="0">
      <alignment vertical="top"/>
    </xf>
    <xf numFmtId="0" fontId="19" fillId="16" borderId="1" applyAlignment="1" pivotButton="0" quotePrefix="0" xfId="0">
      <alignment vertical="top"/>
    </xf>
    <xf numFmtId="0" fontId="6" fillId="0" borderId="1" applyAlignment="1" pivotButton="0" quotePrefix="0" xfId="0">
      <alignment vertical="top" wrapText="1"/>
    </xf>
    <xf numFmtId="0" fontId="7" fillId="0" borderId="1" applyAlignment="1" pivotButton="0" quotePrefix="0" xfId="0">
      <alignment vertical="top" wrapText="1"/>
    </xf>
    <xf numFmtId="0" fontId="8" fillId="2" borderId="0" applyAlignment="1" pivotButton="0" quotePrefix="0" xfId="0">
      <alignment vertical="center"/>
    </xf>
    <xf numFmtId="0" fontId="9" fillId="2" borderId="0" applyAlignment="1" pivotButton="0" quotePrefix="0" xfId="0">
      <alignment vertical="center" wrapText="1"/>
    </xf>
  </cellXfs>
  <cellStyles count="1">
    <cellStyle name="Normal" xfId="0" builtinId="0" hidden="0"/>
  </cellStyles>
  <dxfs count="11">
    <dxf>
      <font>
        <b val="1"/>
        <color rgb="00080B0C"/>
      </font>
      <fill>
        <patternFill patternType="solid">
          <fgColor rgb="0068D391"/>
        </patternFill>
      </fill>
    </dxf>
    <dxf>
      <font>
        <b val="1"/>
        <color rgb="00080B0C"/>
      </font>
      <fill>
        <patternFill patternType="solid">
          <fgColor rgb="00F4B860"/>
        </patternFill>
      </fill>
    </dxf>
    <dxf>
      <font>
        <b val="1"/>
        <color rgb="00080B0C"/>
      </font>
      <fill>
        <patternFill patternType="solid">
          <fgColor rgb="0062A8FF"/>
        </patternFill>
      </fill>
    </dxf>
    <dxf>
      <font>
        <b val="1"/>
        <color rgb="00080B0C"/>
      </font>
      <fill>
        <patternFill patternType="solid">
          <fgColor rgb="00B79BFF"/>
        </patternFill>
      </fill>
    </dxf>
    <dxf>
      <font>
        <b val="1"/>
        <color rgb="00F4F7F7"/>
      </font>
      <fill>
        <patternFill patternType="solid">
          <fgColor rgb="00FF6B6B"/>
        </patternFill>
      </fill>
    </dxf>
    <dxf>
      <font>
        <b val="1"/>
        <color rgb="00F4F7F7"/>
      </font>
      <fill>
        <patternFill patternType="solid">
          <fgColor rgb="006E7B7C"/>
        </patternFill>
      </fill>
    </dxf>
    <dxf>
      <font>
        <b val="1"/>
        <color rgb="00F4F7F7"/>
      </font>
      <fill>
        <patternFill patternType="solid">
          <fgColor rgb="009AA3A3"/>
        </patternFill>
      </fill>
    </dxf>
    <dxf>
      <font>
        <b val="1"/>
        <color rgb="00F4F7F7"/>
      </font>
      <fill>
        <patternFill patternType="solid">
          <fgColor rgb="00C6CECE"/>
        </patternFill>
      </fill>
    </dxf>
    <dxf>
      <font>
        <b val="1"/>
        <color rgb="00080B0C"/>
      </font>
      <fill>
        <patternFill patternType="solid">
          <fgColor rgb="0039E6D3"/>
        </patternFill>
      </fill>
    </dxf>
    <dxf>
      <font>
        <b val="1"/>
        <color rgb="00F4F7F7"/>
      </font>
      <fill>
        <patternFill patternType="solid">
          <fgColor rgb="009BC6C0"/>
        </patternFill>
      </fill>
    </dxf>
    <dxf>
      <font>
        <b val="1"/>
        <color rgb="00F4F7F7"/>
      </font>
      <fill>
        <patternFill patternType="solid">
          <fgColor rgb="00DDE3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Production conclusion</a:t>
            </a:r>
          </a:p>
        </rich>
      </tx>
    </title>
    <plotArea>
      <doughnutChart>
        <varyColors val="1"/>
        <ser>
          <idx val="0"/>
          <order val="0"/>
          <tx>
            <strRef>
              <f>'Executive Summary'!B42</f>
            </strRef>
          </tx>
          <spPr>
            <a:ln xmlns:a="http://schemas.openxmlformats.org/drawingml/2006/main">
              <a:prstDash val="solid"/>
            </a:ln>
          </spPr>
          <cat>
            <numRef>
              <f>'Executive Summary'!$A$43:$A$49</f>
            </numRef>
          </cat>
          <val>
            <numRef>
              <f>'Executive Summary'!$B$43:$B$49</f>
            </numRef>
          </val>
        </ser>
        <firstSliceAng val="0"/>
        <holeSize val="55"/>
      </doughnut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Physical implementation distribution</a:t>
            </a:r>
          </a:p>
        </rich>
      </tx>
    </title>
    <plotArea>
      <barChart>
        <barDir val="bar"/>
        <grouping val="clustered"/>
        <ser>
          <idx val="0"/>
          <order val="0"/>
          <tx>
            <strRef>
              <f>'Executive Summary'!B10</f>
            </strRef>
          </tx>
          <spPr>
            <a:ln xmlns:a="http://schemas.openxmlformats.org/drawingml/2006/main">
              <a:prstDash val="solid"/>
            </a:ln>
          </spPr>
          <cat>
            <numRef>
              <f>'Executive Summary'!$A$11:$A$18</f>
            </numRef>
          </cat>
          <val>
            <numRef>
              <f>'Executive Summary'!$B$11:$B$18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Feature 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State</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Manus AI</author>
  </authors>
  <commentList>
    <comment ref="S1" authorId="0" shapeId="0">
      <text>
        <t>Physical implementation only. A screen or file does not imply completion or production readiness.</t>
      </text>
    </comment>
    <comment ref="AD1" authorId="0" shapeId="0">
      <text>
        <t>Plain-language execution sequence. See Runtime Paths for complete actor, system and failure detail.</t>
      </text>
    </comment>
    <comment ref="AG1" authorId="0" shapeId="0">
      <text>
        <t>Comparison with the exact stated requirement, independent of release controls.</t>
      </text>
    </comment>
    <comment ref="AJ1" authorId="0" shapeId="0">
      <text>
        <t>Strongest qualified verification evidence. See Evidence Ledger for the full history and contradictions.</t>
      </text>
    </comment>
    <comment ref="AP1" authorId="0" shapeId="0">
      <text>
        <t>Confidence in the evidence-backed conclusion, not feature quality.</t>
      </text>
    </comment>
    <comment ref="BE1" authorId="0" shapeId="0">
      <text>
        <t>Accountable release conclusion. Production ready requires all applicable gates plus approver and date.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8</row>
      <rowOff>0</rowOff>
    </from>
    <ext cx="450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24</row>
      <rowOff>0</rowOff>
    </from>
    <ext cx="450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ProductAreaSummary" displayName="tblProductAreaSummary" ref="A65:J95" headerRowCount="1">
  <autoFilter ref="A65:J95"/>
  <tableColumns count="10">
    <tableColumn id="1" name="Product area"/>
    <tableColumn id="2" name="Records"/>
    <tableColumn id="3" name="Implemented"/>
    <tableColumn id="4" name="Complete"/>
    <tableColumn id="5" name="Observed"/>
    <tableColumn id="6" name="Blocked"/>
    <tableColumn id="7" name="Development required"/>
    <tableColumn id="8" name="Ready for validation"/>
    <tableColumn id="9" name="Not assessed"/>
    <tableColumn id="10" name="Production ready"/>
  </tableColumns>
  <tableStyleInfo name="TableStyleMedium2" showFirstColumn="0" showLastColumn="0" showRowStripes="1" showColumnStripes="0"/>
</table>
</file>

<file path=xl/tables/table2.xml><?xml version="1.0" encoding="utf-8"?>
<table xmlns="http://schemas.openxmlformats.org/spreadsheetml/2006/main" id="2" name="tblFeatureRegister" displayName="tblFeatureRegister" ref="A1:BL634" headerRowCount="1">
  <autoFilter ref="A1:BL634"/>
  <tableColumns count="64">
    <tableColumn id="1" name="Feature ID"/>
    <tableColumn id="2" name="Parent Feature ID"/>
    <tableColumn id="3" name="Product Area"/>
    <tableColumn id="4" name="Area Number"/>
    <tableColumn id="5" name="Area Sequence"/>
    <tableColumn id="6" name="Record Type"/>
    <tableColumn id="7" name="Feature Name"/>
    <tableColumn id="8" name="Source Requirement"/>
    <tableColumn id="9" name="Source Location"/>
    <tableColumn id="10" name="Normalization Location"/>
    <tableColumn id="11" name="Intended Scope"/>
    <tableColumn id="12" name="Intended Actor"/>
    <tableColumn id="13" name="Intended Surface"/>
    <tableColumn id="14" name="Intended Outcome"/>
    <tableColumn id="15" name="Acceptance Criteria"/>
    <tableColumn id="16" name="Dependencies"/>
    <tableColumn id="17" name="Prior Audit Label"/>
    <tableColumn id="18" name="Prior Audit Note"/>
    <tableColumn id="19" name="Implementation State"/>
    <tableColumn id="20" name="Client Entry and Navigation"/>
    <tableColumn id="21" name="UI Components and Screens"/>
    <tableColumn id="22" name="Client State and Services"/>
    <tableColumn id="23" name="Server Routes and Handlers"/>
    <tableColumn id="24" name="Data Stores"/>
    <tableColumn id="25" name="Workers and Async Paths"/>
    <tableColumn id="26" name="External Services"/>
    <tableColumn id="27" name="Configuration and Permissions"/>
    <tableColumn id="28" name="Deployable Runtime"/>
    <tableColumn id="29" name="Runtime Path ID"/>
    <tableColumn id="30" name="Runtime Path Narrative"/>
    <tableColumn id="31" name="Reachability"/>
    <tableColumn id="32" name="Reachability Detail"/>
    <tableColumn id="33" name="Functional Completeness"/>
    <tableColumn id="34" name="Complete Against Requirement?"/>
    <tableColumn id="35" name="Known Gaps"/>
    <tableColumn id="36" name="Verification State"/>
    <tableColumn id="37" name="Source Evidence IDs"/>
    <tableColumn id="38" name="Test Evidence IDs"/>
    <tableColumn id="39" name="Observed Evidence IDs"/>
    <tableColumn id="40" name="Last Verified At"/>
    <tableColumn id="41" name="Verified Revision or Build"/>
    <tableColumn id="42" name="Evidence Confidence"/>
    <tableColumn id="43" name="Gate — Scope and Acceptance"/>
    <tableColumn id="44" name="Gate — Architecture and Authority"/>
    <tableColumn id="45" name="Gate — Functional Behaviour"/>
    <tableColumn id="46" name="Gate — Identity and Permissions"/>
    <tableColumn id="47" name="Gate — Data Integrity"/>
    <tableColumn id="48" name="Gate — Privacy and Consent"/>
    <tableColumn id="49" name="Gate — Safety and Abuse"/>
    <tableColumn id="50" name="Gate — Commerce and Entitlement"/>
    <tableColumn id="51" name="Gate — Security"/>
    <tableColumn id="52" name="Gate — Reliability and Scale"/>
    <tableColumn id="53" name="Gate — Observability and Operations"/>
    <tableColumn id="54" name="Gate — Accessibility and Device Coverage"/>
    <tableColumn id="55" name="Gate — Legal and Policy"/>
    <tableColumn id="56" name="Gate — Release-candidate Verification"/>
    <tableColumn id="57" name="Production Conclusion"/>
    <tableColumn id="58" name="Production Blockers"/>
    <tableColumn id="59" name="Required Next Evidence"/>
    <tableColumn id="60" name="Owner"/>
    <tableColumn id="61" name="Approved By"/>
    <tableColumn id="62" name="Approved At"/>
    <tableColumn id="63" name="Review Notes"/>
    <tableColumn id="64" name="Last Updated"/>
  </tableColumns>
  <tableStyleInfo name="TableStyleMedium2" showFirstColumn="0" showLastColumn="0" showRowStripes="1" showColumnStripes="0"/>
</table>
</file>

<file path=xl/tables/table3.xml><?xml version="1.0" encoding="utf-8"?>
<table xmlns="http://schemas.openxmlformats.org/spreadsheetml/2006/main" id="3" name="tblEvidenceLedger" displayName="tblEvidenceLedger" ref="A1:K313" headerRowCount="1">
  <autoFilter ref="A1:K313"/>
  <tableColumns count="11">
    <tableColumn id="1" name="Evidence ID"/>
    <tableColumn id="2" name="Feature IDs"/>
    <tableColumn id="3" name="Evidence Type"/>
    <tableColumn id="4" name="Source Path or System"/>
    <tableColumn id="5" name="Symbol / Route / Object"/>
    <tableColumn id="6" name="Line or Locator"/>
    <tableColumn id="7" name="Revision / Build"/>
    <tableColumn id="8" name="Observed or Generated At"/>
    <tableColumn id="9" name="Result"/>
    <tableColumn id="10" name="Freshness"/>
    <tableColumn id="11" name="Evidence Note"/>
  </tableColumns>
  <tableStyleInfo name="TableStyleMedium2" showFirstColumn="0" showLastColumn="0" showRowStripes="1" showColumnStripes="0"/>
</table>
</file>

<file path=xl/tables/table4.xml><?xml version="1.0" encoding="utf-8"?>
<table xmlns="http://schemas.openxmlformats.org/spreadsheetml/2006/main" id="4" name="tblRuntimePaths" displayName="tblRuntimePaths" ref="A1:N19" headerRowCount="1">
  <autoFilter ref="A1:N19"/>
  <tableColumns count="14">
    <tableColumn id="1" name="Runtime Path ID"/>
    <tableColumn id="2" name="Name"/>
    <tableColumn id="3" name="Actor"/>
    <tableColumn id="4" name="Entry"/>
    <tableColumn id="5" name="Sequence"/>
    <tableColumn id="6" name="Client"/>
    <tableColumn id="7" name="Server"/>
    <tableColumn id="8" name="Data"/>
    <tableColumn id="9" name="Async or Realtime"/>
    <tableColumn id="10" name="External"/>
    <tableColumn id="11" name="Failure and Fallback"/>
    <tableColumn id="12" name="Evidence Locator"/>
    <tableColumn id="13" name="Revision"/>
    <tableColumn id="14" name="Verification"/>
  </tableColumns>
  <tableStyleInfo name="TableStyleMedium2" showFirstColumn="0" showLastColumn="0" showRowStripes="1" showColumnStripes="0"/>
</table>
</file>

<file path=xl/tables/table5.xml><?xml version="1.0" encoding="utf-8"?>
<table xmlns="http://schemas.openxmlformats.org/spreadsheetml/2006/main" id="5" name="tblComponentMap" displayName="tblComponentMap" ref="A1:M21" headerRowCount="1">
  <autoFilter ref="A1:M21"/>
  <tableColumns count="13">
    <tableColumn id="1" name="Component ID"/>
    <tableColumn id="2" name="Name"/>
    <tableColumn id="3" name="Type"/>
    <tableColumn id="4" name="Runtime"/>
    <tableColumn id="5" name="Physical Location"/>
    <tableColumn id="6" name="Entry or Interface"/>
    <tableColumn id="7" name="Responsibility"/>
    <tableColumn id="8" name="Dependencies"/>
    <tableColumn id="9" name="Configuration"/>
    <tableColumn id="10" name="Authority"/>
    <tableColumn id="11" name="Evidence Locator"/>
    <tableColumn id="12" name="Revision"/>
    <tableColumn id="13" name="Known Caveat"/>
  </tableColumns>
  <tableStyleInfo name="TableStyleMedium2" showFirstColumn="0" showLastColumn="0" showRowStripes="1" showColumnStripes="0"/>
</table>
</file>

<file path=xl/tables/table6.xml><?xml version="1.0" encoding="utf-8"?>
<table xmlns="http://schemas.openxmlformats.org/spreadsheetml/2006/main" id="6" name="tblProductionGateDefinitions" displayName="tblProductionGateDefinitions" ref="A4:E18" headerRowCount="1">
  <autoFilter ref="A4:E18"/>
  <tableColumns count="5">
    <tableColumn id="1" name="Gate"/>
    <tableColumn id="2" name="Minimum production question"/>
    <tableColumn id="3" name="Allowed status"/>
    <tableColumn id="4" name="Pass requires"/>
    <tableColumn id="5" name="Failure consequence"/>
  </tableColumns>
  <tableStyleInfo name="TableStyleMedium2" showFirstColumn="0" showLastColumn="0" showRowStripes="1" showColumnStripes="0"/>
</table>
</file>

<file path=xl/tables/table7.xml><?xml version="1.0" encoding="utf-8"?>
<table xmlns="http://schemas.openxmlformats.org/spreadsheetml/2006/main" id="7" name="tblSourcesAndRevisions" displayName="tblSourcesAndRevisions" ref="A1:F12" headerRowCount="1">
  <autoFilter ref="A1:F12"/>
  <tableColumns count="6">
    <tableColumn id="1" name="Source ID"/>
    <tableColumn id="2" name="Source or system"/>
    <tableColumn id="3" name="Physical location"/>
    <tableColumn id="4" name="Revision / date"/>
    <tableColumn id="5" name="Evidence role"/>
    <tableColumn id="6" name="Qualification / limitation"/>
  </tableColumns>
  <tableStyleInfo name="TableStyleMedium2" showFirstColumn="0" showLastColumn="0" showRowStripes="1" showColumnStripes="0"/>
</table>
</file>

<file path=xl/tables/table8.xml><?xml version="1.0" encoding="utf-8"?>
<table xmlns="http://schemas.openxmlformats.org/spreadsheetml/2006/main" id="8" name="tblDecisionsAndChanges" displayName="tblDecisionsAndChanges" ref="A1:H6" headerRowCount="1">
  <autoFilter ref="A1:H6"/>
  <tableColumns count="8">
    <tableColumn id="1" name="Change ID"/>
    <tableColumn id="2" name="Date"/>
    <tableColumn id="3" name="Feature IDs / scope"/>
    <tableColumn id="4" name="Decision or change"/>
    <tableColumn id="5" name="Evidence / rationale"/>
    <tableColumn id="6" name="Owner"/>
    <tableColumn id="7" name="Approved by"/>
    <tableColumn id="8" name="Next revie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Runtime Paths'!A3" TargetMode="External" Id="rId1"/><Relationship Type="http://schemas.openxmlformats.org/officeDocument/2006/relationships/hyperlink" Target="#'Runtime Paths'!A3" TargetMode="External" Id="rId2"/><Relationship Type="http://schemas.openxmlformats.org/officeDocument/2006/relationships/hyperlink" Target="#'Runtime Paths'!A3" TargetMode="External" Id="rId3"/><Relationship Type="http://schemas.openxmlformats.org/officeDocument/2006/relationships/hyperlink" Target="#'Runtime Paths'!A3" TargetMode="External" Id="rId4"/><Relationship Type="http://schemas.openxmlformats.org/officeDocument/2006/relationships/hyperlink" Target="#'Runtime Paths'!A3" TargetMode="External" Id="rId5"/><Relationship Type="http://schemas.openxmlformats.org/officeDocument/2006/relationships/hyperlink" Target="#'Runtime Paths'!A3" TargetMode="External" Id="rId6"/><Relationship Type="http://schemas.openxmlformats.org/officeDocument/2006/relationships/hyperlink" Target="#'Runtime Paths'!A3" TargetMode="External" Id="rId7"/><Relationship Type="http://schemas.openxmlformats.org/officeDocument/2006/relationships/hyperlink" Target="#'Runtime Paths'!A3" TargetMode="External" Id="rId8"/><Relationship Type="http://schemas.openxmlformats.org/officeDocument/2006/relationships/hyperlink" Target="#'Runtime Paths'!A3" TargetMode="External" Id="rId9"/><Relationship Type="http://schemas.openxmlformats.org/officeDocument/2006/relationships/hyperlink" Target="#'Runtime Paths'!A3" TargetMode="External" Id="rId10"/><Relationship Type="http://schemas.openxmlformats.org/officeDocument/2006/relationships/hyperlink" Target="#'Runtime Paths'!A3" TargetMode="External" Id="rId11"/><Relationship Type="http://schemas.openxmlformats.org/officeDocument/2006/relationships/hyperlink" Target="#'Runtime Paths'!A3" TargetMode="External" Id="rId12"/><Relationship Type="http://schemas.openxmlformats.org/officeDocument/2006/relationships/hyperlink" Target="#'Runtime Paths'!A3" TargetMode="External" Id="rId13"/><Relationship Type="http://schemas.openxmlformats.org/officeDocument/2006/relationships/hyperlink" Target="#'Runtime Paths'!A3" TargetMode="External" Id="rId14"/><Relationship Type="http://schemas.openxmlformats.org/officeDocument/2006/relationships/hyperlink" Target="#'Runtime Paths'!A3" TargetMode="External" Id="rId15"/><Relationship Type="http://schemas.openxmlformats.org/officeDocument/2006/relationships/hyperlink" Target="#'Runtime Paths'!A3" TargetMode="External" Id="rId16"/><Relationship Type="http://schemas.openxmlformats.org/officeDocument/2006/relationships/hyperlink" Target="#'Runtime Paths'!A3" TargetMode="External" Id="rId17"/><Relationship Type="http://schemas.openxmlformats.org/officeDocument/2006/relationships/hyperlink" Target="#'Runtime Paths'!A3" TargetMode="External" Id="rId18"/><Relationship Type="http://schemas.openxmlformats.org/officeDocument/2006/relationships/hyperlink" Target="#'Runtime Paths'!A17" TargetMode="External" Id="rId19"/><Relationship Type="http://schemas.openxmlformats.org/officeDocument/2006/relationships/hyperlink" Target="#'Runtime Paths'!A17" TargetMode="External" Id="rId20"/><Relationship Type="http://schemas.openxmlformats.org/officeDocument/2006/relationships/hyperlink" Target="#'Runtime Paths'!A17" TargetMode="External" Id="rId21"/><Relationship Type="http://schemas.openxmlformats.org/officeDocument/2006/relationships/hyperlink" Target="#'Runtime Paths'!A17" TargetMode="External" Id="rId22"/><Relationship Type="http://schemas.openxmlformats.org/officeDocument/2006/relationships/hyperlink" Target="#'Runtime Paths'!A17" TargetMode="External" Id="rId23"/><Relationship Type="http://schemas.openxmlformats.org/officeDocument/2006/relationships/hyperlink" Target="#'Runtime Paths'!A17" TargetMode="External" Id="rId24"/><Relationship Type="http://schemas.openxmlformats.org/officeDocument/2006/relationships/hyperlink" Target="#'Runtime Paths'!A17" TargetMode="External" Id="rId25"/><Relationship Type="http://schemas.openxmlformats.org/officeDocument/2006/relationships/hyperlink" Target="#'Runtime Paths'!A17" TargetMode="External" Id="rId26"/><Relationship Type="http://schemas.openxmlformats.org/officeDocument/2006/relationships/hyperlink" Target="#'Runtime Paths'!A18" TargetMode="External" Id="rId27"/><Relationship Type="http://schemas.openxmlformats.org/officeDocument/2006/relationships/hyperlink" Target="#'Runtime Paths'!A18" TargetMode="External" Id="rId28"/><Relationship Type="http://schemas.openxmlformats.org/officeDocument/2006/relationships/hyperlink" Target="#'Runtime Paths'!A18" TargetMode="External" Id="rId29"/><Relationship Type="http://schemas.openxmlformats.org/officeDocument/2006/relationships/hyperlink" Target="#'Runtime Paths'!A19" TargetMode="External" Id="rId30"/><Relationship Type="http://schemas.openxmlformats.org/officeDocument/2006/relationships/hyperlink" Target="#'Runtime Paths'!A19" TargetMode="External" Id="rId31"/><Relationship Type="http://schemas.openxmlformats.org/officeDocument/2006/relationships/hyperlink" Target="#'Runtime Paths'!A19" TargetMode="External" Id="rId32"/><Relationship Type="http://schemas.openxmlformats.org/officeDocument/2006/relationships/hyperlink" Target="#'Runtime Paths'!A19" TargetMode="External" Id="rId33"/><Relationship Type="http://schemas.openxmlformats.org/officeDocument/2006/relationships/hyperlink" Target="#'Runtime Paths'!A19" TargetMode="External" Id="rId34"/><Relationship Type="http://schemas.openxmlformats.org/officeDocument/2006/relationships/hyperlink" Target="#'Runtime Paths'!A18" TargetMode="External" Id="rId35"/><Relationship Type="http://schemas.openxmlformats.org/officeDocument/2006/relationships/hyperlink" Target="#'Runtime Paths'!A18" TargetMode="External" Id="rId36"/><Relationship Type="http://schemas.openxmlformats.org/officeDocument/2006/relationships/hyperlink" Target="#'Runtime Paths'!A18" TargetMode="External" Id="rId37"/><Relationship Type="http://schemas.openxmlformats.org/officeDocument/2006/relationships/hyperlink" Target="#'Runtime Paths'!A18" TargetMode="External" Id="rId38"/><Relationship Type="http://schemas.openxmlformats.org/officeDocument/2006/relationships/hyperlink" Target="#'Runtime Paths'!A18" TargetMode="External" Id="rId39"/><Relationship Type="http://schemas.openxmlformats.org/officeDocument/2006/relationships/hyperlink" Target="#'Runtime Paths'!A18" TargetMode="External" Id="rId40"/><Relationship Type="http://schemas.openxmlformats.org/officeDocument/2006/relationships/hyperlink" Target="#'Runtime Paths'!A18" TargetMode="External" Id="rId41"/><Relationship Type="http://schemas.openxmlformats.org/officeDocument/2006/relationships/hyperlink" Target="#'Runtime Paths'!A18" TargetMode="External" Id="rId42"/><Relationship Type="http://schemas.openxmlformats.org/officeDocument/2006/relationships/hyperlink" Target="#'Runtime Paths'!A18" TargetMode="External" Id="rId43"/><Relationship Type="http://schemas.openxmlformats.org/officeDocument/2006/relationships/hyperlink" Target="#'Runtime Paths'!A18" TargetMode="External" Id="rId44"/><Relationship Type="http://schemas.openxmlformats.org/officeDocument/2006/relationships/hyperlink" Target="#'Runtime Paths'!A18" TargetMode="External" Id="rId45"/><Relationship Type="http://schemas.openxmlformats.org/officeDocument/2006/relationships/hyperlink" Target="#'Runtime Paths'!A9" TargetMode="External" Id="rId46"/><Relationship Type="http://schemas.openxmlformats.org/officeDocument/2006/relationships/hyperlink" Target="#'Runtime Paths'!A9" TargetMode="External" Id="rId47"/><Relationship Type="http://schemas.openxmlformats.org/officeDocument/2006/relationships/hyperlink" Target="#'Runtime Paths'!A9" TargetMode="External" Id="rId48"/><Relationship Type="http://schemas.openxmlformats.org/officeDocument/2006/relationships/hyperlink" Target="#'Runtime Paths'!A9" TargetMode="External" Id="rId49"/><Relationship Type="http://schemas.openxmlformats.org/officeDocument/2006/relationships/hyperlink" Target="#'Runtime Paths'!A18" TargetMode="External" Id="rId50"/><Relationship Type="http://schemas.openxmlformats.org/officeDocument/2006/relationships/table" Target="/xl/tables/table2.xml" Id="rId5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Feature Register'!A2" TargetMode="External" Id="rId1"/><Relationship Type="http://schemas.openxmlformats.org/officeDocument/2006/relationships/hyperlink" Target="file:///C:/Users/Alex/Blyp26/src/ (all JS/TS files)" TargetMode="External" Id="rId2"/><Relationship Type="http://schemas.openxmlformats.org/officeDocument/2006/relationships/hyperlink" Target="#'Feature Register'!A3" TargetMode="External" Id="rId3"/><Relationship Type="http://schemas.openxmlformats.org/officeDocument/2006/relationships/hyperlink" Target="file:///C:/Users/Alex/Blyp26/src/ (all JS/TS files)" TargetMode="External" Id="rId4"/><Relationship Type="http://schemas.openxmlformats.org/officeDocument/2006/relationships/hyperlink" Target="#'Feature Register'!A3" TargetMode="External" Id="rId5"/><Relationship Type="http://schemas.openxmlformats.org/officeDocument/2006/relationships/hyperlink" Target="file:///C:/Users/Alex/Blyp26/backend/blyp-live-service/src/economy/economyRoutes.ts" TargetMode="External" Id="rId6"/><Relationship Type="http://schemas.openxmlformats.org/officeDocument/2006/relationships/hyperlink" Target="#'Feature Register'!A6" TargetMode="External" Id="rId7"/><Relationship Type="http://schemas.openxmlformats.org/officeDocument/2006/relationships/hyperlink" Target="file:///C:/Users/Alex/Blyp26/src/ (all JS/TS files)" TargetMode="External" Id="rId8"/><Relationship Type="http://schemas.openxmlformats.org/officeDocument/2006/relationships/hyperlink" Target="#'Feature Register'!A8" TargetMode="External" Id="rId9"/><Relationship Type="http://schemas.openxmlformats.org/officeDocument/2006/relationships/hyperlink" Target="file:///C:/Users/Alex/Blyp26/src/ (all JS/TS files)" TargetMode="External" Id="rId10"/><Relationship Type="http://schemas.openxmlformats.org/officeDocument/2006/relationships/hyperlink" Target="#'Feature Register'!A11" TargetMode="External" Id="rId11"/><Relationship Type="http://schemas.openxmlformats.org/officeDocument/2006/relationships/hyperlink" Target="file:///C:/Users/Alex/Blyp26/src/screens/SearchScreen.js" TargetMode="External" Id="rId12"/><Relationship Type="http://schemas.openxmlformats.org/officeDocument/2006/relationships/hyperlink" Target="#'Feature Register'!A11" TargetMode="External" Id="rId13"/><Relationship Type="http://schemas.openxmlformats.org/officeDocument/2006/relationships/hyperlink" Target="file:///C:/Users/Alex/Blyp26/src/services/searchService.js" TargetMode="External" Id="rId14"/><Relationship Type="http://schemas.openxmlformats.org/officeDocument/2006/relationships/hyperlink" Target="#'Feature Register'!A12" TargetMode="External" Id="rId15"/><Relationship Type="http://schemas.openxmlformats.org/officeDocument/2006/relationships/hyperlink" Target="file:///C:/Users/Alex/Blyp26/src/ (all JS/TS files)" TargetMode="External" Id="rId16"/><Relationship Type="http://schemas.openxmlformats.org/officeDocument/2006/relationships/hyperlink" Target="#'Feature Register'!A13" TargetMode="External" Id="rId17"/><Relationship Type="http://schemas.openxmlformats.org/officeDocument/2006/relationships/hyperlink" Target="file:///C:/Users/Alex/Blyp26/src/ (all JS/TS files)" TargetMode="External" Id="rId18"/><Relationship Type="http://schemas.openxmlformats.org/officeDocument/2006/relationships/hyperlink" Target="#'Feature Register'!A14" TargetMode="External" Id="rId19"/><Relationship Type="http://schemas.openxmlformats.org/officeDocument/2006/relationships/hyperlink" Target="file:///C:/Users/Alex/Blyp26/src/screens/ReviewScreen.js" TargetMode="External" Id="rId20"/><Relationship Type="http://schemas.openxmlformats.org/officeDocument/2006/relationships/hyperlink" Target="#'Feature Register'!A15" TargetMode="External" Id="rId21"/><Relationship Type="http://schemas.openxmlformats.org/officeDocument/2006/relationships/hyperlink" Target="file:///C:/Users/Alex/Blyp26/src/screens/CameraScreen.js" TargetMode="External" Id="rId22"/><Relationship Type="http://schemas.openxmlformats.org/officeDocument/2006/relationships/hyperlink" Target="#'Feature Register'!A16" TargetMode="External" Id="rId23"/><Relationship Type="http://schemas.openxmlformats.org/officeDocument/2006/relationships/hyperlink" Target="file:///C:/Users/Alex/Blyp26/src/screens/CameraScreen.js" TargetMode="External" Id="rId24"/><Relationship Type="http://schemas.openxmlformats.org/officeDocument/2006/relationships/hyperlink" Target="#'Feature Register'!A17" TargetMode="External" Id="rId25"/><Relationship Type="http://schemas.openxmlformats.org/officeDocument/2006/relationships/hyperlink" Target="file:///C:/Users/Alex/Blyp26/src/screens/CameraScreen.js" TargetMode="External" Id="rId26"/><Relationship Type="http://schemas.openxmlformats.org/officeDocument/2006/relationships/hyperlink" Target="#'Feature Register'!A18" TargetMode="External" Id="rId27"/><Relationship Type="http://schemas.openxmlformats.org/officeDocument/2006/relationships/hyperlink" Target="file:///C:/Users/Alex/Blyp26/src/screens/VoiceMemoScreen.js" TargetMode="External" Id="rId28"/><Relationship Type="http://schemas.openxmlformats.org/officeDocument/2006/relationships/hyperlink" Target="#'Feature Register'!A19" TargetMode="External" Id="rId29"/><Relationship Type="http://schemas.openxmlformats.org/officeDocument/2006/relationships/hyperlink" Target="file:///C:/Users/Alex/Blyp26/src/screens/ReviewScreen.js" TargetMode="External" Id="rId30"/><Relationship Type="http://schemas.openxmlformats.org/officeDocument/2006/relationships/hyperlink" Target="#'Feature Register'!A20" TargetMode="External" Id="rId31"/><Relationship Type="http://schemas.openxmlformats.org/officeDocument/2006/relationships/hyperlink" Target="file:///C:/Users/Alex/Blyp26/src/screens/ReviewScreen.js" TargetMode="External" Id="rId32"/><Relationship Type="http://schemas.openxmlformats.org/officeDocument/2006/relationships/hyperlink" Target="#'Feature Register'!A21" TargetMode="External" Id="rId33"/><Relationship Type="http://schemas.openxmlformats.org/officeDocument/2006/relationships/hyperlink" Target="file:///C:/Users/Alex/Blyp26/src/services/geminiSpeechService.js" TargetMode="External" Id="rId34"/><Relationship Type="http://schemas.openxmlformats.org/officeDocument/2006/relationships/hyperlink" Target="#'Feature Register'!A22" TargetMode="External" Id="rId35"/><Relationship Type="http://schemas.openxmlformats.org/officeDocument/2006/relationships/hyperlink" Target="file:///C:/Users/Alex/Blyp26/src/screens/ReviewScreen.js" TargetMode="External" Id="rId36"/><Relationship Type="http://schemas.openxmlformats.org/officeDocument/2006/relationships/hyperlink" Target="#'Feature Register'!A23" TargetMode="External" Id="rId37"/><Relationship Type="http://schemas.openxmlformats.org/officeDocument/2006/relationships/hyperlink" Target="file:///C:/Users/Alex/Blyp26/src/services/mediaDescriptionService.js" TargetMode="External" Id="rId38"/><Relationship Type="http://schemas.openxmlformats.org/officeDocument/2006/relationships/hyperlink" Target="#'Feature Register'!A24" TargetMode="External" Id="rId39"/><Relationship Type="http://schemas.openxmlformats.org/officeDocument/2006/relationships/hyperlink" Target="#'Feature Register'!A25" TargetMode="External" Id="rId40"/><Relationship Type="http://schemas.openxmlformats.org/officeDocument/2006/relationships/hyperlink" Target="file:///C:/Users/Alex/Blyp26/src/services/aiService.js" TargetMode="External" Id="rId41"/><Relationship Type="http://schemas.openxmlformats.org/officeDocument/2006/relationships/hyperlink" Target="#'Feature Register'!A26" TargetMode="External" Id="rId42"/><Relationship Type="http://schemas.openxmlformats.org/officeDocument/2006/relationships/hyperlink" Target="file:///C:/Users/Alex/Blyp26/src/screens/ReviewScreen.js" TargetMode="External" Id="rId43"/><Relationship Type="http://schemas.openxmlformats.org/officeDocument/2006/relationships/hyperlink" Target="#'Feature Register'!A27" TargetMode="External" Id="rId44"/><Relationship Type="http://schemas.openxmlformats.org/officeDocument/2006/relationships/hyperlink" Target="file:///C:/Users/Alex/Blyp26/src/screens/ReviewScreen.js" TargetMode="External" Id="rId45"/><Relationship Type="http://schemas.openxmlformats.org/officeDocument/2006/relationships/hyperlink" Target="#'Feature Register'!A28" TargetMode="External" Id="rId46"/><Relationship Type="http://schemas.openxmlformats.org/officeDocument/2006/relationships/hyperlink" Target="file:///C:/Users/Alex/Blyp26/src/screens/ReviewScreen.js" TargetMode="External" Id="rId47"/><Relationship Type="http://schemas.openxmlformats.org/officeDocument/2006/relationships/hyperlink" Target="#'Feature Register'!A29" TargetMode="External" Id="rId48"/><Relationship Type="http://schemas.openxmlformats.org/officeDocument/2006/relationships/hyperlink" Target="file:///C:/Users/Alex/Blyp26/src/screens/ReviewScreen.js" TargetMode="External" Id="rId49"/><Relationship Type="http://schemas.openxmlformats.org/officeDocument/2006/relationships/hyperlink" Target="#'Feature Register'!A30" TargetMode="External" Id="rId50"/><Relationship Type="http://schemas.openxmlformats.org/officeDocument/2006/relationships/hyperlink" Target="file:///C:/Users/Alex/Blyp26/src/screens/ReviewScreen.js" TargetMode="External" Id="rId51"/><Relationship Type="http://schemas.openxmlformats.org/officeDocument/2006/relationships/hyperlink" Target="#'Feature Register'!A31" TargetMode="External" Id="rId52"/><Relationship Type="http://schemas.openxmlformats.org/officeDocument/2006/relationships/hyperlink" Target="#'Feature Register'!A32" TargetMode="External" Id="rId53"/><Relationship Type="http://schemas.openxmlformats.org/officeDocument/2006/relationships/hyperlink" Target="file:///C:/Users/Alex/Blyp26/src/ (all JS/TS files)" TargetMode="External" Id="rId54"/><Relationship Type="http://schemas.openxmlformats.org/officeDocument/2006/relationships/hyperlink" Target="#'Feature Register'!A33" TargetMode="External" Id="rId55"/><Relationship Type="http://schemas.openxmlformats.org/officeDocument/2006/relationships/hyperlink" Target="file:///C:/Users/Alex/Blyp26/src/ (all JS/TS files)" TargetMode="External" Id="rId56"/><Relationship Type="http://schemas.openxmlformats.org/officeDocument/2006/relationships/hyperlink" Target="#'Feature Register'!A31" TargetMode="External" Id="rId57"/><Relationship Type="http://schemas.openxmlformats.org/officeDocument/2006/relationships/hyperlink" Target="file:///C:/Users/Alex/Blyp26/app.config.js" TargetMode="External" Id="rId58"/><Relationship Type="http://schemas.openxmlformats.org/officeDocument/2006/relationships/hyperlink" Target="#'Feature Register'!A21" TargetMode="External" Id="rId59"/><Relationship Type="http://schemas.openxmlformats.org/officeDocument/2006/relationships/hyperlink" Target="file:///C:/Users/Alex/Blyp26/src/services/geminiSpeechService.js" TargetMode="External" Id="rId60"/><Relationship Type="http://schemas.openxmlformats.org/officeDocument/2006/relationships/hyperlink" Target="#'Feature Register'!A23" TargetMode="External" Id="rId61"/><Relationship Type="http://schemas.openxmlformats.org/officeDocument/2006/relationships/hyperlink" Target="file:///C:/Users/Alex/Blyp26/src/services/mediaDescriptionService.js" TargetMode="External" Id="rId62"/><Relationship Type="http://schemas.openxmlformats.org/officeDocument/2006/relationships/hyperlink" Target="#'Feature Register'!A14" TargetMode="External" Id="rId63"/><Relationship Type="http://schemas.openxmlformats.org/officeDocument/2006/relationships/hyperlink" Target="file:///C:/Users/Alex/Blyp26/App.js" TargetMode="External" Id="rId64"/><Relationship Type="http://schemas.openxmlformats.org/officeDocument/2006/relationships/hyperlink" Target="#'Feature Register'!A15" TargetMode="External" Id="rId65"/><Relationship Type="http://schemas.openxmlformats.org/officeDocument/2006/relationships/hyperlink" Target="file:///C:/Users/Alex/Blyp26/App.js" TargetMode="External" Id="rId66"/><Relationship Type="http://schemas.openxmlformats.org/officeDocument/2006/relationships/hyperlink" Target="#'Feature Register'!A18" TargetMode="External" Id="rId67"/><Relationship Type="http://schemas.openxmlformats.org/officeDocument/2006/relationships/hyperlink" Target="file:///C:/Users/Alex/Blyp26/App.js" TargetMode="External" Id="rId68"/><Relationship Type="http://schemas.openxmlformats.org/officeDocument/2006/relationships/hyperlink" Target="#'Feature Register'!A18" TargetMode="External" Id="rId69"/><Relationship Type="http://schemas.openxmlformats.org/officeDocument/2006/relationships/hyperlink" Target="file:///C:/Users/Alex/Blyp26/src/services/speechToTextService.js" TargetMode="External" Id="rId70"/><Relationship Type="http://schemas.openxmlformats.org/officeDocument/2006/relationships/hyperlink" Target="#'Feature Register'!A11" TargetMode="External" Id="rId71"/><Relationship Type="http://schemas.openxmlformats.org/officeDocument/2006/relationships/hyperlink" Target="file:///C:/Users/Alex/Blyp26/App.js" TargetMode="External" Id="rId72"/><Relationship Type="http://schemas.openxmlformats.org/officeDocument/2006/relationships/hyperlink" Target="#'Feature Register'!A31" TargetMode="External" Id="rId73"/><Relationship Type="http://schemas.openxmlformats.org/officeDocument/2006/relationships/hyperlink" Target="file:///C:/Users/Alex/Blyp26/src/services/aiService.js" TargetMode="External" Id="rId74"/><Relationship Type="http://schemas.openxmlformats.org/officeDocument/2006/relationships/hyperlink" Target="#'Feature Register'!A15" TargetMode="External" Id="rId75"/><Relationship Type="http://schemas.openxmlformats.org/officeDocument/2006/relationships/hyperlink" Target="file:///C:/Users/Alex/Blyp26/app.config.js" TargetMode="External" Id="rId76"/><Relationship Type="http://schemas.openxmlformats.org/officeDocument/2006/relationships/hyperlink" Target="#'Feature Register'!A45" TargetMode="External" Id="rId77"/><Relationship Type="http://schemas.openxmlformats.org/officeDocument/2006/relationships/hyperlink" Target="#'Feature Register'!A61" TargetMode="External" Id="rId78"/><Relationship Type="http://schemas.openxmlformats.org/officeDocument/2006/relationships/hyperlink" Target="#'Feature Register'!A62" TargetMode="External" Id="rId79"/><Relationship Type="http://schemas.openxmlformats.org/officeDocument/2006/relationships/hyperlink" Target="file:///C:/Users/Alex/Blyp26/src/App.js" TargetMode="External" Id="rId80"/><Relationship Type="http://schemas.openxmlformats.org/officeDocument/2006/relationships/hyperlink" Target="#'Feature Register'!A63" TargetMode="External" Id="rId81"/><Relationship Type="http://schemas.openxmlformats.org/officeDocument/2006/relationships/hyperlink" Target="file:///C:/Users/Alex/Blyp26/src/App.js" TargetMode="External" Id="rId82"/><Relationship Type="http://schemas.openxmlformats.org/officeDocument/2006/relationships/hyperlink" Target="#'Feature Register'!A64" TargetMode="External" Id="rId83"/><Relationship Type="http://schemas.openxmlformats.org/officeDocument/2006/relationships/hyperlink" Target="file:///C:/Users/Alex/Blyp26/src/App.js" TargetMode="External" Id="rId84"/><Relationship Type="http://schemas.openxmlformats.org/officeDocument/2006/relationships/hyperlink" Target="#'Feature Register'!A65" TargetMode="External" Id="rId85"/><Relationship Type="http://schemas.openxmlformats.org/officeDocument/2006/relationships/hyperlink" Target="file:///C:/Users/Alex/Blyp26/src/App.js" TargetMode="External" Id="rId86"/><Relationship Type="http://schemas.openxmlformats.org/officeDocument/2006/relationships/hyperlink" Target="#'Feature Register'!A66" TargetMode="External" Id="rId87"/><Relationship Type="http://schemas.openxmlformats.org/officeDocument/2006/relationships/hyperlink" Target="file:///C:/Users/Alex/Blyp26/src/App.js" TargetMode="External" Id="rId88"/><Relationship Type="http://schemas.openxmlformats.org/officeDocument/2006/relationships/hyperlink" Target="#'Feature Register'!A67" TargetMode="External" Id="rId89"/><Relationship Type="http://schemas.openxmlformats.org/officeDocument/2006/relationships/hyperlink" Target="file:///C:/Users/Alex/Blyp26/src/App.js" TargetMode="External" Id="rId90"/><Relationship Type="http://schemas.openxmlformats.org/officeDocument/2006/relationships/hyperlink" Target="#'Feature Register'!A68" TargetMode="External" Id="rId91"/><Relationship Type="http://schemas.openxmlformats.org/officeDocument/2006/relationships/hyperlink" Target="file:///C:/Users/Alex/Blyp26/src/App.js" TargetMode="External" Id="rId92"/><Relationship Type="http://schemas.openxmlformats.org/officeDocument/2006/relationships/hyperlink" Target="#'Feature Register'!A69" TargetMode="External" Id="rId93"/><Relationship Type="http://schemas.openxmlformats.org/officeDocument/2006/relationships/hyperlink" Target="file:///C:/Users/Alex/Blyp26/src/App.js" TargetMode="External" Id="rId94"/><Relationship Type="http://schemas.openxmlformats.org/officeDocument/2006/relationships/hyperlink" Target="#'Feature Register'!A70" TargetMode="External" Id="rId95"/><Relationship Type="http://schemas.openxmlformats.org/officeDocument/2006/relationships/hyperlink" Target="file:///C:/Users/Alex/Blyp26/src/App.js" TargetMode="External" Id="rId96"/><Relationship Type="http://schemas.openxmlformats.org/officeDocument/2006/relationships/hyperlink" Target="#'Feature Register'!A71" TargetMode="External" Id="rId97"/><Relationship Type="http://schemas.openxmlformats.org/officeDocument/2006/relationships/hyperlink" Target="file:///C:/Users/Alex/Blyp26/src/App.js" TargetMode="External" Id="rId98"/><Relationship Type="http://schemas.openxmlformats.org/officeDocument/2006/relationships/hyperlink" Target="#'Feature Register'!A72" TargetMode="External" Id="rId99"/><Relationship Type="http://schemas.openxmlformats.org/officeDocument/2006/relationships/hyperlink" Target="file:///C:/Users/Alex/Blyp26/src/App.js" TargetMode="External" Id="rId100"/><Relationship Type="http://schemas.openxmlformats.org/officeDocument/2006/relationships/hyperlink" Target="#'Feature Register'!A73" TargetMode="External" Id="rId101"/><Relationship Type="http://schemas.openxmlformats.org/officeDocument/2006/relationships/hyperlink" Target="file:///C:/Users/Alex/Blyp26/src/App.js" TargetMode="External" Id="rId102"/><Relationship Type="http://schemas.openxmlformats.org/officeDocument/2006/relationships/hyperlink" Target="#'Feature Register'!A74" TargetMode="External" Id="rId103"/><Relationship Type="http://schemas.openxmlformats.org/officeDocument/2006/relationships/hyperlink" Target="file:///C:/Users/Alex/Blyp26/src/App.js" TargetMode="External" Id="rId104"/><Relationship Type="http://schemas.openxmlformats.org/officeDocument/2006/relationships/hyperlink" Target="#'Feature Register'!A75" TargetMode="External" Id="rId105"/><Relationship Type="http://schemas.openxmlformats.org/officeDocument/2006/relationships/hyperlink" Target="file:///C:/Users/Alex/Blyp26/src/App.js" TargetMode="External" Id="rId106"/><Relationship Type="http://schemas.openxmlformats.org/officeDocument/2006/relationships/hyperlink" Target="#'Feature Register'!A76" TargetMode="External" Id="rId107"/><Relationship Type="http://schemas.openxmlformats.org/officeDocument/2006/relationships/hyperlink" Target="file:///C:/Users/Alex/Blyp26/src/App.js" TargetMode="External" Id="rId108"/><Relationship Type="http://schemas.openxmlformats.org/officeDocument/2006/relationships/hyperlink" Target="#'Feature Register'!A77" TargetMode="External" Id="rId109"/><Relationship Type="http://schemas.openxmlformats.org/officeDocument/2006/relationships/hyperlink" Target="file:///C:/Users/Alex/Blyp26/src/App.js" TargetMode="External" Id="rId110"/><Relationship Type="http://schemas.openxmlformats.org/officeDocument/2006/relationships/hyperlink" Target="#'Feature Register'!A78" TargetMode="External" Id="rId111"/><Relationship Type="http://schemas.openxmlformats.org/officeDocument/2006/relationships/hyperlink" Target="file:///C:/Users/Alex/Blyp26/src/App.js" TargetMode="External" Id="rId112"/><Relationship Type="http://schemas.openxmlformats.org/officeDocument/2006/relationships/hyperlink" Target="#'Feature Register'!A79" TargetMode="External" Id="rId113"/><Relationship Type="http://schemas.openxmlformats.org/officeDocument/2006/relationships/hyperlink" Target="file:///C:/Users/Alex/Blyp26/src/App.js" TargetMode="External" Id="rId114"/><Relationship Type="http://schemas.openxmlformats.org/officeDocument/2006/relationships/hyperlink" Target="#'Feature Register'!A80" TargetMode="External" Id="rId115"/><Relationship Type="http://schemas.openxmlformats.org/officeDocument/2006/relationships/hyperlink" Target="file:///C:/Users/Alex/Blyp26/src/App.js" TargetMode="External" Id="rId116"/><Relationship Type="http://schemas.openxmlformats.org/officeDocument/2006/relationships/hyperlink" Target="#'Feature Register'!A81" TargetMode="External" Id="rId117"/><Relationship Type="http://schemas.openxmlformats.org/officeDocument/2006/relationships/hyperlink" Target="file:///C:/Users/Alex/Blyp26/src/App.js" TargetMode="External" Id="rId118"/><Relationship Type="http://schemas.openxmlformats.org/officeDocument/2006/relationships/hyperlink" Target="#'Feature Register'!A94" TargetMode="External" Id="rId119"/><Relationship Type="http://schemas.openxmlformats.org/officeDocument/2006/relationships/hyperlink" Target="file:///C:/Users/Alex/Blyp26/src/screens/ChatListScreen.js" TargetMode="External" Id="rId120"/><Relationship Type="http://schemas.openxmlformats.org/officeDocument/2006/relationships/hyperlink" Target="#'Feature Register'!A101" TargetMode="External" Id="rId121"/><Relationship Type="http://schemas.openxmlformats.org/officeDocument/2006/relationships/hyperlink" Target="file:///C:/Users/Alex/Blyp26/src/hooks/useIsAdmin.js" TargetMode="External" Id="rId122"/><Relationship Type="http://schemas.openxmlformats.org/officeDocument/2006/relationships/hyperlink" Target="#'Feature Register'!A101" TargetMode="External" Id="rId123"/><Relationship Type="http://schemas.openxmlformats.org/officeDocument/2006/relationships/hyperlink" Target="file:///C:/Users/Alex/Blyp26/src/screens/ModerationQueueScreen.js" TargetMode="External" Id="rId124"/><Relationship Type="http://schemas.openxmlformats.org/officeDocument/2006/relationships/hyperlink" Target="#'Feature Register'!A101" TargetMode="External" Id="rId125"/><Relationship Type="http://schemas.openxmlformats.org/officeDocument/2006/relationships/hyperlink" Target="file:///C:/Users/Alex/Blyp26/backend/blyp-live-service/src/admin/adminSchemas.ts" TargetMode="External" Id="rId126"/><Relationship Type="http://schemas.openxmlformats.org/officeDocument/2006/relationships/hyperlink" Target="#'Feature Register'!A101" TargetMode="External" Id="rId127"/><Relationship Type="http://schemas.openxmlformats.org/officeDocument/2006/relationships/hyperlink" Target="file:///C:/Users/Alex/Blyp26/backend/blyp-live-service/src/admin/adminRoutes.ts" TargetMode="External" Id="rId128"/><Relationship Type="http://schemas.openxmlformats.org/officeDocument/2006/relationships/hyperlink" Target="#'Feature Register'!A101" TargetMode="External" Id="rId129"/><Relationship Type="http://schemas.openxmlformats.org/officeDocument/2006/relationships/hyperlink" Target="file:///C:/Users/Alex/Blyp26/backend/blyp-live-service/src/economy/schema.ts" TargetMode="External" Id="rId130"/><Relationship Type="http://schemas.openxmlformats.org/officeDocument/2006/relationships/hyperlink" Target="#'Feature Register'!A88" TargetMode="External" Id="rId131"/><Relationship Type="http://schemas.openxmlformats.org/officeDocument/2006/relationships/hyperlink" Target="file:///C:/Users/Alex/Blyp26/src/services/EnterpriseAnalyticsService.js" TargetMode="External" Id="rId132"/><Relationship Type="http://schemas.openxmlformats.org/officeDocument/2006/relationships/hyperlink" Target="#'Feature Register'!A88" TargetMode="External" Id="rId133"/><Relationship Type="http://schemas.openxmlformats.org/officeDocument/2006/relationships/hyperlink" Target="file:///C:/Users/Alex/Blyp26/src/services/HLSLiveStreamService.js" TargetMode="External" Id="rId134"/><Relationship Type="http://schemas.openxmlformats.org/officeDocument/2006/relationships/hyperlink" Target="#'Feature Register'!A86" TargetMode="External" Id="rId135"/><Relationship Type="http://schemas.openxmlformats.org/officeDocument/2006/relationships/hyperlink" Target="file:///C:/Users/Alex/Blyp26/src/utils/smartListGenerator.js" TargetMode="External" Id="rId136"/><Relationship Type="http://schemas.openxmlformats.org/officeDocument/2006/relationships/hyperlink" Target="#'Feature Register'!A86" TargetMode="External" Id="rId137"/><Relationship Type="http://schemas.openxmlformats.org/officeDocument/2006/relationships/hyperlink" Target="file:///C:/Users/Alex/Blyp26/src/components/WhatsAppPopularTab.js" TargetMode="External" Id="rId138"/><Relationship Type="http://schemas.openxmlformats.org/officeDocument/2006/relationships/hyperlink" Target="#'Feature Register'!A89" TargetMode="External" Id="rId139"/><Relationship Type="http://schemas.openxmlformats.org/officeDocument/2006/relationships/hyperlink" Target="file:///C:/Users/Alex/Blyp26/backend/blyp-live-service/src/economy/schema.ts" TargetMode="External" Id="rId140"/><Relationship Type="http://schemas.openxmlformats.org/officeDocument/2006/relationships/hyperlink" Target="#'Feature Register'!A89" TargetMode="External" Id="rId141"/><Relationship Type="http://schemas.openxmlformats.org/officeDocument/2006/relationships/hyperlink" Target="file:///C:/Users/Alex/Blyp26/backend/blyp-live-service/src/economy/economyService.ts" TargetMode="External" Id="rId142"/><Relationship Type="http://schemas.openxmlformats.org/officeDocument/2006/relationships/hyperlink" Target="#'Feature Register'!A87" TargetMode="External" Id="rId143"/><Relationship Type="http://schemas.openxmlformats.org/officeDocument/2006/relationships/hyperlink" Target="file:///C:/Users/Alex/Blyp26/backend/blyp-live-service/src/admin/adminService.ts" TargetMode="External" Id="rId144"/><Relationship Type="http://schemas.openxmlformats.org/officeDocument/2006/relationships/hyperlink" Target="#'Feature Register'!A87" TargetMode="External" Id="rId145"/><Relationship Type="http://schemas.openxmlformats.org/officeDocument/2006/relationships/hyperlink" Target="file:///C:/Users/Alex/Blyp26/functions/src/index.ts" TargetMode="External" Id="rId146"/><Relationship Type="http://schemas.openxmlformats.org/officeDocument/2006/relationships/hyperlink" Target="#'Feature Register'!A87" TargetMode="External" Id="rId147"/><Relationship Type="http://schemas.openxmlformats.org/officeDocument/2006/relationships/hyperlink" Target="file:///C:/Users/Alex/Blyp26/src/performance/PerformanceStore.js" TargetMode="External" Id="rId148"/><Relationship Type="http://schemas.openxmlformats.org/officeDocument/2006/relationships/hyperlink" Target="#'Feature Register'!A106" TargetMode="External" Id="rId149"/><Relationship Type="http://schemas.openxmlformats.org/officeDocument/2006/relationships/hyperlink" Target="file:///C:/Users/Alex/Blyp26/src/utils/activityTracker.js" TargetMode="External" Id="rId150"/><Relationship Type="http://schemas.openxmlformats.org/officeDocument/2006/relationships/hyperlink" Target="#'Feature Register'!A82" TargetMode="External" Id="rId151"/><Relationship Type="http://schemas.openxmlformats.org/officeDocument/2006/relationships/hyperlink" Target="file:///C:/Users/Alex/Blyp26/src/screens/, src/components/, src/services/, src/hooks/, backend/, functions/" TargetMode="External" Id="rId152"/><Relationship Type="http://schemas.openxmlformats.org/officeDocument/2006/relationships/hyperlink" Target="#'Feature Register'!A101" TargetMode="External" Id="rId153"/><Relationship Type="http://schemas.openxmlformats.org/officeDocument/2006/relationships/hyperlink" Target="#'Feature Register'!A98" TargetMode="External" Id="rId154"/><Relationship Type="http://schemas.openxmlformats.org/officeDocument/2006/relationships/hyperlink" Target="file:///C:/Users/Alex/Blyp26/src/components/DailyRewards.js" TargetMode="External" Id="rId155"/><Relationship Type="http://schemas.openxmlformats.org/officeDocument/2006/relationships/hyperlink" Target="#'Feature Register'!A107" TargetMode="External" Id="rId156"/><Relationship Type="http://schemas.openxmlformats.org/officeDocument/2006/relationships/hyperlink" Target="#'Feature Register'!A108" TargetMode="External" Id="rId157"/><Relationship Type="http://schemas.openxmlformats.org/officeDocument/2006/relationships/hyperlink" Target="#'Feature Register'!A122" TargetMode="External" Id="rId158"/><Relationship Type="http://schemas.openxmlformats.org/officeDocument/2006/relationships/hyperlink" Target="#'Feature Register'!A123" TargetMode="External" Id="rId159"/><Relationship Type="http://schemas.openxmlformats.org/officeDocument/2006/relationships/hyperlink" Target="#'Feature Register'!A125" TargetMode="External" Id="rId160"/><Relationship Type="http://schemas.openxmlformats.org/officeDocument/2006/relationships/hyperlink" Target="#'Feature Register'!A126" TargetMode="External" Id="rId161"/><Relationship Type="http://schemas.openxmlformats.org/officeDocument/2006/relationships/hyperlink" Target="#'Feature Register'!A127" TargetMode="External" Id="rId162"/><Relationship Type="http://schemas.openxmlformats.org/officeDocument/2006/relationships/hyperlink" Target="#'Feature Register'!A129" TargetMode="External" Id="rId163"/><Relationship Type="http://schemas.openxmlformats.org/officeDocument/2006/relationships/hyperlink" Target="#'Feature Register'!A130" TargetMode="External" Id="rId164"/><Relationship Type="http://schemas.openxmlformats.org/officeDocument/2006/relationships/hyperlink" Target="#'Feature Register'!A131" TargetMode="External" Id="rId165"/><Relationship Type="http://schemas.openxmlformats.org/officeDocument/2006/relationships/hyperlink" Target="#'Feature Register'!A132" TargetMode="External" Id="rId166"/><Relationship Type="http://schemas.openxmlformats.org/officeDocument/2006/relationships/hyperlink" Target="#'Feature Register'!A133" TargetMode="External" Id="rId167"/><Relationship Type="http://schemas.openxmlformats.org/officeDocument/2006/relationships/hyperlink" Target="#'Feature Register'!A134" TargetMode="External" Id="rId168"/><Relationship Type="http://schemas.openxmlformats.org/officeDocument/2006/relationships/hyperlink" Target="#'Feature Register'!A135" TargetMode="External" Id="rId169"/><Relationship Type="http://schemas.openxmlformats.org/officeDocument/2006/relationships/hyperlink" Target="#'Feature Register'!A136" TargetMode="External" Id="rId170"/><Relationship Type="http://schemas.openxmlformats.org/officeDocument/2006/relationships/hyperlink" Target="#'Feature Register'!A137" TargetMode="External" Id="rId171"/><Relationship Type="http://schemas.openxmlformats.org/officeDocument/2006/relationships/hyperlink" Target="#'Feature Register'!A138" TargetMode="External" Id="rId172"/><Relationship Type="http://schemas.openxmlformats.org/officeDocument/2006/relationships/hyperlink" Target="#'Feature Register'!A139" TargetMode="External" Id="rId173"/><Relationship Type="http://schemas.openxmlformats.org/officeDocument/2006/relationships/hyperlink" Target="#'Feature Register'!A140" TargetMode="External" Id="rId174"/><Relationship Type="http://schemas.openxmlformats.org/officeDocument/2006/relationships/hyperlink" Target="#'Feature Register'!A141" TargetMode="External" Id="rId175"/><Relationship Type="http://schemas.openxmlformats.org/officeDocument/2006/relationships/hyperlink" Target="#'Feature Register'!A142" TargetMode="External" Id="rId176"/><Relationship Type="http://schemas.openxmlformats.org/officeDocument/2006/relationships/hyperlink" Target="#'Feature Register'!A143" TargetMode="External" Id="rId177"/><Relationship Type="http://schemas.openxmlformats.org/officeDocument/2006/relationships/hyperlink" Target="#'Feature Register'!A144" TargetMode="External" Id="rId178"/><Relationship Type="http://schemas.openxmlformats.org/officeDocument/2006/relationships/hyperlink" Target="#'Feature Register'!A145" TargetMode="External" Id="rId179"/><Relationship Type="http://schemas.openxmlformats.org/officeDocument/2006/relationships/hyperlink" Target="#'Feature Register'!A146" TargetMode="External" Id="rId180"/><Relationship Type="http://schemas.openxmlformats.org/officeDocument/2006/relationships/hyperlink" Target="#'Feature Register'!A147" TargetMode="External" Id="rId181"/><Relationship Type="http://schemas.openxmlformats.org/officeDocument/2006/relationships/hyperlink" Target="#'Feature Register'!A148" TargetMode="External" Id="rId182"/><Relationship Type="http://schemas.openxmlformats.org/officeDocument/2006/relationships/hyperlink" Target="#'Feature Register'!A149" TargetMode="External" Id="rId183"/><Relationship Type="http://schemas.openxmlformats.org/officeDocument/2006/relationships/hyperlink" Target="#'Feature Register'!A179" TargetMode="External" Id="rId184"/><Relationship Type="http://schemas.openxmlformats.org/officeDocument/2006/relationships/hyperlink" Target="file:///C:/Users/Alex/Blyp26/src/components/BlockButton.js" TargetMode="External" Id="rId185"/><Relationship Type="http://schemas.openxmlformats.org/officeDocument/2006/relationships/hyperlink" Target="#'Feature Register'!A180" TargetMode="External" Id="rId186"/><Relationship Type="http://schemas.openxmlformats.org/officeDocument/2006/relationships/hyperlink" Target="file:///C:/Users/Alex/Blyp26/src/components/MuteButton.js" TargetMode="External" Id="rId187"/><Relationship Type="http://schemas.openxmlformats.org/officeDocument/2006/relationships/hyperlink" Target="#'Feature Register'!A181" TargetMode="External" Id="rId188"/><Relationship Type="http://schemas.openxmlformats.org/officeDocument/2006/relationships/hyperlink" Target="file:///C:/Users/Alex/Blyp26/src/components/ReportModal.js" TargetMode="External" Id="rId189"/><Relationship Type="http://schemas.openxmlformats.org/officeDocument/2006/relationships/hyperlink" Target="#'Feature Register'!A182" TargetMode="External" Id="rId190"/><Relationship Type="http://schemas.openxmlformats.org/officeDocument/2006/relationships/hyperlink" Target="file:///C:/Users/Alex/Blyp26/src/components/ReportModal.js" TargetMode="External" Id="rId191"/><Relationship Type="http://schemas.openxmlformats.org/officeDocument/2006/relationships/hyperlink" Target="#'Feature Register'!A184" TargetMode="External" Id="rId192"/><Relationship Type="http://schemas.openxmlformats.org/officeDocument/2006/relationships/hyperlink" Target="file:///C:/Users/Alex/Blyp26/src/components/MuteButton.js" TargetMode="External" Id="rId193"/><Relationship Type="http://schemas.openxmlformats.org/officeDocument/2006/relationships/hyperlink" Target="#'Feature Register'!A194" TargetMode="External" Id="rId194"/><Relationship Type="http://schemas.openxmlformats.org/officeDocument/2006/relationships/hyperlink" Target="file:///C:/Users/Alex/Blyp26/src/components/ReportModal.js" TargetMode="External" Id="rId195"/><Relationship Type="http://schemas.openxmlformats.org/officeDocument/2006/relationships/hyperlink" Target="#'Feature Register'!A195" TargetMode="External" Id="rId196"/><Relationship Type="http://schemas.openxmlformats.org/officeDocument/2006/relationships/hyperlink" Target="file:///C:/Users/Alex/Blyp26/src/components/ReportModal.js" TargetMode="External" Id="rId197"/><Relationship Type="http://schemas.openxmlformats.org/officeDocument/2006/relationships/hyperlink" Target="#'Feature Register'!A197" TargetMode="External" Id="rId198"/><Relationship Type="http://schemas.openxmlformats.org/officeDocument/2006/relationships/hyperlink" Target="#'Feature Register'!A198" TargetMode="External" Id="rId199"/><Relationship Type="http://schemas.openxmlformats.org/officeDocument/2006/relationships/hyperlink" Target="file:///C:/Users/Alex/Blyp26/src/screens/AuthScreen.js" TargetMode="External" Id="rId200"/><Relationship Type="http://schemas.openxmlformats.org/officeDocument/2006/relationships/hyperlink" Target="#'Feature Register'!A198" TargetMode="External" Id="rId201"/><Relationship Type="http://schemas.openxmlformats.org/officeDocument/2006/relationships/hyperlink" Target="file:///C:/Users/Alex/Blyp26/src/screens/AuthScreen.js" TargetMode="External" Id="rId202"/><Relationship Type="http://schemas.openxmlformats.org/officeDocument/2006/relationships/hyperlink" Target="#'Feature Register'!A199" TargetMode="External" Id="rId203"/><Relationship Type="http://schemas.openxmlformats.org/officeDocument/2006/relationships/hyperlink" Target="file:///C:/Users/Alex/Blyp26/src/screens/AuthScreen.js" TargetMode="External" Id="rId204"/><Relationship Type="http://schemas.openxmlformats.org/officeDocument/2006/relationships/hyperlink" Target="#'Feature Register'!A200" TargetMode="External" Id="rId205"/><Relationship Type="http://schemas.openxmlformats.org/officeDocument/2006/relationships/hyperlink" Target="file:///C:/Users/Alex/Blyp26/src/screens/AuthScreen.js" TargetMode="External" Id="rId206"/><Relationship Type="http://schemas.openxmlformats.org/officeDocument/2006/relationships/hyperlink" Target="#'Feature Register'!A201" TargetMode="External" Id="rId207"/><Relationship Type="http://schemas.openxmlformats.org/officeDocument/2006/relationships/hyperlink" Target="file:///C:/Users/Alex/Blyp26/src/screens/AuthScreen.js" TargetMode="External" Id="rId208"/><Relationship Type="http://schemas.openxmlformats.org/officeDocument/2006/relationships/hyperlink" Target="#'Feature Register'!A202" TargetMode="External" Id="rId209"/><Relationship Type="http://schemas.openxmlformats.org/officeDocument/2006/relationships/hyperlink" Target="file:///C:/Users/Alex/Blyp26/src/services/socialAuthService.js" TargetMode="External" Id="rId210"/><Relationship Type="http://schemas.openxmlformats.org/officeDocument/2006/relationships/hyperlink" Target="#'Feature Register'!A204" TargetMode="External" Id="rId211"/><Relationship Type="http://schemas.openxmlformats.org/officeDocument/2006/relationships/hyperlink" Target="file:///C:/Users/Alex/Blyp26/src/services/socialAuthService.js" TargetMode="External" Id="rId212"/><Relationship Type="http://schemas.openxmlformats.org/officeDocument/2006/relationships/hyperlink" Target="#'Feature Register'!A208" TargetMode="External" Id="rId213"/><Relationship Type="http://schemas.openxmlformats.org/officeDocument/2006/relationships/hyperlink" Target="file:///C:/Users/Alex/Blyp26/src/screens/EditProfileScreen.js" TargetMode="External" Id="rId214"/><Relationship Type="http://schemas.openxmlformats.org/officeDocument/2006/relationships/hyperlink" Target="#'Feature Register'!A239" TargetMode="External" Id="rId215"/><Relationship Type="http://schemas.openxmlformats.org/officeDocument/2006/relationships/hyperlink" Target="file:///C:/Users/Alex/Blyp26/src/services/searchService.js" TargetMode="External" Id="rId216"/><Relationship Type="http://schemas.openxmlformats.org/officeDocument/2006/relationships/hyperlink" Target="#'Feature Register'!A239" TargetMode="External" Id="rId217"/><Relationship Type="http://schemas.openxmlformats.org/officeDocument/2006/relationships/hyperlink" Target="file:///C:/Users/Alex/Blyp26/src/screens/SearchScreen.js" TargetMode="External" Id="rId218"/><Relationship Type="http://schemas.openxmlformats.org/officeDocument/2006/relationships/hyperlink" Target="#'Feature Register'!A240" TargetMode="External" Id="rId219"/><Relationship Type="http://schemas.openxmlformats.org/officeDocument/2006/relationships/hyperlink" Target="file:///C:/Users/Alex/Blyp26/src/services/searchService.js" TargetMode="External" Id="rId220"/><Relationship Type="http://schemas.openxmlformats.org/officeDocument/2006/relationships/hyperlink" Target="#'Feature Register'!A240" TargetMode="External" Id="rId221"/><Relationship Type="http://schemas.openxmlformats.org/officeDocument/2006/relationships/hyperlink" Target="file:///C:/Users/Alex/Blyp26/src/screens/SearchScreen.js" TargetMode="External" Id="rId222"/><Relationship Type="http://schemas.openxmlformats.org/officeDocument/2006/relationships/hyperlink" Target="#'Feature Register'!A241" TargetMode="External" Id="rId223"/><Relationship Type="http://schemas.openxmlformats.org/officeDocument/2006/relationships/hyperlink" Target="file:///C:/Users/Alex/Blyp26/src/services/searchService.js" TargetMode="External" Id="rId224"/><Relationship Type="http://schemas.openxmlformats.org/officeDocument/2006/relationships/hyperlink" Target="#'Feature Register'!A241" TargetMode="External" Id="rId225"/><Relationship Type="http://schemas.openxmlformats.org/officeDocument/2006/relationships/hyperlink" Target="file:///C:/Users/Alex/Blyp26/src/screens/SearchScreen.js" TargetMode="External" Id="rId226"/><Relationship Type="http://schemas.openxmlformats.org/officeDocument/2006/relationships/hyperlink" Target="#'Feature Register'!A242" TargetMode="External" Id="rId227"/><Relationship Type="http://schemas.openxmlformats.org/officeDocument/2006/relationships/hyperlink" Target="file:///C:/Users/Alex/Blyp26/src/services/searchService.js" TargetMode="External" Id="rId228"/><Relationship Type="http://schemas.openxmlformats.org/officeDocument/2006/relationships/hyperlink" Target="#'Feature Register'!A242" TargetMode="External" Id="rId229"/><Relationship Type="http://schemas.openxmlformats.org/officeDocument/2006/relationships/hyperlink" Target="file:///C:/Users/Alex/Blyp26/src/screens/SearchScreen.js" TargetMode="External" Id="rId230"/><Relationship Type="http://schemas.openxmlformats.org/officeDocument/2006/relationships/hyperlink" Target="#'Feature Register'!A248" TargetMode="External" Id="rId231"/><Relationship Type="http://schemas.openxmlformats.org/officeDocument/2006/relationships/hyperlink" Target="file:///C:/Users/Alex/Blyp26/src/screens/SearchScreen.js" TargetMode="External" Id="rId232"/><Relationship Type="http://schemas.openxmlformats.org/officeDocument/2006/relationships/hyperlink" Target="#'Feature Register'!A249" TargetMode="External" Id="rId233"/><Relationship Type="http://schemas.openxmlformats.org/officeDocument/2006/relationships/hyperlink" Target="file:///C:/Users/Alex/Blyp26/src/screens/SearchScreen.js" TargetMode="External" Id="rId234"/><Relationship Type="http://schemas.openxmlformats.org/officeDocument/2006/relationships/hyperlink" Target="#'Feature Register'!A249" TargetMode="External" Id="rId235"/><Relationship Type="http://schemas.openxmlformats.org/officeDocument/2006/relationships/hyperlink" Target="file:///C:/Users/Alex/Blyp26/src/screens/SearchScreen.js" TargetMode="External" Id="rId236"/><Relationship Type="http://schemas.openxmlformats.org/officeDocument/2006/relationships/hyperlink" Target="#'Feature Register'!A250" TargetMode="External" Id="rId237"/><Relationship Type="http://schemas.openxmlformats.org/officeDocument/2006/relationships/hyperlink" Target="file:///C:/Users/Alex/Blyp26/src/services/searchService.js" TargetMode="External" Id="rId238"/><Relationship Type="http://schemas.openxmlformats.org/officeDocument/2006/relationships/hyperlink" Target="#'Feature Register'!A250" TargetMode="External" Id="rId239"/><Relationship Type="http://schemas.openxmlformats.org/officeDocument/2006/relationships/hyperlink" Target="file:///C:/Users/Alex/Blyp26/src/screens/SearchScreen.js" TargetMode="External" Id="rId240"/><Relationship Type="http://schemas.openxmlformats.org/officeDocument/2006/relationships/hyperlink" Target="#'Feature Register'!A251" TargetMode="External" Id="rId241"/><Relationship Type="http://schemas.openxmlformats.org/officeDocument/2006/relationships/hyperlink" Target="file:///C:/Users/Alex/Blyp26/src/screens/SearchScreen.js" TargetMode="External" Id="rId242"/><Relationship Type="http://schemas.openxmlformats.org/officeDocument/2006/relationships/hyperlink" Target="#'Feature Register'!A251" TargetMode="External" Id="rId243"/><Relationship Type="http://schemas.openxmlformats.org/officeDocument/2006/relationships/hyperlink" Target="file:///C:/Users/Alex/Blyp26/src/screens/SearchScreen.js" TargetMode="External" Id="rId244"/><Relationship Type="http://schemas.openxmlformats.org/officeDocument/2006/relationships/hyperlink" Target="#'Feature Register'!A256" TargetMode="External" Id="rId245"/><Relationship Type="http://schemas.openxmlformats.org/officeDocument/2006/relationships/hyperlink" Target="file:///C:/Users/Alex/Blyp26/src/services/searchService.js" TargetMode="External" Id="rId246"/><Relationship Type="http://schemas.openxmlformats.org/officeDocument/2006/relationships/hyperlink" Target="#'Feature Register'!A256" TargetMode="External" Id="rId247"/><Relationship Type="http://schemas.openxmlformats.org/officeDocument/2006/relationships/hyperlink" Target="file:///C:/Users/Alex/Blyp26/src/screens/SearchScreen.js" TargetMode="External" Id="rId248"/><Relationship Type="http://schemas.openxmlformats.org/officeDocument/2006/relationships/hyperlink" Target="#'Feature Register'!A258" TargetMode="External" Id="rId249"/><Relationship Type="http://schemas.openxmlformats.org/officeDocument/2006/relationships/hyperlink" Target="#'Feature Register'!A260" TargetMode="External" Id="rId250"/><Relationship Type="http://schemas.openxmlformats.org/officeDocument/2006/relationships/hyperlink" Target="#'Feature Register'!A261" TargetMode="External" Id="rId251"/><Relationship Type="http://schemas.openxmlformats.org/officeDocument/2006/relationships/hyperlink" Target="#'Feature Register'!A289" TargetMode="External" Id="rId252"/><Relationship Type="http://schemas.openxmlformats.org/officeDocument/2006/relationships/hyperlink" Target="#'Feature Register'!A290" TargetMode="External" Id="rId253"/><Relationship Type="http://schemas.openxmlformats.org/officeDocument/2006/relationships/hyperlink" Target="#'Feature Register'!A291" TargetMode="External" Id="rId254"/><Relationship Type="http://schemas.openxmlformats.org/officeDocument/2006/relationships/hyperlink" Target="#'Feature Register'!A292" TargetMode="External" Id="rId255"/><Relationship Type="http://schemas.openxmlformats.org/officeDocument/2006/relationships/hyperlink" Target="#'Feature Register'!A293" TargetMode="External" Id="rId256"/><Relationship Type="http://schemas.openxmlformats.org/officeDocument/2006/relationships/hyperlink" Target="#'Feature Register'!A294" TargetMode="External" Id="rId257"/><Relationship Type="http://schemas.openxmlformats.org/officeDocument/2006/relationships/hyperlink" Target="#'Feature Register'!A295" TargetMode="External" Id="rId258"/><Relationship Type="http://schemas.openxmlformats.org/officeDocument/2006/relationships/hyperlink" Target="#'Feature Register'!A296" TargetMode="External" Id="rId259"/><Relationship Type="http://schemas.openxmlformats.org/officeDocument/2006/relationships/hyperlink" Target="#'Feature Register'!A297" TargetMode="External" Id="rId260"/><Relationship Type="http://schemas.openxmlformats.org/officeDocument/2006/relationships/hyperlink" Target="#'Feature Register'!A298" TargetMode="External" Id="rId261"/><Relationship Type="http://schemas.openxmlformats.org/officeDocument/2006/relationships/hyperlink" Target="#'Feature Register'!A299" TargetMode="External" Id="rId262"/><Relationship Type="http://schemas.openxmlformats.org/officeDocument/2006/relationships/hyperlink" Target="file:///C:/Users/Alex/Blyp26/src/screens/ProfileScreen.js" TargetMode="External" Id="rId263"/><Relationship Type="http://schemas.openxmlformats.org/officeDocument/2006/relationships/hyperlink" Target="#'Feature Register'!A299" TargetMode="External" Id="rId264"/><Relationship Type="http://schemas.openxmlformats.org/officeDocument/2006/relationships/hyperlink" Target="file:///C:/Users/Alex/Blyp26/src/screens/EditProfileScreen.js" TargetMode="External" Id="rId265"/><Relationship Type="http://schemas.openxmlformats.org/officeDocument/2006/relationships/hyperlink" Target="#'Feature Register'!A300" TargetMode="External" Id="rId266"/><Relationship Type="http://schemas.openxmlformats.org/officeDocument/2006/relationships/hyperlink" Target="file:///C:/Users/Alex/Blyp26/src/screens/ProfileScreen.js" TargetMode="External" Id="rId267"/><Relationship Type="http://schemas.openxmlformats.org/officeDocument/2006/relationships/hyperlink" Target="#'Feature Register'!A300" TargetMode="External" Id="rId268"/><Relationship Type="http://schemas.openxmlformats.org/officeDocument/2006/relationships/hyperlink" Target="file:///C:/Users/Alex/Blyp26/src/screens/EditProfileScreen.js" TargetMode="External" Id="rId269"/><Relationship Type="http://schemas.openxmlformats.org/officeDocument/2006/relationships/hyperlink" Target="#'Feature Register'!A301" TargetMode="External" Id="rId270"/><Relationship Type="http://schemas.openxmlformats.org/officeDocument/2006/relationships/hyperlink" Target="file:///C:/Users/Alex/Blyp26/src/screens/ProfileScreen.js" TargetMode="External" Id="rId271"/><Relationship Type="http://schemas.openxmlformats.org/officeDocument/2006/relationships/hyperlink" Target="#'Feature Register'!A301" TargetMode="External" Id="rId272"/><Relationship Type="http://schemas.openxmlformats.org/officeDocument/2006/relationships/hyperlink" Target="file:///C:/Users/Alex/Blyp26/src/screens/EditProfileScreen.js" TargetMode="External" Id="rId273"/><Relationship Type="http://schemas.openxmlformats.org/officeDocument/2006/relationships/hyperlink" Target="#'Feature Register'!A302" TargetMode="External" Id="rId274"/><Relationship Type="http://schemas.openxmlformats.org/officeDocument/2006/relationships/hyperlink" Target="file:///C:/Users/Alex/Blyp26/src/screens/ProfileScreen.js" TargetMode="External" Id="rId275"/><Relationship Type="http://schemas.openxmlformats.org/officeDocument/2006/relationships/hyperlink" Target="#'Feature Register'!A302" TargetMode="External" Id="rId276"/><Relationship Type="http://schemas.openxmlformats.org/officeDocument/2006/relationships/hyperlink" Target="file:///C:/Users/Alex/Blyp26/src/screens/EditProfileScreen.js" TargetMode="External" Id="rId277"/><Relationship Type="http://schemas.openxmlformats.org/officeDocument/2006/relationships/hyperlink" Target="#'Feature Register'!A303" TargetMode="External" Id="rId278"/><Relationship Type="http://schemas.openxmlformats.org/officeDocument/2006/relationships/hyperlink" Target="#'Feature Register'!A304" TargetMode="External" Id="rId279"/><Relationship Type="http://schemas.openxmlformats.org/officeDocument/2006/relationships/hyperlink" Target="#'Feature Register'!A305" TargetMode="External" Id="rId280"/><Relationship Type="http://schemas.openxmlformats.org/officeDocument/2006/relationships/hyperlink" Target="#'Feature Register'!A306" TargetMode="External" Id="rId281"/><Relationship Type="http://schemas.openxmlformats.org/officeDocument/2006/relationships/hyperlink" Target="#'Feature Register'!A307" TargetMode="External" Id="rId282"/><Relationship Type="http://schemas.openxmlformats.org/officeDocument/2006/relationships/hyperlink" Target="#'Feature Register'!A308" TargetMode="External" Id="rId283"/><Relationship Type="http://schemas.openxmlformats.org/officeDocument/2006/relationships/hyperlink" Target="#'Feature Register'!A309" TargetMode="External" Id="rId284"/><Relationship Type="http://schemas.openxmlformats.org/officeDocument/2006/relationships/hyperlink" Target="#'Feature Register'!A310" TargetMode="External" Id="rId285"/><Relationship Type="http://schemas.openxmlformats.org/officeDocument/2006/relationships/hyperlink" Target="#'Feature Register'!A311" TargetMode="External" Id="rId286"/><Relationship Type="http://schemas.openxmlformats.org/officeDocument/2006/relationships/hyperlink" Target="#'Feature Register'!A312" TargetMode="External" Id="rId287"/><Relationship Type="http://schemas.openxmlformats.org/officeDocument/2006/relationships/hyperlink" Target="#'Feature Register'!A313" TargetMode="External" Id="rId288"/><Relationship Type="http://schemas.openxmlformats.org/officeDocument/2006/relationships/hyperlink" Target="#'Feature Register'!A314" TargetMode="External" Id="rId289"/><Relationship Type="http://schemas.openxmlformats.org/officeDocument/2006/relationships/hyperlink" Target="#'Feature Register'!A315" TargetMode="External" Id="rId290"/><Relationship Type="http://schemas.openxmlformats.org/officeDocument/2006/relationships/hyperlink" Target="#'Feature Register'!A316" TargetMode="External" Id="rId291"/><Relationship Type="http://schemas.openxmlformats.org/officeDocument/2006/relationships/hyperlink" Target="#'Feature Register'!A316" TargetMode="External" Id="rId292"/><Relationship Type="http://schemas.openxmlformats.org/officeDocument/2006/relationships/hyperlink" Target="#'Feature Register'!A317" TargetMode="External" Id="rId293"/><Relationship Type="http://schemas.openxmlformats.org/officeDocument/2006/relationships/hyperlink" Target="file:///C:/Users/Alex/Blyp26/src/screens/ReviewScreen.js" TargetMode="External" Id="rId294"/><Relationship Type="http://schemas.openxmlformats.org/officeDocument/2006/relationships/hyperlink" Target="#'Feature Register'!A317" TargetMode="External" Id="rId295"/><Relationship Type="http://schemas.openxmlformats.org/officeDocument/2006/relationships/hyperlink" Target="file:///C:/Users/Alex/Blyp26/src/screens/ReviewScreen.js" TargetMode="External" Id="rId296"/><Relationship Type="http://schemas.openxmlformats.org/officeDocument/2006/relationships/hyperlink" Target="#'Feature Register'!A318" TargetMode="External" Id="rId297"/><Relationship Type="http://schemas.openxmlformats.org/officeDocument/2006/relationships/hyperlink" Target="file:///C:/Users/Alex/Blyp26/src/screens/ProfileScreen.js" TargetMode="External" Id="rId298"/><Relationship Type="http://schemas.openxmlformats.org/officeDocument/2006/relationships/hyperlink" Target="#'Feature Register'!A319" TargetMode="External" Id="rId299"/><Relationship Type="http://schemas.openxmlformats.org/officeDocument/2006/relationships/hyperlink" Target="file:///C:/Users/Alex/Blyp26/src/screens/ReviewScreen.js" TargetMode="External" Id="rId300"/><Relationship Type="http://schemas.openxmlformats.org/officeDocument/2006/relationships/hyperlink" Target="#'Feature Register'!A320" TargetMode="External" Id="rId301"/><Relationship Type="http://schemas.openxmlformats.org/officeDocument/2006/relationships/hyperlink" Target="file:///C:/Users/Alex/Blyp26/src/screens/ReviewScreen.js" TargetMode="External" Id="rId302"/><Relationship Type="http://schemas.openxmlformats.org/officeDocument/2006/relationships/hyperlink" Target="#'Feature Register'!A320" TargetMode="External" Id="rId303"/><Relationship Type="http://schemas.openxmlformats.org/officeDocument/2006/relationships/hyperlink" Target="file:///C:/Users/Alex/Blyp26/src/screens/ReviewScreen.js" TargetMode="External" Id="rId304"/><Relationship Type="http://schemas.openxmlformats.org/officeDocument/2006/relationships/hyperlink" Target="#'Feature Register'!A321" TargetMode="External" Id="rId305"/><Relationship Type="http://schemas.openxmlformats.org/officeDocument/2006/relationships/hyperlink" Target="file:///C:/Users/Alex/Blyp26/src/screens/ReviewScreen.js" TargetMode="External" Id="rId306"/><Relationship Type="http://schemas.openxmlformats.org/officeDocument/2006/relationships/hyperlink" Target="#'Feature Register'!A321" TargetMode="External" Id="rId307"/><Relationship Type="http://schemas.openxmlformats.org/officeDocument/2006/relationships/hyperlink" Target="file:///C:/Users/Alex/Blyp26/src/screens/CameraScreen.js" TargetMode="External" Id="rId308"/><Relationship Type="http://schemas.openxmlformats.org/officeDocument/2006/relationships/hyperlink" Target="#'Feature Register'!A322" TargetMode="External" Id="rId309"/><Relationship Type="http://schemas.openxmlformats.org/officeDocument/2006/relationships/hyperlink" Target="file:///C:/Users/Alex/Blyp26/src/screens/ReviewScreen.js" TargetMode="External" Id="rId310"/><Relationship Type="http://schemas.openxmlformats.org/officeDocument/2006/relationships/hyperlink" Target="#'Feature Register'!A323" TargetMode="External" Id="rId311"/><Relationship Type="http://schemas.openxmlformats.org/officeDocument/2006/relationships/hyperlink" Target="file:///C:/Users/Alex/Blyp26/src/screens/CameraScreen.js" TargetMode="External" Id="rId312"/><Relationship Type="http://schemas.openxmlformats.org/officeDocument/2006/relationships/hyperlink" Target="#'Feature Register'!A324" TargetMode="External" Id="rId313"/><Relationship Type="http://schemas.openxmlformats.org/officeDocument/2006/relationships/hyperlink" Target="file:///C:/Users/Alex/Blyp26/src/screens/ReviewScreen.js" TargetMode="External" Id="rId314"/><Relationship Type="http://schemas.openxmlformats.org/officeDocument/2006/relationships/hyperlink" Target="#'Feature Register'!A325" TargetMode="External" Id="rId315"/><Relationship Type="http://schemas.openxmlformats.org/officeDocument/2006/relationships/hyperlink" Target="file:///C:/Users/Alex/Blyp26/src/screens/CameraScreen.js" TargetMode="External" Id="rId316"/><Relationship Type="http://schemas.openxmlformats.org/officeDocument/2006/relationships/hyperlink" Target="#'Feature Register'!A325" TargetMode="External" Id="rId317"/><Relationship Type="http://schemas.openxmlformats.org/officeDocument/2006/relationships/hyperlink" Target="file:///C:/Users/Alex/Blyp26/src/screens/ReviewScreen.js" TargetMode="External" Id="rId318"/><Relationship Type="http://schemas.openxmlformats.org/officeDocument/2006/relationships/hyperlink" Target="#'Feature Register'!A326" TargetMode="External" Id="rId319"/><Relationship Type="http://schemas.openxmlformats.org/officeDocument/2006/relationships/hyperlink" Target="file:///C:/Users/Alex/Blyp26/src/screens/ReviewScreen.js" TargetMode="External" Id="rId320"/><Relationship Type="http://schemas.openxmlformats.org/officeDocument/2006/relationships/hyperlink" Target="#'Feature Register'!A326" TargetMode="External" Id="rId321"/><Relationship Type="http://schemas.openxmlformats.org/officeDocument/2006/relationships/hyperlink" Target="file:///C:/Users/Alex/Blyp26/src/screens/VoiceMemoScreen.js" TargetMode="External" Id="rId322"/><Relationship Type="http://schemas.openxmlformats.org/officeDocument/2006/relationships/hyperlink" Target="#'Feature Register'!A327" TargetMode="External" Id="rId323"/><Relationship Type="http://schemas.openxmlformats.org/officeDocument/2006/relationships/hyperlink" Target="file:///C:/Users/Alex/Blyp26/src/screens/ReviewScreen.js" TargetMode="External" Id="rId324"/><Relationship Type="http://schemas.openxmlformats.org/officeDocument/2006/relationships/hyperlink" Target="#'Feature Register'!A328" TargetMode="External" Id="rId325"/><Relationship Type="http://schemas.openxmlformats.org/officeDocument/2006/relationships/hyperlink" Target="file:///C:/Users/Alex/Blyp26/src/screens/ReviewScreen.js" TargetMode="External" Id="rId326"/><Relationship Type="http://schemas.openxmlformats.org/officeDocument/2006/relationships/hyperlink" Target="#'Feature Register'!A329" TargetMode="External" Id="rId327"/><Relationship Type="http://schemas.openxmlformats.org/officeDocument/2006/relationships/hyperlink" Target="file:///C:/Users/Alex/Blyp26/src/screens/ReviewScreen.js" TargetMode="External" Id="rId328"/><Relationship Type="http://schemas.openxmlformats.org/officeDocument/2006/relationships/hyperlink" Target="#'Feature Register'!A330" TargetMode="External" Id="rId329"/><Relationship Type="http://schemas.openxmlformats.org/officeDocument/2006/relationships/hyperlink" Target="file:///C:/Users/Alex/Blyp26/src/screens/ReviewScreen.js" TargetMode="External" Id="rId330"/><Relationship Type="http://schemas.openxmlformats.org/officeDocument/2006/relationships/hyperlink" Target="#'Feature Register'!A331" TargetMode="External" Id="rId331"/><Relationship Type="http://schemas.openxmlformats.org/officeDocument/2006/relationships/hyperlink" Target="file:///C:/Users/Alex/Blyp26/src/screens/ReviewScreen.js" TargetMode="External" Id="rId332"/><Relationship Type="http://schemas.openxmlformats.org/officeDocument/2006/relationships/hyperlink" Target="#'Feature Register'!A332" TargetMode="External" Id="rId333"/><Relationship Type="http://schemas.openxmlformats.org/officeDocument/2006/relationships/hyperlink" Target="file:///C:/Users/Alex/Blyp26/src/screens/ProfileScreen.js" TargetMode="External" Id="rId334"/><Relationship Type="http://schemas.openxmlformats.org/officeDocument/2006/relationships/hyperlink" Target="#'Feature Register'!A333" TargetMode="External" Id="rId335"/><Relationship Type="http://schemas.openxmlformats.org/officeDocument/2006/relationships/hyperlink" Target="file:///C:/Users/Alex/Blyp26/src/screens/ProfileScreen.js" TargetMode="External" Id="rId336"/><Relationship Type="http://schemas.openxmlformats.org/officeDocument/2006/relationships/hyperlink" Target="#'Feature Register'!A334" TargetMode="External" Id="rId337"/><Relationship Type="http://schemas.openxmlformats.org/officeDocument/2006/relationships/hyperlink" Target="file:///C:/Users/Alex/Blyp26/src/screens/ReviewScreen.js" TargetMode="External" Id="rId338"/><Relationship Type="http://schemas.openxmlformats.org/officeDocument/2006/relationships/hyperlink" Target="#'Feature Register'!A335" TargetMode="External" Id="rId339"/><Relationship Type="http://schemas.openxmlformats.org/officeDocument/2006/relationships/hyperlink" Target="file:///C:/Users/Alex/Blyp26/src/screens/ReviewScreen.js" TargetMode="External" Id="rId340"/><Relationship Type="http://schemas.openxmlformats.org/officeDocument/2006/relationships/hyperlink" Target="#'Feature Register'!A335" TargetMode="External" Id="rId341"/><Relationship Type="http://schemas.openxmlformats.org/officeDocument/2006/relationships/hyperlink" Target="file:///C:/Users/Alex/Blyp26/src/screens/ReviewScreen.js" TargetMode="External" Id="rId342"/><Relationship Type="http://schemas.openxmlformats.org/officeDocument/2006/relationships/hyperlink" Target="#'Feature Register'!A336" TargetMode="External" Id="rId343"/><Relationship Type="http://schemas.openxmlformats.org/officeDocument/2006/relationships/hyperlink" Target="file:///C:/Users/Alex/Blyp26/functions/src/index.ts" TargetMode="External" Id="rId344"/><Relationship Type="http://schemas.openxmlformats.org/officeDocument/2006/relationships/hyperlink" Target="#'Feature Register'!A337" TargetMode="External" Id="rId345"/><Relationship Type="http://schemas.openxmlformats.org/officeDocument/2006/relationships/hyperlink" Target="file:///C:/Users/Alex/Blyp26/src/screens/ReviewScreen.js" TargetMode="External" Id="rId346"/><Relationship Type="http://schemas.openxmlformats.org/officeDocument/2006/relationships/hyperlink" Target="#'Feature Register'!A338" TargetMode="External" Id="rId347"/><Relationship Type="http://schemas.openxmlformats.org/officeDocument/2006/relationships/hyperlink" Target="file:///C:/Users/Alex/Blyp26/src/screens/ReviewScreen.js" TargetMode="External" Id="rId348"/><Relationship Type="http://schemas.openxmlformats.org/officeDocument/2006/relationships/hyperlink" Target="#'Feature Register'!A339" TargetMode="External" Id="rId349"/><Relationship Type="http://schemas.openxmlformats.org/officeDocument/2006/relationships/hyperlink" Target="file:///C:/Users/Alex/Blyp26/src/screens/ReviewScreen.js" TargetMode="External" Id="rId350"/><Relationship Type="http://schemas.openxmlformats.org/officeDocument/2006/relationships/hyperlink" Target="#'Feature Register'!A339" TargetMode="External" Id="rId351"/><Relationship Type="http://schemas.openxmlformats.org/officeDocument/2006/relationships/hyperlink" Target="file:///C:/Users/Alex/Blyp26/src/screens/ReviewScreen.js" TargetMode="External" Id="rId352"/><Relationship Type="http://schemas.openxmlformats.org/officeDocument/2006/relationships/hyperlink" Target="#'Feature Register'!A340" TargetMode="External" Id="rId353"/><Relationship Type="http://schemas.openxmlformats.org/officeDocument/2006/relationships/hyperlink" Target="#'Feature Register'!A340" TargetMode="External" Id="rId354"/><Relationship Type="http://schemas.openxmlformats.org/officeDocument/2006/relationships/hyperlink" Target="#'Feature Register'!A347" TargetMode="External" Id="rId355"/><Relationship Type="http://schemas.openxmlformats.org/officeDocument/2006/relationships/hyperlink" Target="#'Feature Register'!A341" TargetMode="External" Id="rId356"/><Relationship Type="http://schemas.openxmlformats.org/officeDocument/2006/relationships/hyperlink" Target="#'Feature Register'!A374" TargetMode="External" Id="rId357"/><Relationship Type="http://schemas.openxmlformats.org/officeDocument/2006/relationships/hyperlink" Target="file:///C:/Users/Alex/Blyp26/backend/blyp-live-service/src/economy/economyService.ts" TargetMode="External" Id="rId358"/><Relationship Type="http://schemas.openxmlformats.org/officeDocument/2006/relationships/hyperlink" Target="#'Feature Register'!A375" TargetMode="External" Id="rId359"/><Relationship Type="http://schemas.openxmlformats.org/officeDocument/2006/relationships/hyperlink" Target="file:///C:/Users/Alex/Blyp26/src/config/StreamingFeatureFlag.js" TargetMode="External" Id="rId360"/><Relationship Type="http://schemas.openxmlformats.org/officeDocument/2006/relationships/hyperlink" Target="#'Feature Register'!A376" TargetMode="External" Id="rId361"/><Relationship Type="http://schemas.openxmlformats.org/officeDocument/2006/relationships/hyperlink" Target="file:///C:/Users/Alex/Blyp26/backend/blyp-live-service/src/admin/adminSchemas.ts" TargetMode="External" Id="rId362"/><Relationship Type="http://schemas.openxmlformats.org/officeDocument/2006/relationships/hyperlink" Target="#'Feature Register'!A377" TargetMode="External" Id="rId363"/><Relationship Type="http://schemas.openxmlformats.org/officeDocument/2006/relationships/hyperlink" Target="file:///C:/Users/Alex/Blyp26/backend/blyp-live-service/src/economy/schema.ts" TargetMode="External" Id="rId364"/><Relationship Type="http://schemas.openxmlformats.org/officeDocument/2006/relationships/hyperlink" Target="#'Feature Register'!A378" TargetMode="External" Id="rId365"/><Relationship Type="http://schemas.openxmlformats.org/officeDocument/2006/relationships/hyperlink" Target="file:///C:/Users/Alex/Blyp26/backend/blyp-live-service/src/appVersion/appVersionPolicy.ts" TargetMode="External" Id="rId366"/><Relationship Type="http://schemas.openxmlformats.org/officeDocument/2006/relationships/hyperlink" Target="#'Feature Register'!A379" TargetMode="External" Id="rId367"/><Relationship Type="http://schemas.openxmlformats.org/officeDocument/2006/relationships/hyperlink" Target="file:///C:/Users/Alex/Blyp26/functions/src/index.ts" TargetMode="External" Id="rId368"/><Relationship Type="http://schemas.openxmlformats.org/officeDocument/2006/relationships/hyperlink" Target="#'Feature Register'!A380" TargetMode="External" Id="rId369"/><Relationship Type="http://schemas.openxmlformats.org/officeDocument/2006/relationships/hyperlink" Target="file:///C:/Users/Alex/Blyp26/backend/blyp-live-service/src/admin/adminService.ts" TargetMode="External" Id="rId370"/><Relationship Type="http://schemas.openxmlformats.org/officeDocument/2006/relationships/hyperlink" Target="#'Feature Register'!A381" TargetMode="External" Id="rId371"/><Relationship Type="http://schemas.openxmlformats.org/officeDocument/2006/relationships/hyperlink" Target="file:///C:/Users/Alex/Blyp26/backend/blyp-live-service/src/admin/adminRoutes.ts" TargetMode="External" Id="rId372"/><Relationship Type="http://schemas.openxmlformats.org/officeDocument/2006/relationships/hyperlink" Target="#'Feature Register'!A382" TargetMode="External" Id="rId373"/><Relationship Type="http://schemas.openxmlformats.org/officeDocument/2006/relationships/hyperlink" Target="file:///C:/Users/Alex/Blyp26/src/services/EnterpriseAnalyticsService.js" TargetMode="External" Id="rId374"/><Relationship Type="http://schemas.openxmlformats.org/officeDocument/2006/relationships/hyperlink" Target="#'Feature Register'!A383" TargetMode="External" Id="rId375"/><Relationship Type="http://schemas.openxmlformats.org/officeDocument/2006/relationships/hyperlink" Target="file:///C:/Users/Alex/Blyp26/src/utils/activityTracker.js" TargetMode="External" Id="rId376"/><Relationship Type="http://schemas.openxmlformats.org/officeDocument/2006/relationships/hyperlink" Target="#'Feature Register'!A386" TargetMode="External" Id="rId377"/><Relationship Type="http://schemas.openxmlformats.org/officeDocument/2006/relationships/hyperlink" Target="file:///C:/Users/Alex/Blyp26/src/services/EnterpriseAnalyticsService.js" TargetMode="External" Id="rId378"/><Relationship Type="http://schemas.openxmlformats.org/officeDocument/2006/relationships/hyperlink" Target="#'Feature Register'!A387" TargetMode="External" Id="rId379"/><Relationship Type="http://schemas.openxmlformats.org/officeDocument/2006/relationships/hyperlink" Target="file:///C:/Users/Alex/Blyp26/src/services/EnterpriseAnalyticsService.js" TargetMode="External" Id="rId380"/><Relationship Type="http://schemas.openxmlformats.org/officeDocument/2006/relationships/hyperlink" Target="#'Feature Register'!A388" TargetMode="External" Id="rId381"/><Relationship Type="http://schemas.openxmlformats.org/officeDocument/2006/relationships/hyperlink" Target="file:///C:/Users/Alex/Blyp26/src/services/EnterpriseAnalyticsService.js" TargetMode="External" Id="rId382"/><Relationship Type="http://schemas.openxmlformats.org/officeDocument/2006/relationships/hyperlink" Target="#'Feature Register'!A389" TargetMode="External" Id="rId383"/><Relationship Type="http://schemas.openxmlformats.org/officeDocument/2006/relationships/hyperlink" Target="file:///C:/Users/Alex/Blyp26/src/services/EnterpriseAnalyticsService.js" TargetMode="External" Id="rId384"/><Relationship Type="http://schemas.openxmlformats.org/officeDocument/2006/relationships/hyperlink" Target="#'Feature Register'!A390" TargetMode="External" Id="rId385"/><Relationship Type="http://schemas.openxmlformats.org/officeDocument/2006/relationships/hyperlink" Target="file:///C:/Users/Alex/Blyp26/src/services/EnterpriseAnalyticsService.js" TargetMode="External" Id="rId386"/><Relationship Type="http://schemas.openxmlformats.org/officeDocument/2006/relationships/hyperlink" Target="#'Feature Register'!A391" TargetMode="External" Id="rId387"/><Relationship Type="http://schemas.openxmlformats.org/officeDocument/2006/relationships/hyperlink" Target="file:///C:/Users/Alex/Blyp26/src/services/EnterpriseAnalyticsService.js" TargetMode="External" Id="rId388"/><Relationship Type="http://schemas.openxmlformats.org/officeDocument/2006/relationships/hyperlink" Target="#'Feature Register'!A392" TargetMode="External" Id="rId389"/><Relationship Type="http://schemas.openxmlformats.org/officeDocument/2006/relationships/hyperlink" Target="file:///C:/Users/Alex/Blyp26/src/services/EnterpriseAnalyticsService.js" TargetMode="External" Id="rId390"/><Relationship Type="http://schemas.openxmlformats.org/officeDocument/2006/relationships/hyperlink" Target="#'Feature Register'!A394" TargetMode="External" Id="rId391"/><Relationship Type="http://schemas.openxmlformats.org/officeDocument/2006/relationships/hyperlink" Target="file:///C:/Users/Alex/Blyp26/src/services/EnterpriseAnalyticsService.js" TargetMode="External" Id="rId392"/><Relationship Type="http://schemas.openxmlformats.org/officeDocument/2006/relationships/hyperlink" Target="#'Feature Register'!A397" TargetMode="External" Id="rId393"/><Relationship Type="http://schemas.openxmlformats.org/officeDocument/2006/relationships/hyperlink" Target="file:///C:/Users/Alex/Blyp26/src/services/EnterpriseAnalyticsService.js" TargetMode="External" Id="rId394"/><Relationship Type="http://schemas.openxmlformats.org/officeDocument/2006/relationships/hyperlink" Target="#'Feature Register'!A401" TargetMode="External" Id="rId395"/><Relationship Type="http://schemas.openxmlformats.org/officeDocument/2006/relationships/hyperlink" Target="file:///C:/Users/Alex/Blyp26/package.json" TargetMode="External" Id="rId396"/><Relationship Type="http://schemas.openxmlformats.org/officeDocument/2006/relationships/hyperlink" Target="#'Feature Register'!A403" TargetMode="External" Id="rId397"/><Relationship Type="http://schemas.openxmlformats.org/officeDocument/2006/relationships/hyperlink" Target="file:///C:/Users/Alex/Blyp26/src/screens/ReviewScreen.js" TargetMode="External" Id="rId398"/><Relationship Type="http://schemas.openxmlformats.org/officeDocument/2006/relationships/hyperlink" Target="#'Feature Register'!A405" TargetMode="External" Id="rId399"/><Relationship Type="http://schemas.openxmlformats.org/officeDocument/2006/relationships/hyperlink" Target="file:///C:/Users/Alex/Blyp26/src/screens/ReviewScreen.js" TargetMode="External" Id="rId400"/><Relationship Type="http://schemas.openxmlformats.org/officeDocument/2006/relationships/hyperlink" Target="#'Feature Register'!A406" TargetMode="External" Id="rId401"/><Relationship Type="http://schemas.openxmlformats.org/officeDocument/2006/relationships/hyperlink" Target="file:///C:/Users/Alex/Blyp26/src/components/CreatePostButton.js" TargetMode="External" Id="rId402"/><Relationship Type="http://schemas.openxmlformats.org/officeDocument/2006/relationships/hyperlink" Target="#'Feature Register'!A407" TargetMode="External" Id="rId403"/><Relationship Type="http://schemas.openxmlformats.org/officeDocument/2006/relationships/hyperlink" Target="file:///C:/Users/Alex/Blyp26/src/components/CustomText.js" TargetMode="External" Id="rId404"/><Relationship Type="http://schemas.openxmlformats.org/officeDocument/2006/relationships/hyperlink" Target="#'Feature Register'!A408" TargetMode="External" Id="rId405"/><Relationship Type="http://schemas.openxmlformats.org/officeDocument/2006/relationships/hyperlink" Target="file:///C:/Users/Alex/Blyp26/src/styles/theme.js" TargetMode="External" Id="rId406"/><Relationship Type="http://schemas.openxmlformats.org/officeDocument/2006/relationships/hyperlink" Target="#'Feature Register'!A409" TargetMode="External" Id="rId407"/><Relationship Type="http://schemas.openxmlformats.org/officeDocument/2006/relationships/hyperlink" Target="file:///C:/Users/Alex/Blyp26/src/screens/SearchScreen.js" TargetMode="External" Id="rId408"/><Relationship Type="http://schemas.openxmlformats.org/officeDocument/2006/relationships/hyperlink" Target="#'Feature Register'!A411" TargetMode="External" Id="rId409"/><Relationship Type="http://schemas.openxmlformats.org/officeDocument/2006/relationships/hyperlink" Target="file:///C:/Users/Alex/Blyp26/src/screens/ReviewScreen.js" TargetMode="External" Id="rId410"/><Relationship Type="http://schemas.openxmlformats.org/officeDocument/2006/relationships/hyperlink" Target="#'Feature Register'!A412" TargetMode="External" Id="rId411"/><Relationship Type="http://schemas.openxmlformats.org/officeDocument/2006/relationships/hyperlink" Target="file:///C:/Users/Alex/Blyp26/src/screens/AuthScreen.js" TargetMode="External" Id="rId412"/><Relationship Type="http://schemas.openxmlformats.org/officeDocument/2006/relationships/hyperlink" Target="#'Feature Register'!A413" TargetMode="External" Id="rId413"/><Relationship Type="http://schemas.openxmlformats.org/officeDocument/2006/relationships/hyperlink" Target="file:///C:/Users/Alex/Blyp26/src/screens/ChatRoomsScreen.js" TargetMode="External" Id="rId414"/><Relationship Type="http://schemas.openxmlformats.org/officeDocument/2006/relationships/hyperlink" Target="#'Feature Register'!A414" TargetMode="External" Id="rId415"/><Relationship Type="http://schemas.openxmlformats.org/officeDocument/2006/relationships/hyperlink" Target="file:///C:/Users/Alex/Blyp26/src/screens/ReviewScreen.js" TargetMode="External" Id="rId416"/><Relationship Type="http://schemas.openxmlformats.org/officeDocument/2006/relationships/hyperlink" Target="#'Feature Register'!A416" TargetMode="External" Id="rId417"/><Relationship Type="http://schemas.openxmlformats.org/officeDocument/2006/relationships/hyperlink" Target="file:///C:/Users/Alex/Blyp26/src/components/GiftSystem.js" TargetMode="External" Id="rId418"/><Relationship Type="http://schemas.openxmlformats.org/officeDocument/2006/relationships/hyperlink" Target="#'Feature Register'!A419" TargetMode="External" Id="rId419"/><Relationship Type="http://schemas.openxmlformats.org/officeDocument/2006/relationships/hyperlink" Target="file:///C:/Users/Alex/Blyp26/App.js" TargetMode="External" Id="rId420"/><Relationship Type="http://schemas.openxmlformats.org/officeDocument/2006/relationships/hyperlink" Target="#'Feature Register'!A439" TargetMode="External" Id="rId421"/><Relationship Type="http://schemas.openxmlformats.org/officeDocument/2006/relationships/hyperlink" Target="file:///C:/Users/Alex/Blyp26/App.js" TargetMode="External" Id="rId422"/><Relationship Type="http://schemas.openxmlformats.org/officeDocument/2006/relationships/hyperlink" Target="#'Feature Register'!A440" TargetMode="External" Id="rId423"/><Relationship Type="http://schemas.openxmlformats.org/officeDocument/2006/relationships/hyperlink" Target="file:///C:/Users/Alex/Blyp26/App.js" TargetMode="External" Id="rId424"/><Relationship Type="http://schemas.openxmlformats.org/officeDocument/2006/relationships/hyperlink" Target="#'Feature Register'!A445" TargetMode="External" Id="rId425"/><Relationship Type="http://schemas.openxmlformats.org/officeDocument/2006/relationships/hyperlink" Target="file:///C:/Users/Alex/Blyp26/src/screens/ReviewScreen.js" TargetMode="External" Id="rId426"/><Relationship Type="http://schemas.openxmlformats.org/officeDocument/2006/relationships/hyperlink" Target="#'Feature Register'!A445" TargetMode="External" Id="rId427"/><Relationship Type="http://schemas.openxmlformats.org/officeDocument/2006/relationships/hyperlink" Target="file:///C:/Users/Alex/Blyp26/src/screens/ProfileScreen.js" TargetMode="External" Id="rId428"/><Relationship Type="http://schemas.openxmlformats.org/officeDocument/2006/relationships/hyperlink" Target="#'Feature Register'!A449" TargetMode="External" Id="rId429"/><Relationship Type="http://schemas.openxmlformats.org/officeDocument/2006/relationships/hyperlink" Target="file:///C:/Users/Alex/Blyp26/functions/src/index.ts" TargetMode="External" Id="rId430"/><Relationship Type="http://schemas.openxmlformats.org/officeDocument/2006/relationships/hyperlink" Target="#'Feature Register'!A447" TargetMode="External" Id="rId431"/><Relationship Type="http://schemas.openxmlformats.org/officeDocument/2006/relationships/hyperlink" Target="file:///C:/Users/Alex/Blyp26/functions/src/index.ts" TargetMode="External" Id="rId432"/><Relationship Type="http://schemas.openxmlformats.org/officeDocument/2006/relationships/hyperlink" Target="#'Feature Register'!A451" TargetMode="External" Id="rId433"/><Relationship Type="http://schemas.openxmlformats.org/officeDocument/2006/relationships/hyperlink" Target="file:///C:/Users/Alex/Blyp26/src/services/LiveStreamService.js" TargetMode="External" Id="rId434"/><Relationship Type="http://schemas.openxmlformats.org/officeDocument/2006/relationships/hyperlink" Target="#'Feature Register'!A453" TargetMode="External" Id="rId435"/><Relationship Type="http://schemas.openxmlformats.org/officeDocument/2006/relationships/hyperlink" Target="file:///C:/Users/Alex/Blyp26/backend/blyp-live-service/src/economy/economyRoutes.ts" TargetMode="External" Id="rId436"/><Relationship Type="http://schemas.openxmlformats.org/officeDocument/2006/relationships/hyperlink" Target="#'Feature Register'!A453" TargetMode="External" Id="rId437"/><Relationship Type="http://schemas.openxmlformats.org/officeDocument/2006/relationships/hyperlink" Target="file:///C:/Users/Alex/Blyp26/backend/blyp-live-service/src/economy/economyService.ts" TargetMode="External" Id="rId438"/><Relationship Type="http://schemas.openxmlformats.org/officeDocument/2006/relationships/hyperlink" Target="#'Feature Register'!A449" TargetMode="External" Id="rId439"/><Relationship Type="http://schemas.openxmlformats.org/officeDocument/2006/relationships/hyperlink" Target="file:///C:/Users/Alex/Blyp26/src/services/EnterpriseAnalyticsService.js" TargetMode="External" Id="rId440"/><Relationship Type="http://schemas.openxmlformats.org/officeDocument/2006/relationships/hyperlink" Target="#'Feature Register'!A462" TargetMode="External" Id="rId441"/><Relationship Type="http://schemas.openxmlformats.org/officeDocument/2006/relationships/hyperlink" Target="#'Feature Register'!A535" TargetMode="External" Id="rId442"/><Relationship Type="http://schemas.openxmlformats.org/officeDocument/2006/relationships/hyperlink" Target="file:///C:/Users/Alex/Blyp26/src/screens/ChatListScreen.js" TargetMode="External" Id="rId443"/><Relationship Type="http://schemas.openxmlformats.org/officeDocument/2006/relationships/hyperlink" Target="#'Feature Register'!A536" TargetMode="External" Id="rId444"/><Relationship Type="http://schemas.openxmlformats.org/officeDocument/2006/relationships/hyperlink" Target="file:///C:/Users/Alex/Blyp26/src/screens/ChatConversationScreen.js" TargetMode="External" Id="rId445"/><Relationship Type="http://schemas.openxmlformats.org/officeDocument/2006/relationships/hyperlink" Target="#'Feature Register'!A537" TargetMode="External" Id="rId446"/><Relationship Type="http://schemas.openxmlformats.org/officeDocument/2006/relationships/hyperlink" Target="file:///C:/Users/Alex/Blyp26/src/screens/ChatListScreen.js" TargetMode="External" Id="rId447"/><Relationship Type="http://schemas.openxmlformats.org/officeDocument/2006/relationships/hyperlink" Target="#'Feature Register'!A538" TargetMode="External" Id="rId448"/><Relationship Type="http://schemas.openxmlformats.org/officeDocument/2006/relationships/hyperlink" Target="file:///C:/Users/Alex/Blyp26/src/screens/ChatListScreen.js" TargetMode="External" Id="rId449"/><Relationship Type="http://schemas.openxmlformats.org/officeDocument/2006/relationships/hyperlink" Target="#'Feature Register'!A539" TargetMode="External" Id="rId450"/><Relationship Type="http://schemas.openxmlformats.org/officeDocument/2006/relationships/hyperlink" Target="#'Feature Register'!A540" TargetMode="External" Id="rId451"/><Relationship Type="http://schemas.openxmlformats.org/officeDocument/2006/relationships/hyperlink" Target="#'Feature Register'!A541" TargetMode="External" Id="rId452"/><Relationship Type="http://schemas.openxmlformats.org/officeDocument/2006/relationships/hyperlink" Target="#'Feature Register'!A542" TargetMode="External" Id="rId453"/><Relationship Type="http://schemas.openxmlformats.org/officeDocument/2006/relationships/hyperlink" Target="#'Feature Register'!A543" TargetMode="External" Id="rId454"/><Relationship Type="http://schemas.openxmlformats.org/officeDocument/2006/relationships/hyperlink" Target="#'Feature Register'!A544" TargetMode="External" Id="rId455"/><Relationship Type="http://schemas.openxmlformats.org/officeDocument/2006/relationships/hyperlink" Target="#'Feature Register'!A545" TargetMode="External" Id="rId456"/><Relationship Type="http://schemas.openxmlformats.org/officeDocument/2006/relationships/hyperlink" Target="file:///C:/Users/Alex/Blyp26/src/screens/ChatListScreen.js" TargetMode="External" Id="rId457"/><Relationship Type="http://schemas.openxmlformats.org/officeDocument/2006/relationships/hyperlink" Target="#'Feature Register'!A546" TargetMode="External" Id="rId458"/><Relationship Type="http://schemas.openxmlformats.org/officeDocument/2006/relationships/hyperlink" Target="file:///C:/Users/Alex/Blyp26/src/screens/ChatListScreen.js" TargetMode="External" Id="rId459"/><Relationship Type="http://schemas.openxmlformats.org/officeDocument/2006/relationships/hyperlink" Target="#'Feature Register'!A547" TargetMode="External" Id="rId460"/><Relationship Type="http://schemas.openxmlformats.org/officeDocument/2006/relationships/hyperlink" Target="#'Feature Register'!A548" TargetMode="External" Id="rId461"/><Relationship Type="http://schemas.openxmlformats.org/officeDocument/2006/relationships/hyperlink" Target="#'Feature Register'!A549" TargetMode="External" Id="rId462"/><Relationship Type="http://schemas.openxmlformats.org/officeDocument/2006/relationships/hyperlink" Target="#'Feature Register'!A550" TargetMode="External" Id="rId463"/><Relationship Type="http://schemas.openxmlformats.org/officeDocument/2006/relationships/hyperlink" Target="file:///C:/Users/Alex/Blyp26/src/screens/ChatConversationScreen.js" TargetMode="External" Id="rId464"/><Relationship Type="http://schemas.openxmlformats.org/officeDocument/2006/relationships/hyperlink" Target="#'Feature Register'!A551" TargetMode="External" Id="rId465"/><Relationship Type="http://schemas.openxmlformats.org/officeDocument/2006/relationships/hyperlink" Target="file:///C:/Users/Alex/Blyp26/src/screens/ChatConversationScreen.js" TargetMode="External" Id="rId466"/><Relationship Type="http://schemas.openxmlformats.org/officeDocument/2006/relationships/hyperlink" Target="#'Feature Register'!A552" TargetMode="External" Id="rId467"/><Relationship Type="http://schemas.openxmlformats.org/officeDocument/2006/relationships/hyperlink" Target="file:///C:/Users/Alex/Blyp26/src/screens/ChatConversationScreen.js" TargetMode="External" Id="rId468"/><Relationship Type="http://schemas.openxmlformats.org/officeDocument/2006/relationships/hyperlink" Target="#'Feature Register'!A553" TargetMode="External" Id="rId469"/><Relationship Type="http://schemas.openxmlformats.org/officeDocument/2006/relationships/hyperlink" Target="file:///C:/Users/Alex/Blyp26/src/screens/ChatConversationScreen.js" TargetMode="External" Id="rId470"/><Relationship Type="http://schemas.openxmlformats.org/officeDocument/2006/relationships/hyperlink" Target="#'Feature Register'!A554" TargetMode="External" Id="rId471"/><Relationship Type="http://schemas.openxmlformats.org/officeDocument/2006/relationships/hyperlink" Target="#'Feature Register'!A555" TargetMode="External" Id="rId472"/><Relationship Type="http://schemas.openxmlformats.org/officeDocument/2006/relationships/hyperlink" Target="#'Feature Register'!A556" TargetMode="External" Id="rId473"/><Relationship Type="http://schemas.openxmlformats.org/officeDocument/2006/relationships/hyperlink" Target="#'Feature Register'!A557" TargetMode="External" Id="rId474"/><Relationship Type="http://schemas.openxmlformats.org/officeDocument/2006/relationships/hyperlink" Target="#'Feature Register'!A558" TargetMode="External" Id="rId475"/><Relationship Type="http://schemas.openxmlformats.org/officeDocument/2006/relationships/hyperlink" Target="#'Feature Register'!A559" TargetMode="External" Id="rId476"/><Relationship Type="http://schemas.openxmlformats.org/officeDocument/2006/relationships/hyperlink" Target="#'Feature Register'!A560" TargetMode="External" Id="rId477"/><Relationship Type="http://schemas.openxmlformats.org/officeDocument/2006/relationships/hyperlink" Target="#'Feature Register'!A561" TargetMode="External" Id="rId478"/><Relationship Type="http://schemas.openxmlformats.org/officeDocument/2006/relationships/hyperlink" Target="file:///C:/Users/Alex/Blyp26/src/screens/MediaViewerScreen.js" TargetMode="External" Id="rId479"/><Relationship Type="http://schemas.openxmlformats.org/officeDocument/2006/relationships/hyperlink" Target="#'Feature Register'!A563" TargetMode="External" Id="rId480"/><Relationship Type="http://schemas.openxmlformats.org/officeDocument/2006/relationships/hyperlink" Target="file:///C:/Users/Alex/Blyp26/app.config.js" TargetMode="External" Id="rId481"/><Relationship Type="http://schemas.openxmlformats.org/officeDocument/2006/relationships/hyperlink" Target="#'Feature Register'!A576" TargetMode="External" Id="rId482"/><Relationship Type="http://schemas.openxmlformats.org/officeDocument/2006/relationships/hyperlink" Target="file:///C:/Users/Alex/Blyp26/src/screens/GameRoomScreen.js" TargetMode="External" Id="rId483"/><Relationship Type="http://schemas.openxmlformats.org/officeDocument/2006/relationships/hyperlink" Target="#'Feature Register'!A568" TargetMode="External" Id="rId484"/><Relationship Type="http://schemas.openxmlformats.org/officeDocument/2006/relationships/hyperlink" Target="file:///C:/Users/Alex/Blyp26/src/services/GameService.js" TargetMode="External" Id="rId485"/><Relationship Type="http://schemas.openxmlformats.org/officeDocument/2006/relationships/hyperlink" Target="#'Feature Register'!A578" TargetMode="External" Id="rId486"/><Relationship Type="http://schemas.openxmlformats.org/officeDocument/2006/relationships/hyperlink" Target="file:///C:/Users/Alex/Blyp26/src/screens/EditProfileScreen.js" TargetMode="External" Id="rId487"/><Relationship Type="http://schemas.openxmlformats.org/officeDocument/2006/relationships/hyperlink" Target="#'Feature Register'!A595" TargetMode="External" Id="rId488"/><Relationship Type="http://schemas.openxmlformats.org/officeDocument/2006/relationships/hyperlink" Target="file:///C:/Users/Alex/Blyp26/package.json" TargetMode="External" Id="rId489"/><Relationship Type="http://schemas.openxmlformats.org/officeDocument/2006/relationships/hyperlink" Target="#'Feature Register'!A595" TargetMode="External" Id="rId490"/><Relationship Type="http://schemas.openxmlformats.org/officeDocument/2006/relationships/hyperlink" Target="#'Feature Register'!A596" TargetMode="External" Id="rId491"/><Relationship Type="http://schemas.openxmlformats.org/officeDocument/2006/relationships/hyperlink" Target="#'Feature Register'!A597" TargetMode="External" Id="rId492"/><Relationship Type="http://schemas.openxmlformats.org/officeDocument/2006/relationships/hyperlink" Target="file:///C:/Users/Alex/Blyp26/package.json" TargetMode="External" Id="rId493"/><Relationship Type="http://schemas.openxmlformats.org/officeDocument/2006/relationships/hyperlink" Target="#'Feature Register'!A598" TargetMode="External" Id="rId494"/><Relationship Type="http://schemas.openxmlformats.org/officeDocument/2006/relationships/hyperlink" Target="file:///C:/Users/Alex/Blyp26/package.json" TargetMode="External" Id="rId495"/><Relationship Type="http://schemas.openxmlformats.org/officeDocument/2006/relationships/hyperlink" Target="#'Feature Register'!A630" TargetMode="External" Id="rId496"/><Relationship Type="http://schemas.openxmlformats.org/officeDocument/2006/relationships/hyperlink" Target="file:///C:/Users/Alex/Blyp26/eas.json" TargetMode="External" Id="rId497"/><Relationship Type="http://schemas.openxmlformats.org/officeDocument/2006/relationships/hyperlink" Target="#'Feature Register'!A632" TargetMode="External" Id="rId498"/><Relationship Type="http://schemas.openxmlformats.org/officeDocument/2006/relationships/hyperlink" Target="file:///C:/Users/Alex/Blyp26/eas.json" TargetMode="External" Id="rId499"/><Relationship Type="http://schemas.openxmlformats.org/officeDocument/2006/relationships/hyperlink" Target="#'Feature Register'!A595" TargetMode="External" Id="rId500"/><Relationship Type="http://schemas.openxmlformats.org/officeDocument/2006/relationships/hyperlink" Target="#'Feature Register'!A596" TargetMode="External" Id="rId501"/><Relationship Type="http://schemas.openxmlformats.org/officeDocument/2006/relationships/hyperlink" Target="#'Feature Register'!A596" TargetMode="External" Id="rId502"/><Relationship Type="http://schemas.openxmlformats.org/officeDocument/2006/relationships/hyperlink" Target="file:///C:/Users/Alex/Blyp26/backend/blyp-live-service" TargetMode="External" Id="rId503"/><Relationship Type="http://schemas.openxmlformats.org/officeDocument/2006/relationships/hyperlink" Target="#'Feature Register'!A596" TargetMode="External" Id="rId504"/><Relationship Type="http://schemas.openxmlformats.org/officeDocument/2006/relationships/hyperlink" Target="#'Feature Register'!A129" TargetMode="External" Id="rId505"/><Relationship Type="http://schemas.openxmlformats.org/officeDocument/2006/relationships/hyperlink" Target="file:///C:/Users/Alex/Blyp26/diagnostics/device_testing/FOLD7_SIGNED_RELEASE_20260731/TEST_FINDINGS.md" TargetMode="External" Id="rId506"/><Relationship Type="http://schemas.openxmlformats.org/officeDocument/2006/relationships/hyperlink" Target="#'Feature Register'!A130" TargetMode="External" Id="rId507"/><Relationship Type="http://schemas.openxmlformats.org/officeDocument/2006/relationships/hyperlink" Target="file:///C:/Users/Alex/Blyp26/diagnostics/device_testing/FOLD7_SIGNED_RELEASE_20260731/live_fix_fresh_verified_20260731_023116/14_verdict.txt" TargetMode="External" Id="rId508"/><Relationship Type="http://schemas.openxmlformats.org/officeDocument/2006/relationships/hyperlink" Target="#'Feature Register'!A130" TargetMode="External" Id="rId509"/><Relationship Type="http://schemas.openxmlformats.org/officeDocument/2006/relationships/hyperlink" Target="file:///C:/Users/Alex/Blyp26/diagnostics/device_testing/FOLD7_SIGNED_RELEASE_20260731/host_live_camera_verification_20260731_060511/22_visual_camera_verdict.md" TargetMode="External" Id="rId510"/><Relationship Type="http://schemas.openxmlformats.org/officeDocument/2006/relationships/hyperlink" Target="#'Feature Register'!A130" TargetMode="External" Id="rId511"/><Relationship Type="http://schemas.openxmlformats.org/officeDocument/2006/relationships/hyperlink" Target="file:///C:/Users/Alex/Blyp26/diagnostics/device_testing/FOLD7_SIGNED_RELEASE_20260731/fresh_native_window_candidate_20260731_074428" TargetMode="External" Id="rId512"/><Relationship Type="http://schemas.openxmlformats.org/officeDocument/2006/relationships/hyperlink" Target="#'Feature Register'!A258" TargetMode="External" Id="rId513"/><Relationship Type="http://schemas.openxmlformats.org/officeDocument/2006/relationships/hyperlink" Target="#'Feature Register'!A258" TargetMode="External" Id="rId514"/><Relationship Type="http://schemas.openxmlformats.org/officeDocument/2006/relationships/hyperlink" Target="file:///C:/Users/Alex/Blyp26/diagnostics/live_monetisation/HOSTED_ONLY_ECONOMY_CUTOVER_PHASE1_20260315/PHASE1_HOSTED_ONLY_ECONOMY_CUTOVER_PACKET.md" TargetMode="External" Id="rId515"/><Relationship Type="http://schemas.openxmlformats.org/officeDocument/2006/relationships/hyperlink" Target="#'Feature Register'!A262" TargetMode="External" Id="rId516"/><Relationship Type="http://schemas.openxmlformats.org/officeDocument/2006/relationships/hyperlink" Target="file:///C:/Users/Alex/Blyp26/diagnostics/commerce_batch1/COMMERCE_BATCH1_20260324_FIXED/00_summary.txt" TargetMode="External" Id="rId517"/><Relationship Type="http://schemas.openxmlformats.org/officeDocument/2006/relationships/hyperlink" Target="#'Feature Register'!A599" TargetMode="External" Id="rId518"/><Relationship Type="http://schemas.openxmlformats.org/officeDocument/2006/relationships/hyperlink" Target="#'Feature Register'!A129" TargetMode="External" Id="rId519"/><Relationship Type="http://schemas.openxmlformats.org/officeDocument/2006/relationships/hyperlink" Target="file:///C:/Users/Alex/Blyp26/src/services/HLSLiveStreamService.js" TargetMode="External" Id="rId520"/><Relationship Type="http://schemas.openxmlformats.org/officeDocument/2006/relationships/hyperlink" Target="#'Feature Register'!A129" TargetMode="External" Id="rId521"/><Relationship Type="http://schemas.openxmlformats.org/officeDocument/2006/relationships/hyperlink" Target="file:///C:/Users/Alex/Blyp26/src/screens/LiveStreamScreen.js" TargetMode="External" Id="rId522"/><Relationship Type="http://schemas.openxmlformats.org/officeDocument/2006/relationships/hyperlink" Target="#'Feature Register'!A258" TargetMode="External" Id="rId523"/><Relationship Type="http://schemas.openxmlformats.org/officeDocument/2006/relationships/hyperlink" Target="file:///C:/Users/Alex/Blyp26/src/services/BlypCoinService.js" TargetMode="External" Id="rId524"/><Relationship Type="http://schemas.openxmlformats.org/officeDocument/2006/relationships/hyperlink" Target="#'Feature Register'!A268" TargetMode="External" Id="rId525"/><Relationship Type="http://schemas.openxmlformats.org/officeDocument/2006/relationships/hyperlink" Target="#'Feature Register'!A262" TargetMode="External" Id="rId526"/><Relationship Type="http://schemas.openxmlformats.org/officeDocument/2006/relationships/hyperlink" Target="file:///C:/Users/Alex/Blyp26/src/screens/CoinStoreScreen.js" TargetMode="External" Id="rId527"/><Relationship Type="http://schemas.openxmlformats.org/officeDocument/2006/relationships/hyperlink" Target="#'Feature Register'!A258" TargetMode="External" Id="rId528"/><Relationship Type="http://schemas.openxmlformats.org/officeDocument/2006/relationships/hyperlink" Target="file:///C:/Users/Alex/Blyp26/backend/blyp-live-service/src/economy/economyService.ts" TargetMode="External" Id="rId529"/><Relationship Type="http://schemas.openxmlformats.org/officeDocument/2006/relationships/hyperlink" Target="#'Feature Register'!A268" TargetMode="External" Id="rId530"/><Relationship Type="http://schemas.openxmlformats.org/officeDocument/2006/relationships/hyperlink" Target="file:///C:/Users/Alex/Blyp26/backend/blyp-live-service/src/economy/economyService.ts" TargetMode="External" Id="rId531"/><Relationship Type="http://schemas.openxmlformats.org/officeDocument/2006/relationships/hyperlink" Target="#'Feature Register'!A258" TargetMode="External" Id="rId532"/><Relationship Type="http://schemas.openxmlformats.org/officeDocument/2006/relationships/table" Target="/xl/tables/table3.xml" Id="rId533"/></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tabColor rgb="0039E6D3"/>
    <outlinePr summaryBelow="1" summaryRight="1"/>
    <pageSetUpPr fitToPage="1"/>
  </sheetPr>
  <dimension ref="B2:C15"/>
  <sheetViews>
    <sheetView showGridLines="0" zoomScale="100" workbookViewId="0">
      <selection activeCell="A1" sqref="A1"/>
    </sheetView>
  </sheetViews>
  <sheetFormatPr baseColWidth="8" defaultRowHeight="15"/>
  <cols>
    <col width="4" customWidth="1" min="1" max="1"/>
    <col width="28" customWidth="1" min="2" max="2"/>
    <col width="96" customWidth="1" min="3" max="3"/>
  </cols>
  <sheetData>
    <row r="2" ht="52" customHeight="1">
      <c r="B2" s="1" t="inlineStr">
        <is>
          <t>blyp. authoritative product workbook</t>
        </is>
      </c>
    </row>
    <row r="3" ht="40" customHeight="1">
      <c r="B3" s="2" t="inlineStr">
        <is>
          <t>One evidence-backed record for every defined feature, implementation path, verification state and production conclusion.</t>
        </is>
      </c>
    </row>
    <row r="6" ht="56" customHeight="1">
      <c r="B6" s="3" t="inlineStr">
        <is>
          <t>Workbook anchor</t>
        </is>
      </c>
      <c r="C6" s="4" t="inlineStr">
        <is>
          <t>Reviewed source revision: 8bc0dcb2a1da1b21368c5536aaeef829d587f316. Generated: 2026-08-02T04:33:11+00:00. The repository had a pre-existing working-tree modification to backend/blyp-live-service/src/economy/infra.ts; source conclusions otherwise use the clean archived revision.</t>
        </is>
      </c>
    </row>
    <row r="7" ht="56" customHeight="1">
      <c r="B7" s="3" t="inlineStr">
        <is>
          <t>What one row means</t>
        </is>
      </c>
      <c r="C7" s="4" t="inlineStr">
        <is>
          <t>Each Feature Register row is an independently traceable product requirement. Parent and record-type fields preserve hierarchy. Implementation, reachability, completeness, verification and production conclusion are separate facts.</t>
        </is>
      </c>
    </row>
    <row r="8" ht="56" customHeight="1">
      <c r="B8" s="3" t="inlineStr">
        <is>
          <t>Implementation</t>
        </is>
      </c>
      <c r="C8" s="4" t="inlineStr">
        <is>
          <t>Describes what is physically present in the reviewed source: client screens, routes, services, stores, workers, external systems, configuration and deployable boundaries. `Not found` means no mapped implementation was found; `Unknown` means available evidence is insufficient.</t>
        </is>
      </c>
    </row>
    <row r="9" ht="56" customHeight="1">
      <c r="B9" s="3" t="inlineStr">
        <is>
          <t>How it runs</t>
        </is>
      </c>
      <c r="C9" s="4" t="inlineStr">
        <is>
          <t>Use Runtime Path ID and Runtime Path Narrative in the Feature Register, then inspect the Runtime Paths sheet for the end-to-end actor, entrypoint, client, server, data, asynchronous work, external dependencies and failure behaviour.</t>
        </is>
      </c>
    </row>
    <row r="10" ht="56" customHeight="1">
      <c r="B10" s="3" t="inlineStr">
        <is>
          <t>Finished</t>
        </is>
      </c>
      <c r="C10" s="4" t="inlineStr">
        <is>
          <t>Functional Completeness compares the mapped implementation with the stated requirement. It does not certify security, scale, legal approval, store acceptance or release operations.</t>
        </is>
      </c>
    </row>
    <row r="11" ht="56" customHeight="1">
      <c r="B11" s="3" t="inlineStr">
        <is>
          <t>Production ready</t>
        </is>
      </c>
      <c r="C11" s="4" t="inlineStr">
        <is>
          <t>A feature may be marked Production ready only when every applicable production gate passes on the exact release candidate, no unresolved blocker remains, and Approved By plus Approved At are populated. This workbook currently contains zero production-ready approvals.</t>
        </is>
      </c>
    </row>
    <row r="12" ht="56" customHeight="1">
      <c r="B12" s="3" t="inlineStr">
        <is>
          <t>Evidence</t>
        </is>
      </c>
      <c r="C12" s="4" t="inlineStr">
        <is>
          <t>Source, test and observed evidence identifiers link to the Evidence Ledger. Documentation and historical audits are leads only unless tied to exact revision, build or observed-runtime evidence.</t>
        </is>
      </c>
    </row>
    <row r="13" ht="56" customHeight="1">
      <c r="B13" s="3" t="inlineStr">
        <is>
          <t>Editing</t>
        </is>
      </c>
      <c r="C13" s="4" t="inlineStr">
        <is>
          <t>Use the controlled dropdowns in the Feature Register. Do not replace Unknown with a positive status without evidence. Add new evidence to the Evidence Ledger first, preserve revision/build identifiers, and record material decisions in Decisions &amp; Changes.</t>
        </is>
      </c>
    </row>
    <row r="14" ht="56" customHeight="1">
      <c r="B14" s="3" t="inlineStr">
        <is>
          <t>Live streaming</t>
        </is>
      </c>
      <c r="C14" s="4" t="inlineStr">
        <is>
          <t>The feature is implemented and user-reachable. It remains blocked because later signed-device candidates retained a black host preview and the Firebase HLS and separate AWS IVS paths are not reconciled.</t>
        </is>
      </c>
    </row>
    <row r="15" ht="56" customHeight="1">
      <c r="B15" s="3" t="inlineStr">
        <is>
          <t>Wallet and gifting</t>
        </is>
      </c>
      <c r="C15" s="4" t="inlineStr">
        <is>
          <t>The visible wallet and gift interface is implemented. It remains blocked because the current mobile Firestore economy and the hosted PostgreSQL economy are conflicting authorities, with no current executed transaction and reconciliation proof.</t>
        </is>
      </c>
    </row>
  </sheetData>
  <mergeCells count="2">
    <mergeCell ref="B3:C3"/>
    <mergeCell ref="B2:C2"/>
  </mergeCells>
  <pageMargins left="0.75" right="0.75" top="1" bottom="1" header="0.5" footer="0.5"/>
  <pageSetup fitToHeight="0" fitToWidth="1"/>
</worksheet>
</file>

<file path=xl/worksheets/sheet2.xml><?xml version="1.0" encoding="utf-8"?>
<worksheet xmlns="http://schemas.openxmlformats.org/spreadsheetml/2006/main">
  <sheetPr>
    <tabColor rgb="0039E6D3"/>
    <outlinePr summaryBelow="1" summaryRight="1"/>
    <pageSetUpPr fitToPage="1"/>
  </sheetPr>
  <dimension ref="A1:R95"/>
  <sheetViews>
    <sheetView showGridLines="0" zoomScale="100" workbookViewId="0">
      <pane ySplit="2" topLeftCell="A3"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2" customWidth="1" min="5" max="5"/>
    <col width="12" customWidth="1" min="6" max="6"/>
    <col width="20" customWidth="1" min="7" max="7"/>
    <col width="20" customWidth="1" min="8" max="8"/>
    <col width="14" customWidth="1" min="9" max="9"/>
    <col width="16"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52" customHeight="1">
      <c r="A1" s="1" t="inlineStr">
        <is>
          <t>blyp. product source of truth</t>
        </is>
      </c>
    </row>
    <row r="2" ht="32" customHeight="1">
      <c r="A2" s="5" t="inlineStr">
        <is>
          <t>633 normalized feature records • evidence anchored to 8bc0dcb2a1da • generated 2026-08-02T04:33:11+00:00</t>
        </is>
      </c>
    </row>
    <row r="4" ht="34" customHeight="1">
      <c r="A4" s="6" t="inlineStr">
        <is>
          <t>Defined records</t>
        </is>
      </c>
      <c r="D4" s="6" t="inlineStr">
        <is>
          <t>Product areas</t>
        </is>
      </c>
      <c r="G4" s="6" t="inlineStr">
        <is>
          <t>Implemented in some form</t>
        </is>
      </c>
      <c r="J4" s="6" t="inlineStr">
        <is>
          <t>Complete against requirement</t>
        </is>
      </c>
      <c r="M4" s="6" t="inlineStr">
        <is>
          <t>Physical-device observed</t>
        </is>
      </c>
      <c r="P4" s="6" t="inlineStr">
        <is>
          <t>Production ready</t>
        </is>
      </c>
    </row>
    <row r="5" ht="42" customHeight="1">
      <c r="A5" s="7">
        <f>COUNTA('Feature Register'!$A$2:$A$634)</f>
        <v/>
      </c>
      <c r="D5" s="8">
        <f>COUNTA($A$66:$A$95)</f>
        <v/>
      </c>
      <c r="G5" s="9">
        <f>COUNTIF('Feature Register'!$S$2:$S$634,"Scaffold only")+COUNTIF('Feature Register'!$S$2:$S$634,"UI only")+COUNTIF('Feature Register'!$S$2:$S$634,"Backend only")+COUNTIF('Feature Register'!$S$2:$S$634,"Partial")+COUNTIF('Feature Register'!$S$2:$S$634,"End-to-end present")+COUNTIF('Feature Register'!$S$2:$S$634,"Conflicting implementations")</f>
        <v/>
      </c>
      <c r="J5" s="10">
        <f>COUNTIF('Feature Register'!$AG$2:$AG$634,"Complete against stated requirement")</f>
        <v/>
      </c>
      <c r="M5" s="11">
        <f>COUNTIF('Feature Register'!$AJ$2:$AJ$634,"Physical device observed")</f>
        <v/>
      </c>
      <c r="P5" s="12">
        <f>COUNTIF('Feature Register'!$BE$2:$BE$634,"Production ready")</f>
        <v/>
      </c>
    </row>
    <row r="7" ht="38" customHeight="1">
      <c r="A7" s="13" t="inlineStr">
        <is>
          <t>No feature is automatically production-approved. `Production ready` requires every applicable gate, an exact release candidate, and accountable approval.</t>
        </is>
      </c>
    </row>
    <row r="9">
      <c r="A9" s="14" t="inlineStr">
        <is>
          <t>Physical implementation</t>
        </is>
      </c>
    </row>
    <row r="10">
      <c r="A10" s="15" t="inlineStr">
        <is>
          <t>Status</t>
        </is>
      </c>
      <c r="B10" s="15" t="inlineStr">
        <is>
          <t>Count</t>
        </is>
      </c>
      <c r="C10" s="15" t="inlineStr">
        <is>
          <t>% of 633</t>
        </is>
      </c>
    </row>
    <row r="11">
      <c r="A11" s="16" t="inlineStr">
        <is>
          <t>End-to-end present</t>
        </is>
      </c>
      <c r="B11" s="17">
        <f>COUNTIF('Feature Register'!$S$2:$S$634,A11)</f>
        <v/>
      </c>
      <c r="C11" s="18">
        <f>B11/$A$5</f>
        <v/>
      </c>
    </row>
    <row r="12">
      <c r="A12" s="19" t="inlineStr">
        <is>
          <t>Partial</t>
        </is>
      </c>
      <c r="B12" s="17">
        <f>COUNTIF('Feature Register'!$S$2:$S$634,A12)</f>
        <v/>
      </c>
      <c r="C12" s="18">
        <f>B12/$A$5</f>
        <v/>
      </c>
    </row>
    <row r="13">
      <c r="A13" s="20" t="inlineStr">
        <is>
          <t>UI only</t>
        </is>
      </c>
      <c r="B13" s="17">
        <f>COUNTIF('Feature Register'!$S$2:$S$634,A13)</f>
        <v/>
      </c>
      <c r="C13" s="18">
        <f>B13/$A$5</f>
        <v/>
      </c>
    </row>
    <row r="14">
      <c r="A14" s="21" t="inlineStr">
        <is>
          <t>Backend only</t>
        </is>
      </c>
      <c r="B14" s="17">
        <f>COUNTIF('Feature Register'!$S$2:$S$634,A14)</f>
        <v/>
      </c>
      <c r="C14" s="18">
        <f>B14/$A$5</f>
        <v/>
      </c>
    </row>
    <row r="15">
      <c r="A15" s="22" t="inlineStr">
        <is>
          <t>Conflicting implementations</t>
        </is>
      </c>
      <c r="B15" s="17">
        <f>COUNTIF('Feature Register'!$S$2:$S$634,A15)</f>
        <v/>
      </c>
      <c r="C15" s="18">
        <f>B15/$A$5</f>
        <v/>
      </c>
    </row>
    <row r="16">
      <c r="A16" s="23" t="inlineStr">
        <is>
          <t>Scaffold only</t>
        </is>
      </c>
      <c r="B16" s="17">
        <f>COUNTIF('Feature Register'!$S$2:$S$634,A16)</f>
        <v/>
      </c>
      <c r="C16" s="18">
        <f>B16/$A$5</f>
        <v/>
      </c>
    </row>
    <row r="17">
      <c r="A17" s="24" t="inlineStr">
        <is>
          <t>Not found</t>
        </is>
      </c>
      <c r="B17" s="17">
        <f>COUNTIF('Feature Register'!$S$2:$S$634,A17)</f>
        <v/>
      </c>
      <c r="C17" s="18">
        <f>B17/$A$5</f>
        <v/>
      </c>
    </row>
    <row r="18">
      <c r="A18" s="25" t="inlineStr">
        <is>
          <t>Unknown</t>
        </is>
      </c>
      <c r="B18" s="17">
        <f>COUNTIF('Feature Register'!$S$2:$S$634,A18)</f>
        <v/>
      </c>
      <c r="C18" s="18">
        <f>B18/$A$5</f>
        <v/>
      </c>
    </row>
    <row r="21">
      <c r="A21" s="14" t="inlineStr">
        <is>
          <t>Functional completeness</t>
        </is>
      </c>
    </row>
    <row r="22">
      <c r="A22" s="15" t="inlineStr">
        <is>
          <t>Status</t>
        </is>
      </c>
      <c r="B22" s="15" t="inlineStr">
        <is>
          <t>Count</t>
        </is>
      </c>
      <c r="C22" s="15" t="inlineStr">
        <is>
          <t>% of 633</t>
        </is>
      </c>
    </row>
    <row r="23">
      <c r="A23" s="16" t="inlineStr">
        <is>
          <t>Complete against stated requirement</t>
        </is>
      </c>
      <c r="B23" s="17">
        <f>COUNTIF('Feature Register'!$AG$2:$AG$634,A23)</f>
        <v/>
      </c>
      <c r="C23" s="18">
        <f>B23/$A$5</f>
        <v/>
      </c>
    </row>
    <row r="24">
      <c r="A24" s="19" t="inlineStr">
        <is>
          <t>Incomplete</t>
        </is>
      </c>
      <c r="B24" s="17">
        <f>COUNTIF('Feature Register'!$AG$2:$AG$634,A24)</f>
        <v/>
      </c>
      <c r="C24" s="18">
        <f>B24/$A$5</f>
        <v/>
      </c>
    </row>
    <row r="25">
      <c r="A25" s="24" t="inlineStr">
        <is>
          <t>Not started</t>
        </is>
      </c>
      <c r="B25" s="17">
        <f>COUNTIF('Feature Register'!$AG$2:$AG$634,A25)</f>
        <v/>
      </c>
      <c r="C25" s="18">
        <f>B25/$A$5</f>
        <v/>
      </c>
    </row>
    <row r="26">
      <c r="A26" s="23" t="inlineStr">
        <is>
          <t>Not assessable</t>
        </is>
      </c>
      <c r="B26" s="17">
        <f>COUNTIF('Feature Register'!$AG$2:$AG$634,A26)</f>
        <v/>
      </c>
      <c r="C26" s="18">
        <f>B26/$A$5</f>
        <v/>
      </c>
    </row>
    <row r="27">
      <c r="A27" s="25" t="inlineStr">
        <is>
          <t>Unknown</t>
        </is>
      </c>
      <c r="B27" s="17">
        <f>COUNTIF('Feature Register'!$AG$2:$AG$634,A27)</f>
        <v/>
      </c>
      <c r="C27" s="18">
        <f>B27/$A$5</f>
        <v/>
      </c>
    </row>
    <row r="30">
      <c r="A30" s="14" t="inlineStr">
        <is>
          <t>Verification</t>
        </is>
      </c>
    </row>
    <row r="31">
      <c r="A31" s="15" t="inlineStr">
        <is>
          <t>Status</t>
        </is>
      </c>
      <c r="B31" s="15" t="inlineStr">
        <is>
          <t>Count</t>
        </is>
      </c>
      <c r="C31" s="15" t="inlineStr">
        <is>
          <t>% of 633</t>
        </is>
      </c>
    </row>
    <row r="32">
      <c r="A32" s="26" t="inlineStr">
        <is>
          <t>Physical device observed</t>
        </is>
      </c>
      <c r="B32" s="17">
        <f>COUNTIF('Feature Register'!$AJ$2:$AJ$634,A32)</f>
        <v/>
      </c>
      <c r="C32" s="18">
        <f>B32/$A$5</f>
        <v/>
      </c>
    </row>
    <row r="33">
      <c r="A33" s="22" t="inlineStr">
        <is>
          <t>Conflicting evidence</t>
        </is>
      </c>
      <c r="B33" s="17">
        <f>COUNTIF('Feature Register'!$AJ$2:$AJ$634,A33)</f>
        <v/>
      </c>
      <c r="C33" s="18">
        <f>B33/$A$5</f>
        <v/>
      </c>
    </row>
    <row r="34">
      <c r="A34" s="27" t="inlineStr">
        <is>
          <t>Source traced</t>
        </is>
      </c>
      <c r="B34" s="17">
        <f>COUNTIF('Feature Register'!$AJ$2:$AJ$634,A34)</f>
        <v/>
      </c>
      <c r="C34" s="18">
        <f>B34/$A$5</f>
        <v/>
      </c>
    </row>
    <row r="35">
      <c r="A35" s="21" t="inlineStr">
        <is>
          <t>Build verified</t>
        </is>
      </c>
      <c r="B35" s="17">
        <f>COUNTIF('Feature Register'!$AJ$2:$AJ$634,A35)</f>
        <v/>
      </c>
      <c r="C35" s="18">
        <f>B35/$A$5</f>
        <v/>
      </c>
    </row>
    <row r="36">
      <c r="A36" s="20" t="inlineStr">
        <is>
          <t>Automated test passed</t>
        </is>
      </c>
      <c r="B36" s="17">
        <f>COUNTIF('Feature Register'!$AJ$2:$AJ$634,A36)</f>
        <v/>
      </c>
      <c r="C36" s="18">
        <f>B36/$A$5</f>
        <v/>
      </c>
    </row>
    <row r="37">
      <c r="A37" s="25" t="inlineStr">
        <is>
          <t>Not verified</t>
        </is>
      </c>
      <c r="B37" s="17">
        <f>COUNTIF('Feature Register'!$AJ$2:$AJ$634,A37)</f>
        <v/>
      </c>
      <c r="C37" s="18">
        <f>B37/$A$5</f>
        <v/>
      </c>
    </row>
    <row r="38">
      <c r="A38" s="28" t="inlineStr">
        <is>
          <t>Unknown</t>
        </is>
      </c>
      <c r="B38" s="17">
        <f>COUNTIF('Feature Register'!$AJ$2:$AJ$634,A38)</f>
        <v/>
      </c>
      <c r="C38" s="18">
        <f>B38/$A$5</f>
        <v/>
      </c>
    </row>
    <row r="41">
      <c r="A41" s="14" t="inlineStr">
        <is>
          <t>Production conclusion</t>
        </is>
      </c>
    </row>
    <row r="42">
      <c r="A42" s="15" t="inlineStr">
        <is>
          <t>Status</t>
        </is>
      </c>
      <c r="B42" s="15" t="inlineStr">
        <is>
          <t>Count</t>
        </is>
      </c>
      <c r="C42" s="15" t="inlineStr">
        <is>
          <t>% of 633</t>
        </is>
      </c>
    </row>
    <row r="43">
      <c r="A43" s="16" t="inlineStr">
        <is>
          <t>Production ready</t>
        </is>
      </c>
      <c r="B43" s="17">
        <f>COUNTIF('Feature Register'!$BE$2:$BE$634,A43)</f>
        <v/>
      </c>
      <c r="C43" s="18">
        <f>B43/$A$5</f>
        <v/>
      </c>
    </row>
    <row r="44">
      <c r="A44" s="26" t="inlineStr">
        <is>
          <t>Ready for production validation</t>
        </is>
      </c>
      <c r="B44" s="17">
        <f>COUNTIF('Feature Register'!$BE$2:$BE$634,A44)</f>
        <v/>
      </c>
      <c r="C44" s="18">
        <f>B44/$A$5</f>
        <v/>
      </c>
    </row>
    <row r="45">
      <c r="A45" s="22" t="inlineStr">
        <is>
          <t>Blocked</t>
        </is>
      </c>
      <c r="B45" s="17">
        <f>COUNTIF('Feature Register'!$BE$2:$BE$634,A45)</f>
        <v/>
      </c>
      <c r="C45" s="18">
        <f>B45/$A$5</f>
        <v/>
      </c>
    </row>
    <row r="46">
      <c r="A46" s="19" t="inlineStr">
        <is>
          <t>Development required</t>
        </is>
      </c>
      <c r="B46" s="17">
        <f>COUNTIF('Feature Register'!$BE$2:$BE$634,A46)</f>
        <v/>
      </c>
      <c r="C46" s="18">
        <f>B46/$A$5</f>
        <v/>
      </c>
    </row>
    <row r="47">
      <c r="A47" s="25" t="inlineStr">
        <is>
          <t>Not assessed</t>
        </is>
      </c>
      <c r="B47" s="17">
        <f>COUNTIF('Feature Register'!$BE$2:$BE$634,A47)</f>
        <v/>
      </c>
      <c r="C47" s="18">
        <f>B47/$A$5</f>
        <v/>
      </c>
    </row>
    <row r="48">
      <c r="A48" s="28" t="inlineStr">
        <is>
          <t>Unknown</t>
        </is>
      </c>
      <c r="B48" s="17">
        <f>COUNTIF('Feature Register'!$BE$2:$BE$634,A48)</f>
        <v/>
      </c>
      <c r="C48" s="18">
        <f>B48/$A$5</f>
        <v/>
      </c>
    </row>
    <row r="49">
      <c r="A49" s="23" t="inlineStr">
        <is>
          <t>Not applicable</t>
        </is>
      </c>
      <c r="B49" s="17">
        <f>COUNTIF('Feature Register'!$BE$2:$BE$634,A49)</f>
        <v/>
      </c>
      <c r="C49" s="18">
        <f>B49/$A$5</f>
        <v/>
      </c>
    </row>
    <row r="64">
      <c r="A64" s="14" t="inlineStr">
        <is>
          <t>Product-area coverage</t>
        </is>
      </c>
    </row>
    <row r="65">
      <c r="A65" s="15" t="inlineStr">
        <is>
          <t>Product area</t>
        </is>
      </c>
      <c r="B65" s="15" t="inlineStr">
        <is>
          <t>Records</t>
        </is>
      </c>
      <c r="C65" s="15" t="inlineStr">
        <is>
          <t>Implemented</t>
        </is>
      </c>
      <c r="D65" s="15" t="inlineStr">
        <is>
          <t>Complete</t>
        </is>
      </c>
      <c r="E65" s="15" t="inlineStr">
        <is>
          <t>Observed</t>
        </is>
      </c>
      <c r="F65" s="15" t="inlineStr">
        <is>
          <t>Blocked</t>
        </is>
      </c>
      <c r="G65" s="15" t="inlineStr">
        <is>
          <t>Development required</t>
        </is>
      </c>
      <c r="H65" s="15" t="inlineStr">
        <is>
          <t>Ready for validation</t>
        </is>
      </c>
      <c r="I65" s="15" t="inlineStr">
        <is>
          <t>Not assessed</t>
        </is>
      </c>
      <c r="J65" s="15" t="inlineStr">
        <is>
          <t>Production ready</t>
        </is>
      </c>
    </row>
    <row r="66" ht="34" customHeight="1">
      <c r="A66" s="29" t="inlineStr">
        <is>
          <t>BLYP Bar and AI-assisted posting</t>
        </is>
      </c>
      <c r="B66" s="17">
        <f>COUNTIF('Feature Register'!$C$2:$C$634,A66)</f>
        <v/>
      </c>
      <c r="C66" s="17">
        <f>COUNTIFS('Feature Register'!$C$2:$C$634,A66,'Feature Register'!$S$2:$S$634,"Scaffold only")+COUNTIFS('Feature Register'!$C$2:$C$634,A66,'Feature Register'!$S$2:$S$634,"UI only")+COUNTIFS('Feature Register'!$C$2:$C$634,A66,'Feature Register'!$S$2:$S$634,"Backend only")+COUNTIFS('Feature Register'!$C$2:$C$634,A66,'Feature Register'!$S$2:$S$634,"Partial")+COUNTIFS('Feature Register'!$C$2:$C$634,A66,'Feature Register'!$S$2:$S$634,"End-to-end present")+COUNTIFS('Feature Register'!$C$2:$C$634,A66,'Feature Register'!$S$2:$S$634,"Conflicting implementations")</f>
        <v/>
      </c>
      <c r="D66" s="17">
        <f>COUNTIFS('Feature Register'!$C$2:$C$634,A66,'Feature Register'!$AG$2:$AG$634,"Complete against stated requirement")</f>
        <v/>
      </c>
      <c r="E66" s="17">
        <f>COUNTIFS('Feature Register'!$C$2:$C$634,A66,'Feature Register'!$AJ$2:$AJ$634,"Physical device observed")</f>
        <v/>
      </c>
      <c r="F66" s="17">
        <f>COUNTIFS('Feature Register'!$C$2:$C$634,A66,'Feature Register'!$BE$2:$BE$634,"Blocked")</f>
        <v/>
      </c>
      <c r="G66" s="17">
        <f>COUNTIFS('Feature Register'!$C$2:$C$634,A66,'Feature Register'!$BE$2:$BE$634,"Development required")</f>
        <v/>
      </c>
      <c r="H66" s="17">
        <f>COUNTIFS('Feature Register'!$C$2:$C$634,A66,'Feature Register'!$BE$2:$BE$634,"Ready for production validation")</f>
        <v/>
      </c>
      <c r="I66" s="17">
        <f>COUNTIFS('Feature Register'!$C$2:$C$634,A66,'Feature Register'!$BE$2:$BE$634,"Not assessed")</f>
        <v/>
      </c>
      <c r="J66" s="17">
        <f>COUNTIFS('Feature Register'!$C$2:$C$634,A66,'Feature Register'!$BE$2:$BE$634,"Production ready")</f>
        <v/>
      </c>
    </row>
    <row r="67" ht="34" customHeight="1">
      <c r="A67" s="29" t="inlineStr">
        <is>
          <t>Team applications</t>
        </is>
      </c>
      <c r="B67" s="17">
        <f>COUNTIF('Feature Register'!$C$2:$C$634,A67)</f>
        <v/>
      </c>
      <c r="C67" s="17">
        <f>COUNTIFS('Feature Register'!$C$2:$C$634,A67,'Feature Register'!$S$2:$S$634,"Scaffold only")+COUNTIFS('Feature Register'!$C$2:$C$634,A67,'Feature Register'!$S$2:$S$634,"UI only")+COUNTIFS('Feature Register'!$C$2:$C$634,A67,'Feature Register'!$S$2:$S$634,"Backend only")+COUNTIFS('Feature Register'!$C$2:$C$634,A67,'Feature Register'!$S$2:$S$634,"Partial")+COUNTIFS('Feature Register'!$C$2:$C$634,A67,'Feature Register'!$S$2:$S$634,"End-to-end present")+COUNTIFS('Feature Register'!$C$2:$C$634,A67,'Feature Register'!$S$2:$S$634,"Conflicting implementations")</f>
        <v/>
      </c>
      <c r="D67" s="17">
        <f>COUNTIFS('Feature Register'!$C$2:$C$634,A67,'Feature Register'!$AG$2:$AG$634,"Complete against stated requirement")</f>
        <v/>
      </c>
      <c r="E67" s="17">
        <f>COUNTIFS('Feature Register'!$C$2:$C$634,A67,'Feature Register'!$AJ$2:$AJ$634,"Physical device observed")</f>
        <v/>
      </c>
      <c r="F67" s="17">
        <f>COUNTIFS('Feature Register'!$C$2:$C$634,A67,'Feature Register'!$BE$2:$BE$634,"Blocked")</f>
        <v/>
      </c>
      <c r="G67" s="17">
        <f>COUNTIFS('Feature Register'!$C$2:$C$634,A67,'Feature Register'!$BE$2:$BE$634,"Development required")</f>
        <v/>
      </c>
      <c r="H67" s="17">
        <f>COUNTIFS('Feature Register'!$C$2:$C$634,A67,'Feature Register'!$BE$2:$BE$634,"Ready for production validation")</f>
        <v/>
      </c>
      <c r="I67" s="17">
        <f>COUNTIFS('Feature Register'!$C$2:$C$634,A67,'Feature Register'!$BE$2:$BE$634,"Not assessed")</f>
        <v/>
      </c>
      <c r="J67" s="17">
        <f>COUNTIFS('Feature Register'!$C$2:$C$634,A67,'Feature Register'!$BE$2:$BE$634,"Production ready")</f>
        <v/>
      </c>
    </row>
    <row r="68" ht="34" customHeight="1">
      <c r="A68" s="29" t="inlineStr">
        <is>
          <t>Interest hubs</t>
        </is>
      </c>
      <c r="B68" s="17">
        <f>COUNTIF('Feature Register'!$C$2:$C$634,A68)</f>
        <v/>
      </c>
      <c r="C68" s="17">
        <f>COUNTIFS('Feature Register'!$C$2:$C$634,A68,'Feature Register'!$S$2:$S$634,"Scaffold only")+COUNTIFS('Feature Register'!$C$2:$C$634,A68,'Feature Register'!$S$2:$S$634,"UI only")+COUNTIFS('Feature Register'!$C$2:$C$634,A68,'Feature Register'!$S$2:$S$634,"Backend only")+COUNTIFS('Feature Register'!$C$2:$C$634,A68,'Feature Register'!$S$2:$S$634,"Partial")+COUNTIFS('Feature Register'!$C$2:$C$634,A68,'Feature Register'!$S$2:$S$634,"End-to-end present")+COUNTIFS('Feature Register'!$C$2:$C$634,A68,'Feature Register'!$S$2:$S$634,"Conflicting implementations")</f>
        <v/>
      </c>
      <c r="D68" s="17">
        <f>COUNTIFS('Feature Register'!$C$2:$C$634,A68,'Feature Register'!$AG$2:$AG$634,"Complete against stated requirement")</f>
        <v/>
      </c>
      <c r="E68" s="17">
        <f>COUNTIFS('Feature Register'!$C$2:$C$634,A68,'Feature Register'!$AJ$2:$AJ$634,"Physical device observed")</f>
        <v/>
      </c>
      <c r="F68" s="17">
        <f>COUNTIFS('Feature Register'!$C$2:$C$634,A68,'Feature Register'!$BE$2:$BE$634,"Blocked")</f>
        <v/>
      </c>
      <c r="G68" s="17">
        <f>COUNTIFS('Feature Register'!$C$2:$C$634,A68,'Feature Register'!$BE$2:$BE$634,"Development required")</f>
        <v/>
      </c>
      <c r="H68" s="17">
        <f>COUNTIFS('Feature Register'!$C$2:$C$634,A68,'Feature Register'!$BE$2:$BE$634,"Ready for production validation")</f>
        <v/>
      </c>
      <c r="I68" s="17">
        <f>COUNTIFS('Feature Register'!$C$2:$C$634,A68,'Feature Register'!$BE$2:$BE$634,"Not assessed")</f>
        <v/>
      </c>
      <c r="J68" s="17">
        <f>COUNTIFS('Feature Register'!$C$2:$C$634,A68,'Feature Register'!$BE$2:$BE$634,"Production ready")</f>
        <v/>
      </c>
    </row>
    <row r="69" ht="34" customHeight="1">
      <c r="A69" s="29" t="inlineStr">
        <is>
          <t>Always-on communal topic live rooms</t>
        </is>
      </c>
      <c r="B69" s="17">
        <f>COUNTIF('Feature Register'!$C$2:$C$634,A69)</f>
        <v/>
      </c>
      <c r="C69" s="17">
        <f>COUNTIFS('Feature Register'!$C$2:$C$634,A69,'Feature Register'!$S$2:$S$634,"Scaffold only")+COUNTIFS('Feature Register'!$C$2:$C$634,A69,'Feature Register'!$S$2:$S$634,"UI only")+COUNTIFS('Feature Register'!$C$2:$C$634,A69,'Feature Register'!$S$2:$S$634,"Backend only")+COUNTIFS('Feature Register'!$C$2:$C$634,A69,'Feature Register'!$S$2:$S$634,"Partial")+COUNTIFS('Feature Register'!$C$2:$C$634,A69,'Feature Register'!$S$2:$S$634,"End-to-end present")+COUNTIFS('Feature Register'!$C$2:$C$634,A69,'Feature Register'!$S$2:$S$634,"Conflicting implementations")</f>
        <v/>
      </c>
      <c r="D69" s="17">
        <f>COUNTIFS('Feature Register'!$C$2:$C$634,A69,'Feature Register'!$AG$2:$AG$634,"Complete against stated requirement")</f>
        <v/>
      </c>
      <c r="E69" s="17">
        <f>COUNTIFS('Feature Register'!$C$2:$C$634,A69,'Feature Register'!$AJ$2:$AJ$634,"Physical device observed")</f>
        <v/>
      </c>
      <c r="F69" s="17">
        <f>COUNTIFS('Feature Register'!$C$2:$C$634,A69,'Feature Register'!$BE$2:$BE$634,"Blocked")</f>
        <v/>
      </c>
      <c r="G69" s="17">
        <f>COUNTIFS('Feature Register'!$C$2:$C$634,A69,'Feature Register'!$BE$2:$BE$634,"Development required")</f>
        <v/>
      </c>
      <c r="H69" s="17">
        <f>COUNTIFS('Feature Register'!$C$2:$C$634,A69,'Feature Register'!$BE$2:$BE$634,"Ready for production validation")</f>
        <v/>
      </c>
      <c r="I69" s="17">
        <f>COUNTIFS('Feature Register'!$C$2:$C$634,A69,'Feature Register'!$BE$2:$BE$634,"Not assessed")</f>
        <v/>
      </c>
      <c r="J69" s="17">
        <f>COUNTIFS('Feature Register'!$C$2:$C$634,A69,'Feature Register'!$BE$2:$BE$634,"Production ready")</f>
        <v/>
      </c>
    </row>
    <row r="70" ht="34" customHeight="1">
      <c r="A70" s="29" t="inlineStr">
        <is>
          <t>Role-based Team Board</t>
        </is>
      </c>
      <c r="B70" s="17">
        <f>COUNTIF('Feature Register'!$C$2:$C$634,A70)</f>
        <v/>
      </c>
      <c r="C70" s="17">
        <f>COUNTIFS('Feature Register'!$C$2:$C$634,A70,'Feature Register'!$S$2:$S$634,"Scaffold only")+COUNTIFS('Feature Register'!$C$2:$C$634,A70,'Feature Register'!$S$2:$S$634,"UI only")+COUNTIFS('Feature Register'!$C$2:$C$634,A70,'Feature Register'!$S$2:$S$634,"Backend only")+COUNTIFS('Feature Register'!$C$2:$C$634,A70,'Feature Register'!$S$2:$S$634,"Partial")+COUNTIFS('Feature Register'!$C$2:$C$634,A70,'Feature Register'!$S$2:$S$634,"End-to-end present")+COUNTIFS('Feature Register'!$C$2:$C$634,A70,'Feature Register'!$S$2:$S$634,"Conflicting implementations")</f>
        <v/>
      </c>
      <c r="D70" s="17">
        <f>COUNTIFS('Feature Register'!$C$2:$C$634,A70,'Feature Register'!$AG$2:$AG$634,"Complete against stated requirement")</f>
        <v/>
      </c>
      <c r="E70" s="17">
        <f>COUNTIFS('Feature Register'!$C$2:$C$634,A70,'Feature Register'!$AJ$2:$AJ$634,"Physical device observed")</f>
        <v/>
      </c>
      <c r="F70" s="17">
        <f>COUNTIFS('Feature Register'!$C$2:$C$634,A70,'Feature Register'!$BE$2:$BE$634,"Blocked")</f>
        <v/>
      </c>
      <c r="G70" s="17">
        <f>COUNTIFS('Feature Register'!$C$2:$C$634,A70,'Feature Register'!$BE$2:$BE$634,"Development required")</f>
        <v/>
      </c>
      <c r="H70" s="17">
        <f>COUNTIFS('Feature Register'!$C$2:$C$634,A70,'Feature Register'!$BE$2:$BE$634,"Ready for production validation")</f>
        <v/>
      </c>
      <c r="I70" s="17">
        <f>COUNTIFS('Feature Register'!$C$2:$C$634,A70,'Feature Register'!$BE$2:$BE$634,"Not assessed")</f>
        <v/>
      </c>
      <c r="J70" s="17">
        <f>COUNTIFS('Feature Register'!$C$2:$C$634,A70,'Feature Register'!$BE$2:$BE$634,"Production ready")</f>
        <v/>
      </c>
    </row>
    <row r="71" ht="34" customHeight="1">
      <c r="A71" s="29" t="inlineStr">
        <is>
          <t>Homepage feeds and header</t>
        </is>
      </c>
      <c r="B71" s="17">
        <f>COUNTIF('Feature Register'!$C$2:$C$634,A71)</f>
        <v/>
      </c>
      <c r="C71" s="17">
        <f>COUNTIFS('Feature Register'!$C$2:$C$634,A71,'Feature Register'!$S$2:$S$634,"Scaffold only")+COUNTIFS('Feature Register'!$C$2:$C$634,A71,'Feature Register'!$S$2:$S$634,"UI only")+COUNTIFS('Feature Register'!$C$2:$C$634,A71,'Feature Register'!$S$2:$S$634,"Backend only")+COUNTIFS('Feature Register'!$C$2:$C$634,A71,'Feature Register'!$S$2:$S$634,"Partial")+COUNTIFS('Feature Register'!$C$2:$C$634,A71,'Feature Register'!$S$2:$S$634,"End-to-end present")+COUNTIFS('Feature Register'!$C$2:$C$634,A71,'Feature Register'!$S$2:$S$634,"Conflicting implementations")</f>
        <v/>
      </c>
      <c r="D71" s="17">
        <f>COUNTIFS('Feature Register'!$C$2:$C$634,A71,'Feature Register'!$AG$2:$AG$634,"Complete against stated requirement")</f>
        <v/>
      </c>
      <c r="E71" s="17">
        <f>COUNTIFS('Feature Register'!$C$2:$C$634,A71,'Feature Register'!$AJ$2:$AJ$634,"Physical device observed")</f>
        <v/>
      </c>
      <c r="F71" s="17">
        <f>COUNTIFS('Feature Register'!$C$2:$C$634,A71,'Feature Register'!$BE$2:$BE$634,"Blocked")</f>
        <v/>
      </c>
      <c r="G71" s="17">
        <f>COUNTIFS('Feature Register'!$C$2:$C$634,A71,'Feature Register'!$BE$2:$BE$634,"Development required")</f>
        <v/>
      </c>
      <c r="H71" s="17">
        <f>COUNTIFS('Feature Register'!$C$2:$C$634,A71,'Feature Register'!$BE$2:$BE$634,"Ready for production validation")</f>
        <v/>
      </c>
      <c r="I71" s="17">
        <f>COUNTIFS('Feature Register'!$C$2:$C$634,A71,'Feature Register'!$BE$2:$BE$634,"Not assessed")</f>
        <v/>
      </c>
      <c r="J71" s="17">
        <f>COUNTIFS('Feature Register'!$C$2:$C$634,A71,'Feature Register'!$BE$2:$BE$634,"Production ready")</f>
        <v/>
      </c>
    </row>
    <row r="72" ht="34" customHeight="1">
      <c r="A72" s="29" t="inlineStr">
        <is>
          <t>Live, Battles, Your BLYP, Teams, and games header</t>
        </is>
      </c>
      <c r="B72" s="17">
        <f>COUNTIF('Feature Register'!$C$2:$C$634,A72)</f>
        <v/>
      </c>
      <c r="C72" s="17">
        <f>COUNTIFS('Feature Register'!$C$2:$C$634,A72,'Feature Register'!$S$2:$S$634,"Scaffold only")+COUNTIFS('Feature Register'!$C$2:$C$634,A72,'Feature Register'!$S$2:$S$634,"UI only")+COUNTIFS('Feature Register'!$C$2:$C$634,A72,'Feature Register'!$S$2:$S$634,"Backend only")+COUNTIFS('Feature Register'!$C$2:$C$634,A72,'Feature Register'!$S$2:$S$634,"Partial")+COUNTIFS('Feature Register'!$C$2:$C$634,A72,'Feature Register'!$S$2:$S$634,"End-to-end present")+COUNTIFS('Feature Register'!$C$2:$C$634,A72,'Feature Register'!$S$2:$S$634,"Conflicting implementations")</f>
        <v/>
      </c>
      <c r="D72" s="17">
        <f>COUNTIFS('Feature Register'!$C$2:$C$634,A72,'Feature Register'!$AG$2:$AG$634,"Complete against stated requirement")</f>
        <v/>
      </c>
      <c r="E72" s="17">
        <f>COUNTIFS('Feature Register'!$C$2:$C$634,A72,'Feature Register'!$AJ$2:$AJ$634,"Physical device observed")</f>
        <v/>
      </c>
      <c r="F72" s="17">
        <f>COUNTIFS('Feature Register'!$C$2:$C$634,A72,'Feature Register'!$BE$2:$BE$634,"Blocked")</f>
        <v/>
      </c>
      <c r="G72" s="17">
        <f>COUNTIFS('Feature Register'!$C$2:$C$634,A72,'Feature Register'!$BE$2:$BE$634,"Development required")</f>
        <v/>
      </c>
      <c r="H72" s="17">
        <f>COUNTIFS('Feature Register'!$C$2:$C$634,A72,'Feature Register'!$BE$2:$BE$634,"Ready for production validation")</f>
        <v/>
      </c>
      <c r="I72" s="17">
        <f>COUNTIFS('Feature Register'!$C$2:$C$634,A72,'Feature Register'!$BE$2:$BE$634,"Not assessed")</f>
        <v/>
      </c>
      <c r="J72" s="17">
        <f>COUNTIFS('Feature Register'!$C$2:$C$634,A72,'Feature Register'!$BE$2:$BE$634,"Production ready")</f>
        <v/>
      </c>
    </row>
    <row r="73" ht="34" customHeight="1">
      <c r="A73" s="29" t="inlineStr">
        <is>
          <t>Subscriber-only Dating destination</t>
        </is>
      </c>
      <c r="B73" s="17">
        <f>COUNTIF('Feature Register'!$C$2:$C$634,A73)</f>
        <v/>
      </c>
      <c r="C73" s="17">
        <f>COUNTIFS('Feature Register'!$C$2:$C$634,A73,'Feature Register'!$S$2:$S$634,"Scaffold only")+COUNTIFS('Feature Register'!$C$2:$C$634,A73,'Feature Register'!$S$2:$S$634,"UI only")+COUNTIFS('Feature Register'!$C$2:$C$634,A73,'Feature Register'!$S$2:$S$634,"Backend only")+COUNTIFS('Feature Register'!$C$2:$C$634,A73,'Feature Register'!$S$2:$S$634,"Partial")+COUNTIFS('Feature Register'!$C$2:$C$634,A73,'Feature Register'!$S$2:$S$634,"End-to-end present")+COUNTIFS('Feature Register'!$C$2:$C$634,A73,'Feature Register'!$S$2:$S$634,"Conflicting implementations")</f>
        <v/>
      </c>
      <c r="D73" s="17">
        <f>COUNTIFS('Feature Register'!$C$2:$C$634,A73,'Feature Register'!$AG$2:$AG$634,"Complete against stated requirement")</f>
        <v/>
      </c>
      <c r="E73" s="17">
        <f>COUNTIFS('Feature Register'!$C$2:$C$634,A73,'Feature Register'!$AJ$2:$AJ$634,"Physical device observed")</f>
        <v/>
      </c>
      <c r="F73" s="17">
        <f>COUNTIFS('Feature Register'!$C$2:$C$634,A73,'Feature Register'!$BE$2:$BE$634,"Blocked")</f>
        <v/>
      </c>
      <c r="G73" s="17">
        <f>COUNTIFS('Feature Register'!$C$2:$C$634,A73,'Feature Register'!$BE$2:$BE$634,"Development required")</f>
        <v/>
      </c>
      <c r="H73" s="17">
        <f>COUNTIFS('Feature Register'!$C$2:$C$634,A73,'Feature Register'!$BE$2:$BE$634,"Ready for production validation")</f>
        <v/>
      </c>
      <c r="I73" s="17">
        <f>COUNTIFS('Feature Register'!$C$2:$C$634,A73,'Feature Register'!$BE$2:$BE$634,"Not assessed")</f>
        <v/>
      </c>
      <c r="J73" s="17">
        <f>COUNTIFS('Feature Register'!$C$2:$C$634,A73,'Feature Register'!$BE$2:$BE$634,"Production ready")</f>
        <v/>
      </c>
    </row>
    <row r="74" ht="34" customHeight="1">
      <c r="A74" s="29" t="inlineStr">
        <is>
          <t>Free and £4.99 membership</t>
        </is>
      </c>
      <c r="B74" s="17">
        <f>COUNTIF('Feature Register'!$C$2:$C$634,A74)</f>
        <v/>
      </c>
      <c r="C74" s="17">
        <f>COUNTIFS('Feature Register'!$C$2:$C$634,A74,'Feature Register'!$S$2:$S$634,"Scaffold only")+COUNTIFS('Feature Register'!$C$2:$C$634,A74,'Feature Register'!$S$2:$S$634,"UI only")+COUNTIFS('Feature Register'!$C$2:$C$634,A74,'Feature Register'!$S$2:$S$634,"Backend only")+COUNTIFS('Feature Register'!$C$2:$C$634,A74,'Feature Register'!$S$2:$S$634,"Partial")+COUNTIFS('Feature Register'!$C$2:$C$634,A74,'Feature Register'!$S$2:$S$634,"End-to-end present")+COUNTIFS('Feature Register'!$C$2:$C$634,A74,'Feature Register'!$S$2:$S$634,"Conflicting implementations")</f>
        <v/>
      </c>
      <c r="D74" s="17">
        <f>COUNTIFS('Feature Register'!$C$2:$C$634,A74,'Feature Register'!$AG$2:$AG$634,"Complete against stated requirement")</f>
        <v/>
      </c>
      <c r="E74" s="17">
        <f>COUNTIFS('Feature Register'!$C$2:$C$634,A74,'Feature Register'!$AJ$2:$AJ$634,"Physical device observed")</f>
        <v/>
      </c>
      <c r="F74" s="17">
        <f>COUNTIFS('Feature Register'!$C$2:$C$634,A74,'Feature Register'!$BE$2:$BE$634,"Blocked")</f>
        <v/>
      </c>
      <c r="G74" s="17">
        <f>COUNTIFS('Feature Register'!$C$2:$C$634,A74,'Feature Register'!$BE$2:$BE$634,"Development required")</f>
        <v/>
      </c>
      <c r="H74" s="17">
        <f>COUNTIFS('Feature Register'!$C$2:$C$634,A74,'Feature Register'!$BE$2:$BE$634,"Ready for production validation")</f>
        <v/>
      </c>
      <c r="I74" s="17">
        <f>COUNTIFS('Feature Register'!$C$2:$C$634,A74,'Feature Register'!$BE$2:$BE$634,"Not assessed")</f>
        <v/>
      </c>
      <c r="J74" s="17">
        <f>COUNTIFS('Feature Register'!$C$2:$C$634,A74,'Feature Register'!$BE$2:$BE$634,"Production ready")</f>
        <v/>
      </c>
    </row>
    <row r="75" ht="34" customHeight="1">
      <c r="A75" s="29" t="inlineStr">
        <is>
          <t>Trust, safety, and moderation</t>
        </is>
      </c>
      <c r="B75" s="17">
        <f>COUNTIF('Feature Register'!$C$2:$C$634,A75)</f>
        <v/>
      </c>
      <c r="C75" s="17">
        <f>COUNTIFS('Feature Register'!$C$2:$C$634,A75,'Feature Register'!$S$2:$S$634,"Scaffold only")+COUNTIFS('Feature Register'!$C$2:$C$634,A75,'Feature Register'!$S$2:$S$634,"UI only")+COUNTIFS('Feature Register'!$C$2:$C$634,A75,'Feature Register'!$S$2:$S$634,"Backend only")+COUNTIFS('Feature Register'!$C$2:$C$634,A75,'Feature Register'!$S$2:$S$634,"Partial")+COUNTIFS('Feature Register'!$C$2:$C$634,A75,'Feature Register'!$S$2:$S$634,"End-to-end present")+COUNTIFS('Feature Register'!$C$2:$C$634,A75,'Feature Register'!$S$2:$S$634,"Conflicting implementations")</f>
        <v/>
      </c>
      <c r="D75" s="17">
        <f>COUNTIFS('Feature Register'!$C$2:$C$634,A75,'Feature Register'!$AG$2:$AG$634,"Complete against stated requirement")</f>
        <v/>
      </c>
      <c r="E75" s="17">
        <f>COUNTIFS('Feature Register'!$C$2:$C$634,A75,'Feature Register'!$AJ$2:$AJ$634,"Physical device observed")</f>
        <v/>
      </c>
      <c r="F75" s="17">
        <f>COUNTIFS('Feature Register'!$C$2:$C$634,A75,'Feature Register'!$BE$2:$BE$634,"Blocked")</f>
        <v/>
      </c>
      <c r="G75" s="17">
        <f>COUNTIFS('Feature Register'!$C$2:$C$634,A75,'Feature Register'!$BE$2:$BE$634,"Development required")</f>
        <v/>
      </c>
      <c r="H75" s="17">
        <f>COUNTIFS('Feature Register'!$C$2:$C$634,A75,'Feature Register'!$BE$2:$BE$634,"Ready for production validation")</f>
        <v/>
      </c>
      <c r="I75" s="17">
        <f>COUNTIFS('Feature Register'!$C$2:$C$634,A75,'Feature Register'!$BE$2:$BE$634,"Not assessed")</f>
        <v/>
      </c>
      <c r="J75" s="17">
        <f>COUNTIFS('Feature Register'!$C$2:$C$634,A75,'Feature Register'!$BE$2:$BE$634,"Production ready")</f>
        <v/>
      </c>
    </row>
    <row r="76" ht="34" customHeight="1">
      <c r="A76" s="29" t="inlineStr">
        <is>
          <t>First-time onboarding and personalisation</t>
        </is>
      </c>
      <c r="B76" s="17">
        <f>COUNTIF('Feature Register'!$C$2:$C$634,A76)</f>
        <v/>
      </c>
      <c r="C76" s="17">
        <f>COUNTIFS('Feature Register'!$C$2:$C$634,A76,'Feature Register'!$S$2:$S$634,"Scaffold only")+COUNTIFS('Feature Register'!$C$2:$C$634,A76,'Feature Register'!$S$2:$S$634,"UI only")+COUNTIFS('Feature Register'!$C$2:$C$634,A76,'Feature Register'!$S$2:$S$634,"Backend only")+COUNTIFS('Feature Register'!$C$2:$C$634,A76,'Feature Register'!$S$2:$S$634,"Partial")+COUNTIFS('Feature Register'!$C$2:$C$634,A76,'Feature Register'!$S$2:$S$634,"End-to-end present")+COUNTIFS('Feature Register'!$C$2:$C$634,A76,'Feature Register'!$S$2:$S$634,"Conflicting implementations")</f>
        <v/>
      </c>
      <c r="D76" s="17">
        <f>COUNTIFS('Feature Register'!$C$2:$C$634,A76,'Feature Register'!$AG$2:$AG$634,"Complete against stated requirement")</f>
        <v/>
      </c>
      <c r="E76" s="17">
        <f>COUNTIFS('Feature Register'!$C$2:$C$634,A76,'Feature Register'!$AJ$2:$AJ$634,"Physical device observed")</f>
        <v/>
      </c>
      <c r="F76" s="17">
        <f>COUNTIFS('Feature Register'!$C$2:$C$634,A76,'Feature Register'!$BE$2:$BE$634,"Blocked")</f>
        <v/>
      </c>
      <c r="G76" s="17">
        <f>COUNTIFS('Feature Register'!$C$2:$C$634,A76,'Feature Register'!$BE$2:$BE$634,"Development required")</f>
        <v/>
      </c>
      <c r="H76" s="17">
        <f>COUNTIFS('Feature Register'!$C$2:$C$634,A76,'Feature Register'!$BE$2:$BE$634,"Ready for production validation")</f>
        <v/>
      </c>
      <c r="I76" s="17">
        <f>COUNTIFS('Feature Register'!$C$2:$C$634,A76,'Feature Register'!$BE$2:$BE$634,"Not assessed")</f>
        <v/>
      </c>
      <c r="J76" s="17">
        <f>COUNTIFS('Feature Register'!$C$2:$C$634,A76,'Feature Register'!$BE$2:$BE$634,"Production ready")</f>
        <v/>
      </c>
    </row>
    <row r="77" ht="34" customHeight="1">
      <c r="A77" s="29" t="inlineStr">
        <is>
          <t>Notifications and reminders</t>
        </is>
      </c>
      <c r="B77" s="17">
        <f>COUNTIF('Feature Register'!$C$2:$C$634,A77)</f>
        <v/>
      </c>
      <c r="C77" s="17">
        <f>COUNTIFS('Feature Register'!$C$2:$C$634,A77,'Feature Register'!$S$2:$S$634,"Scaffold only")+COUNTIFS('Feature Register'!$C$2:$C$634,A77,'Feature Register'!$S$2:$S$634,"UI only")+COUNTIFS('Feature Register'!$C$2:$C$634,A77,'Feature Register'!$S$2:$S$634,"Backend only")+COUNTIFS('Feature Register'!$C$2:$C$634,A77,'Feature Register'!$S$2:$S$634,"Partial")+COUNTIFS('Feature Register'!$C$2:$C$634,A77,'Feature Register'!$S$2:$S$634,"End-to-end present")+COUNTIFS('Feature Register'!$C$2:$C$634,A77,'Feature Register'!$S$2:$S$634,"Conflicting implementations")</f>
        <v/>
      </c>
      <c r="D77" s="17">
        <f>COUNTIFS('Feature Register'!$C$2:$C$634,A77,'Feature Register'!$AG$2:$AG$634,"Complete against stated requirement")</f>
        <v/>
      </c>
      <c r="E77" s="17">
        <f>COUNTIFS('Feature Register'!$C$2:$C$634,A77,'Feature Register'!$AJ$2:$AJ$634,"Physical device observed")</f>
        <v/>
      </c>
      <c r="F77" s="17">
        <f>COUNTIFS('Feature Register'!$C$2:$C$634,A77,'Feature Register'!$BE$2:$BE$634,"Blocked")</f>
        <v/>
      </c>
      <c r="G77" s="17">
        <f>COUNTIFS('Feature Register'!$C$2:$C$634,A77,'Feature Register'!$BE$2:$BE$634,"Development required")</f>
        <v/>
      </c>
      <c r="H77" s="17">
        <f>COUNTIFS('Feature Register'!$C$2:$C$634,A77,'Feature Register'!$BE$2:$BE$634,"Ready for production validation")</f>
        <v/>
      </c>
      <c r="I77" s="17">
        <f>COUNTIFS('Feature Register'!$C$2:$C$634,A77,'Feature Register'!$BE$2:$BE$634,"Not assessed")</f>
        <v/>
      </c>
      <c r="J77" s="17">
        <f>COUNTIFS('Feature Register'!$C$2:$C$634,A77,'Feature Register'!$BE$2:$BE$634,"Production ready")</f>
        <v/>
      </c>
    </row>
    <row r="78" ht="34" customHeight="1">
      <c r="A78" s="29" t="inlineStr">
        <is>
          <t>Unified Search and Explore</t>
        </is>
      </c>
      <c r="B78" s="17">
        <f>COUNTIF('Feature Register'!$C$2:$C$634,A78)</f>
        <v/>
      </c>
      <c r="C78" s="17">
        <f>COUNTIFS('Feature Register'!$C$2:$C$634,A78,'Feature Register'!$S$2:$S$634,"Scaffold only")+COUNTIFS('Feature Register'!$C$2:$C$634,A78,'Feature Register'!$S$2:$S$634,"UI only")+COUNTIFS('Feature Register'!$C$2:$C$634,A78,'Feature Register'!$S$2:$S$634,"Backend only")+COUNTIFS('Feature Register'!$C$2:$C$634,A78,'Feature Register'!$S$2:$S$634,"Partial")+COUNTIFS('Feature Register'!$C$2:$C$634,A78,'Feature Register'!$S$2:$S$634,"End-to-end present")+COUNTIFS('Feature Register'!$C$2:$C$634,A78,'Feature Register'!$S$2:$S$634,"Conflicting implementations")</f>
        <v/>
      </c>
      <c r="D78" s="17">
        <f>COUNTIFS('Feature Register'!$C$2:$C$634,A78,'Feature Register'!$AG$2:$AG$634,"Complete against stated requirement")</f>
        <v/>
      </c>
      <c r="E78" s="17">
        <f>COUNTIFS('Feature Register'!$C$2:$C$634,A78,'Feature Register'!$AJ$2:$AJ$634,"Physical device observed")</f>
        <v/>
      </c>
      <c r="F78" s="17">
        <f>COUNTIFS('Feature Register'!$C$2:$C$634,A78,'Feature Register'!$BE$2:$BE$634,"Blocked")</f>
        <v/>
      </c>
      <c r="G78" s="17">
        <f>COUNTIFS('Feature Register'!$C$2:$C$634,A78,'Feature Register'!$BE$2:$BE$634,"Development required")</f>
        <v/>
      </c>
      <c r="H78" s="17">
        <f>COUNTIFS('Feature Register'!$C$2:$C$634,A78,'Feature Register'!$BE$2:$BE$634,"Ready for production validation")</f>
        <v/>
      </c>
      <c r="I78" s="17">
        <f>COUNTIFS('Feature Register'!$C$2:$C$634,A78,'Feature Register'!$BE$2:$BE$634,"Not assessed")</f>
        <v/>
      </c>
      <c r="J78" s="17">
        <f>COUNTIFS('Feature Register'!$C$2:$C$634,A78,'Feature Register'!$BE$2:$BE$634,"Production ready")</f>
        <v/>
      </c>
    </row>
    <row r="79" ht="34" customHeight="1">
      <c r="A79" s="29" t="inlineStr">
        <is>
          <t>Wallet, gifts, and earnings</t>
        </is>
      </c>
      <c r="B79" s="17">
        <f>COUNTIF('Feature Register'!$C$2:$C$634,A79)</f>
        <v/>
      </c>
      <c r="C79" s="17">
        <f>COUNTIFS('Feature Register'!$C$2:$C$634,A79,'Feature Register'!$S$2:$S$634,"Scaffold only")+COUNTIFS('Feature Register'!$C$2:$C$634,A79,'Feature Register'!$S$2:$S$634,"UI only")+COUNTIFS('Feature Register'!$C$2:$C$634,A79,'Feature Register'!$S$2:$S$634,"Backend only")+COUNTIFS('Feature Register'!$C$2:$C$634,A79,'Feature Register'!$S$2:$S$634,"Partial")+COUNTIFS('Feature Register'!$C$2:$C$634,A79,'Feature Register'!$S$2:$S$634,"End-to-end present")+COUNTIFS('Feature Register'!$C$2:$C$634,A79,'Feature Register'!$S$2:$S$634,"Conflicting implementations")</f>
        <v/>
      </c>
      <c r="D79" s="17">
        <f>COUNTIFS('Feature Register'!$C$2:$C$634,A79,'Feature Register'!$AG$2:$AG$634,"Complete against stated requirement")</f>
        <v/>
      </c>
      <c r="E79" s="17">
        <f>COUNTIFS('Feature Register'!$C$2:$C$634,A79,'Feature Register'!$AJ$2:$AJ$634,"Physical device observed")</f>
        <v/>
      </c>
      <c r="F79" s="17">
        <f>COUNTIFS('Feature Register'!$C$2:$C$634,A79,'Feature Register'!$BE$2:$BE$634,"Blocked")</f>
        <v/>
      </c>
      <c r="G79" s="17">
        <f>COUNTIFS('Feature Register'!$C$2:$C$634,A79,'Feature Register'!$BE$2:$BE$634,"Development required")</f>
        <v/>
      </c>
      <c r="H79" s="17">
        <f>COUNTIFS('Feature Register'!$C$2:$C$634,A79,'Feature Register'!$BE$2:$BE$634,"Ready for production validation")</f>
        <v/>
      </c>
      <c r="I79" s="17">
        <f>COUNTIFS('Feature Register'!$C$2:$C$634,A79,'Feature Register'!$BE$2:$BE$634,"Not assessed")</f>
        <v/>
      </c>
      <c r="J79" s="17">
        <f>COUNTIFS('Feature Register'!$C$2:$C$634,A79,'Feature Register'!$BE$2:$BE$634,"Production ready")</f>
        <v/>
      </c>
    </row>
    <row r="80" ht="34" customHeight="1">
      <c r="A80" s="29" t="inlineStr">
        <is>
          <t>Profiles, identity, and privacy</t>
        </is>
      </c>
      <c r="B80" s="17">
        <f>COUNTIF('Feature Register'!$C$2:$C$634,A80)</f>
        <v/>
      </c>
      <c r="C80" s="17">
        <f>COUNTIFS('Feature Register'!$C$2:$C$634,A80,'Feature Register'!$S$2:$S$634,"Scaffold only")+COUNTIFS('Feature Register'!$C$2:$C$634,A80,'Feature Register'!$S$2:$S$634,"UI only")+COUNTIFS('Feature Register'!$C$2:$C$634,A80,'Feature Register'!$S$2:$S$634,"Backend only")+COUNTIFS('Feature Register'!$C$2:$C$634,A80,'Feature Register'!$S$2:$S$634,"Partial")+COUNTIFS('Feature Register'!$C$2:$C$634,A80,'Feature Register'!$S$2:$S$634,"End-to-end present")+COUNTIFS('Feature Register'!$C$2:$C$634,A80,'Feature Register'!$S$2:$S$634,"Conflicting implementations")</f>
        <v/>
      </c>
      <c r="D80" s="17">
        <f>COUNTIFS('Feature Register'!$C$2:$C$634,A80,'Feature Register'!$AG$2:$AG$634,"Complete against stated requirement")</f>
        <v/>
      </c>
      <c r="E80" s="17">
        <f>COUNTIFS('Feature Register'!$C$2:$C$634,A80,'Feature Register'!$AJ$2:$AJ$634,"Physical device observed")</f>
        <v/>
      </c>
      <c r="F80" s="17">
        <f>COUNTIFS('Feature Register'!$C$2:$C$634,A80,'Feature Register'!$BE$2:$BE$634,"Blocked")</f>
        <v/>
      </c>
      <c r="G80" s="17">
        <f>COUNTIFS('Feature Register'!$C$2:$C$634,A80,'Feature Register'!$BE$2:$BE$634,"Development required")</f>
        <v/>
      </c>
      <c r="H80" s="17">
        <f>COUNTIFS('Feature Register'!$C$2:$C$634,A80,'Feature Register'!$BE$2:$BE$634,"Ready for production validation")</f>
        <v/>
      </c>
      <c r="I80" s="17">
        <f>COUNTIFS('Feature Register'!$C$2:$C$634,A80,'Feature Register'!$BE$2:$BE$634,"Not assessed")</f>
        <v/>
      </c>
      <c r="J80" s="17">
        <f>COUNTIFS('Feature Register'!$C$2:$C$634,A80,'Feature Register'!$BE$2:$BE$634,"Production ready")</f>
        <v/>
      </c>
    </row>
    <row r="81" ht="34" customHeight="1">
      <c r="A81" s="29" t="inlineStr">
        <is>
          <t>Content creation and publishing pipeline</t>
        </is>
      </c>
      <c r="B81" s="17">
        <f>COUNTIF('Feature Register'!$C$2:$C$634,A81)</f>
        <v/>
      </c>
      <c r="C81" s="17">
        <f>COUNTIFS('Feature Register'!$C$2:$C$634,A81,'Feature Register'!$S$2:$S$634,"Scaffold only")+COUNTIFS('Feature Register'!$C$2:$C$634,A81,'Feature Register'!$S$2:$S$634,"UI only")+COUNTIFS('Feature Register'!$C$2:$C$634,A81,'Feature Register'!$S$2:$S$634,"Backend only")+COUNTIFS('Feature Register'!$C$2:$C$634,A81,'Feature Register'!$S$2:$S$634,"Partial")+COUNTIFS('Feature Register'!$C$2:$C$634,A81,'Feature Register'!$S$2:$S$634,"End-to-end present")+COUNTIFS('Feature Register'!$C$2:$C$634,A81,'Feature Register'!$S$2:$S$634,"Conflicting implementations")</f>
        <v/>
      </c>
      <c r="D81" s="17">
        <f>COUNTIFS('Feature Register'!$C$2:$C$634,A81,'Feature Register'!$AG$2:$AG$634,"Complete against stated requirement")</f>
        <v/>
      </c>
      <c r="E81" s="17">
        <f>COUNTIFS('Feature Register'!$C$2:$C$634,A81,'Feature Register'!$AJ$2:$AJ$634,"Physical device observed")</f>
        <v/>
      </c>
      <c r="F81" s="17">
        <f>COUNTIFS('Feature Register'!$C$2:$C$634,A81,'Feature Register'!$BE$2:$BE$634,"Blocked")</f>
        <v/>
      </c>
      <c r="G81" s="17">
        <f>COUNTIFS('Feature Register'!$C$2:$C$634,A81,'Feature Register'!$BE$2:$BE$634,"Development required")</f>
        <v/>
      </c>
      <c r="H81" s="17">
        <f>COUNTIFS('Feature Register'!$C$2:$C$634,A81,'Feature Register'!$BE$2:$BE$634,"Ready for production validation")</f>
        <v/>
      </c>
      <c r="I81" s="17">
        <f>COUNTIFS('Feature Register'!$C$2:$C$634,A81,'Feature Register'!$BE$2:$BE$634,"Not assessed")</f>
        <v/>
      </c>
      <c r="J81" s="17">
        <f>COUNTIFS('Feature Register'!$C$2:$C$634,A81,'Feature Register'!$BE$2:$BE$634,"Production ready")</f>
        <v/>
      </c>
    </row>
    <row r="82" ht="34" customHeight="1">
      <c r="A82" s="29" t="inlineStr">
        <is>
          <t>Connected-account cross-posting</t>
        </is>
      </c>
      <c r="B82" s="17">
        <f>COUNTIF('Feature Register'!$C$2:$C$634,A82)</f>
        <v/>
      </c>
      <c r="C82" s="17">
        <f>COUNTIFS('Feature Register'!$C$2:$C$634,A82,'Feature Register'!$S$2:$S$634,"Scaffold only")+COUNTIFS('Feature Register'!$C$2:$C$634,A82,'Feature Register'!$S$2:$S$634,"UI only")+COUNTIFS('Feature Register'!$C$2:$C$634,A82,'Feature Register'!$S$2:$S$634,"Backend only")+COUNTIFS('Feature Register'!$C$2:$C$634,A82,'Feature Register'!$S$2:$S$634,"Partial")+COUNTIFS('Feature Register'!$C$2:$C$634,A82,'Feature Register'!$S$2:$S$634,"End-to-end present")+COUNTIFS('Feature Register'!$C$2:$C$634,A82,'Feature Register'!$S$2:$S$634,"Conflicting implementations")</f>
        <v/>
      </c>
      <c r="D82" s="17">
        <f>COUNTIFS('Feature Register'!$C$2:$C$634,A82,'Feature Register'!$AG$2:$AG$634,"Complete against stated requirement")</f>
        <v/>
      </c>
      <c r="E82" s="17">
        <f>COUNTIFS('Feature Register'!$C$2:$C$634,A82,'Feature Register'!$AJ$2:$AJ$634,"Physical device observed")</f>
        <v/>
      </c>
      <c r="F82" s="17">
        <f>COUNTIFS('Feature Register'!$C$2:$C$634,A82,'Feature Register'!$BE$2:$BE$634,"Blocked")</f>
        <v/>
      </c>
      <c r="G82" s="17">
        <f>COUNTIFS('Feature Register'!$C$2:$C$634,A82,'Feature Register'!$BE$2:$BE$634,"Development required")</f>
        <v/>
      </c>
      <c r="H82" s="17">
        <f>COUNTIFS('Feature Register'!$C$2:$C$634,A82,'Feature Register'!$BE$2:$BE$634,"Ready for production validation")</f>
        <v/>
      </c>
      <c r="I82" s="17">
        <f>COUNTIFS('Feature Register'!$C$2:$C$634,A82,'Feature Register'!$BE$2:$BE$634,"Not assessed")</f>
        <v/>
      </c>
      <c r="J82" s="17">
        <f>COUNTIFS('Feature Register'!$C$2:$C$634,A82,'Feature Register'!$BE$2:$BE$634,"Production ready")</f>
        <v/>
      </c>
    </row>
    <row r="83" ht="34" customHeight="1">
      <c r="A83" s="29" t="inlineStr">
        <is>
          <t>BLYP Operations and Admin Centre</t>
        </is>
      </c>
      <c r="B83" s="17">
        <f>COUNTIF('Feature Register'!$C$2:$C$634,A83)</f>
        <v/>
      </c>
      <c r="C83" s="17">
        <f>COUNTIFS('Feature Register'!$C$2:$C$634,A83,'Feature Register'!$S$2:$S$634,"Scaffold only")+COUNTIFS('Feature Register'!$C$2:$C$634,A83,'Feature Register'!$S$2:$S$634,"UI only")+COUNTIFS('Feature Register'!$C$2:$C$634,A83,'Feature Register'!$S$2:$S$634,"Backend only")+COUNTIFS('Feature Register'!$C$2:$C$634,A83,'Feature Register'!$S$2:$S$634,"Partial")+COUNTIFS('Feature Register'!$C$2:$C$634,A83,'Feature Register'!$S$2:$S$634,"End-to-end present")+COUNTIFS('Feature Register'!$C$2:$C$634,A83,'Feature Register'!$S$2:$S$634,"Conflicting implementations")</f>
        <v/>
      </c>
      <c r="D83" s="17">
        <f>COUNTIFS('Feature Register'!$C$2:$C$634,A83,'Feature Register'!$AG$2:$AG$634,"Complete against stated requirement")</f>
        <v/>
      </c>
      <c r="E83" s="17">
        <f>COUNTIFS('Feature Register'!$C$2:$C$634,A83,'Feature Register'!$AJ$2:$AJ$634,"Physical device observed")</f>
        <v/>
      </c>
      <c r="F83" s="17">
        <f>COUNTIFS('Feature Register'!$C$2:$C$634,A83,'Feature Register'!$BE$2:$BE$634,"Blocked")</f>
        <v/>
      </c>
      <c r="G83" s="17">
        <f>COUNTIFS('Feature Register'!$C$2:$C$634,A83,'Feature Register'!$BE$2:$BE$634,"Development required")</f>
        <v/>
      </c>
      <c r="H83" s="17">
        <f>COUNTIFS('Feature Register'!$C$2:$C$634,A83,'Feature Register'!$BE$2:$BE$634,"Ready for production validation")</f>
        <v/>
      </c>
      <c r="I83" s="17">
        <f>COUNTIFS('Feature Register'!$C$2:$C$634,A83,'Feature Register'!$BE$2:$BE$634,"Not assessed")</f>
        <v/>
      </c>
      <c r="J83" s="17">
        <f>COUNTIFS('Feature Register'!$C$2:$C$634,A83,'Feature Register'!$BE$2:$BE$634,"Production ready")</f>
        <v/>
      </c>
    </row>
    <row r="84" ht="34" customHeight="1">
      <c r="A84" s="29" t="inlineStr">
        <is>
          <t>Privacy-respecting analytics</t>
        </is>
      </c>
      <c r="B84" s="17">
        <f>COUNTIF('Feature Register'!$C$2:$C$634,A84)</f>
        <v/>
      </c>
      <c r="C84" s="17">
        <f>COUNTIFS('Feature Register'!$C$2:$C$634,A84,'Feature Register'!$S$2:$S$634,"Scaffold only")+COUNTIFS('Feature Register'!$C$2:$C$634,A84,'Feature Register'!$S$2:$S$634,"UI only")+COUNTIFS('Feature Register'!$C$2:$C$634,A84,'Feature Register'!$S$2:$S$634,"Backend only")+COUNTIFS('Feature Register'!$C$2:$C$634,A84,'Feature Register'!$S$2:$S$634,"Partial")+COUNTIFS('Feature Register'!$C$2:$C$634,A84,'Feature Register'!$S$2:$S$634,"End-to-end present")+COUNTIFS('Feature Register'!$C$2:$C$634,A84,'Feature Register'!$S$2:$S$634,"Conflicting implementations")</f>
        <v/>
      </c>
      <c r="D84" s="17">
        <f>COUNTIFS('Feature Register'!$C$2:$C$634,A84,'Feature Register'!$AG$2:$AG$634,"Complete against stated requirement")</f>
        <v/>
      </c>
      <c r="E84" s="17">
        <f>COUNTIFS('Feature Register'!$C$2:$C$634,A84,'Feature Register'!$AJ$2:$AJ$634,"Physical device observed")</f>
        <v/>
      </c>
      <c r="F84" s="17">
        <f>COUNTIFS('Feature Register'!$C$2:$C$634,A84,'Feature Register'!$BE$2:$BE$634,"Blocked")</f>
        <v/>
      </c>
      <c r="G84" s="17">
        <f>COUNTIFS('Feature Register'!$C$2:$C$634,A84,'Feature Register'!$BE$2:$BE$634,"Development required")</f>
        <v/>
      </c>
      <c r="H84" s="17">
        <f>COUNTIFS('Feature Register'!$C$2:$C$634,A84,'Feature Register'!$BE$2:$BE$634,"Ready for production validation")</f>
        <v/>
      </c>
      <c r="I84" s="17">
        <f>COUNTIFS('Feature Register'!$C$2:$C$634,A84,'Feature Register'!$BE$2:$BE$634,"Not assessed")</f>
        <v/>
      </c>
      <c r="J84" s="17">
        <f>COUNTIFS('Feature Register'!$C$2:$C$634,A84,'Feature Register'!$BE$2:$BE$634,"Production ready")</f>
        <v/>
      </c>
    </row>
    <row r="85" ht="34" customHeight="1">
      <c r="A85" s="29" t="inlineStr">
        <is>
          <t>Accessibility and inclusive design</t>
        </is>
      </c>
      <c r="B85" s="17">
        <f>COUNTIF('Feature Register'!$C$2:$C$634,A85)</f>
        <v/>
      </c>
      <c r="C85" s="17">
        <f>COUNTIFS('Feature Register'!$C$2:$C$634,A85,'Feature Register'!$S$2:$S$634,"Scaffold only")+COUNTIFS('Feature Register'!$C$2:$C$634,A85,'Feature Register'!$S$2:$S$634,"UI only")+COUNTIFS('Feature Register'!$C$2:$C$634,A85,'Feature Register'!$S$2:$S$634,"Backend only")+COUNTIFS('Feature Register'!$C$2:$C$634,A85,'Feature Register'!$S$2:$S$634,"Partial")+COUNTIFS('Feature Register'!$C$2:$C$634,A85,'Feature Register'!$S$2:$S$634,"End-to-end present")+COUNTIFS('Feature Register'!$C$2:$C$634,A85,'Feature Register'!$S$2:$S$634,"Conflicting implementations")</f>
        <v/>
      </c>
      <c r="D85" s="17">
        <f>COUNTIFS('Feature Register'!$C$2:$C$634,A85,'Feature Register'!$AG$2:$AG$634,"Complete against stated requirement")</f>
        <v/>
      </c>
      <c r="E85" s="17">
        <f>COUNTIFS('Feature Register'!$C$2:$C$634,A85,'Feature Register'!$AJ$2:$AJ$634,"Physical device observed")</f>
        <v/>
      </c>
      <c r="F85" s="17">
        <f>COUNTIFS('Feature Register'!$C$2:$C$634,A85,'Feature Register'!$BE$2:$BE$634,"Blocked")</f>
        <v/>
      </c>
      <c r="G85" s="17">
        <f>COUNTIFS('Feature Register'!$C$2:$C$634,A85,'Feature Register'!$BE$2:$BE$634,"Development required")</f>
        <v/>
      </c>
      <c r="H85" s="17">
        <f>COUNTIFS('Feature Register'!$C$2:$C$634,A85,'Feature Register'!$BE$2:$BE$634,"Ready for production validation")</f>
        <v/>
      </c>
      <c r="I85" s="17">
        <f>COUNTIFS('Feature Register'!$C$2:$C$634,A85,'Feature Register'!$BE$2:$BE$634,"Not assessed")</f>
        <v/>
      </c>
      <c r="J85" s="17">
        <f>COUNTIFS('Feature Register'!$C$2:$C$634,A85,'Feature Register'!$BE$2:$BE$634,"Production ready")</f>
        <v/>
      </c>
    </row>
    <row r="86" ht="34" customHeight="1">
      <c r="A86" s="29" t="inlineStr">
        <is>
          <t>Performance, reliability, and recovery</t>
        </is>
      </c>
      <c r="B86" s="17">
        <f>COUNTIF('Feature Register'!$C$2:$C$634,A86)</f>
        <v/>
      </c>
      <c r="C86" s="17">
        <f>COUNTIFS('Feature Register'!$C$2:$C$634,A86,'Feature Register'!$S$2:$S$634,"Scaffold only")+COUNTIFS('Feature Register'!$C$2:$C$634,A86,'Feature Register'!$S$2:$S$634,"UI only")+COUNTIFS('Feature Register'!$C$2:$C$634,A86,'Feature Register'!$S$2:$S$634,"Backend only")+COUNTIFS('Feature Register'!$C$2:$C$634,A86,'Feature Register'!$S$2:$S$634,"Partial")+COUNTIFS('Feature Register'!$C$2:$C$634,A86,'Feature Register'!$S$2:$S$634,"End-to-end present")+COUNTIFS('Feature Register'!$C$2:$C$634,A86,'Feature Register'!$S$2:$S$634,"Conflicting implementations")</f>
        <v/>
      </c>
      <c r="D86" s="17">
        <f>COUNTIFS('Feature Register'!$C$2:$C$634,A86,'Feature Register'!$AG$2:$AG$634,"Complete against stated requirement")</f>
        <v/>
      </c>
      <c r="E86" s="17">
        <f>COUNTIFS('Feature Register'!$C$2:$C$634,A86,'Feature Register'!$AJ$2:$AJ$634,"Physical device observed")</f>
        <v/>
      </c>
      <c r="F86" s="17">
        <f>COUNTIFS('Feature Register'!$C$2:$C$634,A86,'Feature Register'!$BE$2:$BE$634,"Blocked")</f>
        <v/>
      </c>
      <c r="G86" s="17">
        <f>COUNTIFS('Feature Register'!$C$2:$C$634,A86,'Feature Register'!$BE$2:$BE$634,"Development required")</f>
        <v/>
      </c>
      <c r="H86" s="17">
        <f>COUNTIFS('Feature Register'!$C$2:$C$634,A86,'Feature Register'!$BE$2:$BE$634,"Ready for production validation")</f>
        <v/>
      </c>
      <c r="I86" s="17">
        <f>COUNTIFS('Feature Register'!$C$2:$C$634,A86,'Feature Register'!$BE$2:$BE$634,"Not assessed")</f>
        <v/>
      </c>
      <c r="J86" s="17">
        <f>COUNTIFS('Feature Register'!$C$2:$C$634,A86,'Feature Register'!$BE$2:$BE$634,"Production ready")</f>
        <v/>
      </c>
    </row>
    <row r="87" ht="34" customHeight="1">
      <c r="A87" s="29" t="inlineStr">
        <is>
          <t>Creator Studio</t>
        </is>
      </c>
      <c r="B87" s="17">
        <f>COUNTIF('Feature Register'!$C$2:$C$634,A87)</f>
        <v/>
      </c>
      <c r="C87" s="17">
        <f>COUNTIFS('Feature Register'!$C$2:$C$634,A87,'Feature Register'!$S$2:$S$634,"Scaffold only")+COUNTIFS('Feature Register'!$C$2:$C$634,A87,'Feature Register'!$S$2:$S$634,"UI only")+COUNTIFS('Feature Register'!$C$2:$C$634,A87,'Feature Register'!$S$2:$S$634,"Backend only")+COUNTIFS('Feature Register'!$C$2:$C$634,A87,'Feature Register'!$S$2:$S$634,"Partial")+COUNTIFS('Feature Register'!$C$2:$C$634,A87,'Feature Register'!$S$2:$S$634,"End-to-end present")+COUNTIFS('Feature Register'!$C$2:$C$634,A87,'Feature Register'!$S$2:$S$634,"Conflicting implementations")</f>
        <v/>
      </c>
      <c r="D87" s="17">
        <f>COUNTIFS('Feature Register'!$C$2:$C$634,A87,'Feature Register'!$AG$2:$AG$634,"Complete against stated requirement")</f>
        <v/>
      </c>
      <c r="E87" s="17">
        <f>COUNTIFS('Feature Register'!$C$2:$C$634,A87,'Feature Register'!$AJ$2:$AJ$634,"Physical device observed")</f>
        <v/>
      </c>
      <c r="F87" s="17">
        <f>COUNTIFS('Feature Register'!$C$2:$C$634,A87,'Feature Register'!$BE$2:$BE$634,"Blocked")</f>
        <v/>
      </c>
      <c r="G87" s="17">
        <f>COUNTIFS('Feature Register'!$C$2:$C$634,A87,'Feature Register'!$BE$2:$BE$634,"Development required")</f>
        <v/>
      </c>
      <c r="H87" s="17">
        <f>COUNTIFS('Feature Register'!$C$2:$C$634,A87,'Feature Register'!$BE$2:$BE$634,"Ready for production validation")</f>
        <v/>
      </c>
      <c r="I87" s="17">
        <f>COUNTIFS('Feature Register'!$C$2:$C$634,A87,'Feature Register'!$BE$2:$BE$634,"Not assessed")</f>
        <v/>
      </c>
      <c r="J87" s="17">
        <f>COUNTIFS('Feature Register'!$C$2:$C$634,A87,'Feature Register'!$BE$2:$BE$634,"Production ready")</f>
        <v/>
      </c>
    </row>
    <row r="88" ht="34" customHeight="1">
      <c r="A88" s="29" t="inlineStr">
        <is>
          <t>AI permissions and action safety</t>
        </is>
      </c>
      <c r="B88" s="17">
        <f>COUNTIF('Feature Register'!$C$2:$C$634,A88)</f>
        <v/>
      </c>
      <c r="C88" s="17">
        <f>COUNTIFS('Feature Register'!$C$2:$C$634,A88,'Feature Register'!$S$2:$S$634,"Scaffold only")+COUNTIFS('Feature Register'!$C$2:$C$634,A88,'Feature Register'!$S$2:$S$634,"UI only")+COUNTIFS('Feature Register'!$C$2:$C$634,A88,'Feature Register'!$S$2:$S$634,"Backend only")+COUNTIFS('Feature Register'!$C$2:$C$634,A88,'Feature Register'!$S$2:$S$634,"Partial")+COUNTIFS('Feature Register'!$C$2:$C$634,A88,'Feature Register'!$S$2:$S$634,"End-to-end present")+COUNTIFS('Feature Register'!$C$2:$C$634,A88,'Feature Register'!$S$2:$S$634,"Conflicting implementations")</f>
        <v/>
      </c>
      <c r="D88" s="17">
        <f>COUNTIFS('Feature Register'!$C$2:$C$634,A88,'Feature Register'!$AG$2:$AG$634,"Complete against stated requirement")</f>
        <v/>
      </c>
      <c r="E88" s="17">
        <f>COUNTIFS('Feature Register'!$C$2:$C$634,A88,'Feature Register'!$AJ$2:$AJ$634,"Physical device observed")</f>
        <v/>
      </c>
      <c r="F88" s="17">
        <f>COUNTIFS('Feature Register'!$C$2:$C$634,A88,'Feature Register'!$BE$2:$BE$634,"Blocked")</f>
        <v/>
      </c>
      <c r="G88" s="17">
        <f>COUNTIFS('Feature Register'!$C$2:$C$634,A88,'Feature Register'!$BE$2:$BE$634,"Development required")</f>
        <v/>
      </c>
      <c r="H88" s="17">
        <f>COUNTIFS('Feature Register'!$C$2:$C$634,A88,'Feature Register'!$BE$2:$BE$634,"Ready for production validation")</f>
        <v/>
      </c>
      <c r="I88" s="17">
        <f>COUNTIFS('Feature Register'!$C$2:$C$634,A88,'Feature Register'!$BE$2:$BE$634,"Not assessed")</f>
        <v/>
      </c>
      <c r="J88" s="17">
        <f>COUNTIFS('Feature Register'!$C$2:$C$634,A88,'Feature Register'!$BE$2:$BE$634,"Production ready")</f>
        <v/>
      </c>
    </row>
    <row r="89" ht="34" customHeight="1">
      <c r="A89" s="29" t="inlineStr">
        <is>
          <t>Defined subscriber-only Dating experience</t>
        </is>
      </c>
      <c r="B89" s="17">
        <f>COUNTIF('Feature Register'!$C$2:$C$634,A89)</f>
        <v/>
      </c>
      <c r="C89" s="17">
        <f>COUNTIFS('Feature Register'!$C$2:$C$634,A89,'Feature Register'!$S$2:$S$634,"Scaffold only")+COUNTIFS('Feature Register'!$C$2:$C$634,A89,'Feature Register'!$S$2:$S$634,"UI only")+COUNTIFS('Feature Register'!$C$2:$C$634,A89,'Feature Register'!$S$2:$S$634,"Backend only")+COUNTIFS('Feature Register'!$C$2:$C$634,A89,'Feature Register'!$S$2:$S$634,"Partial")+COUNTIFS('Feature Register'!$C$2:$C$634,A89,'Feature Register'!$S$2:$S$634,"End-to-end present")+COUNTIFS('Feature Register'!$C$2:$C$634,A89,'Feature Register'!$S$2:$S$634,"Conflicting implementations")</f>
        <v/>
      </c>
      <c r="D89" s="17">
        <f>COUNTIFS('Feature Register'!$C$2:$C$634,A89,'Feature Register'!$AG$2:$AG$634,"Complete against stated requirement")</f>
        <v/>
      </c>
      <c r="E89" s="17">
        <f>COUNTIFS('Feature Register'!$C$2:$C$634,A89,'Feature Register'!$AJ$2:$AJ$634,"Physical device observed")</f>
        <v/>
      </c>
      <c r="F89" s="17">
        <f>COUNTIFS('Feature Register'!$C$2:$C$634,A89,'Feature Register'!$BE$2:$BE$634,"Blocked")</f>
        <v/>
      </c>
      <c r="G89" s="17">
        <f>COUNTIFS('Feature Register'!$C$2:$C$634,A89,'Feature Register'!$BE$2:$BE$634,"Development required")</f>
        <v/>
      </c>
      <c r="H89" s="17">
        <f>COUNTIFS('Feature Register'!$C$2:$C$634,A89,'Feature Register'!$BE$2:$BE$634,"Ready for production validation")</f>
        <v/>
      </c>
      <c r="I89" s="17">
        <f>COUNTIFS('Feature Register'!$C$2:$C$634,A89,'Feature Register'!$BE$2:$BE$634,"Not assessed")</f>
        <v/>
      </c>
      <c r="J89" s="17">
        <f>COUNTIFS('Feature Register'!$C$2:$C$634,A89,'Feature Register'!$BE$2:$BE$634,"Production ready")</f>
        <v/>
      </c>
    </row>
    <row r="90" ht="34" customHeight="1">
      <c r="A90" s="29" t="inlineStr">
        <is>
          <t>Events, scheduling, and calendar</t>
        </is>
      </c>
      <c r="B90" s="17">
        <f>COUNTIF('Feature Register'!$C$2:$C$634,A90)</f>
        <v/>
      </c>
      <c r="C90" s="17">
        <f>COUNTIFS('Feature Register'!$C$2:$C$634,A90,'Feature Register'!$S$2:$S$634,"Scaffold only")+COUNTIFS('Feature Register'!$C$2:$C$634,A90,'Feature Register'!$S$2:$S$634,"UI only")+COUNTIFS('Feature Register'!$C$2:$C$634,A90,'Feature Register'!$S$2:$S$634,"Backend only")+COUNTIFS('Feature Register'!$C$2:$C$634,A90,'Feature Register'!$S$2:$S$634,"Partial")+COUNTIFS('Feature Register'!$C$2:$C$634,A90,'Feature Register'!$S$2:$S$634,"End-to-end present")+COUNTIFS('Feature Register'!$C$2:$C$634,A90,'Feature Register'!$S$2:$S$634,"Conflicting implementations")</f>
        <v/>
      </c>
      <c r="D90" s="17">
        <f>COUNTIFS('Feature Register'!$C$2:$C$634,A90,'Feature Register'!$AG$2:$AG$634,"Complete against stated requirement")</f>
        <v/>
      </c>
      <c r="E90" s="17">
        <f>COUNTIFS('Feature Register'!$C$2:$C$634,A90,'Feature Register'!$AJ$2:$AJ$634,"Physical device observed")</f>
        <v/>
      </c>
      <c r="F90" s="17">
        <f>COUNTIFS('Feature Register'!$C$2:$C$634,A90,'Feature Register'!$BE$2:$BE$634,"Blocked")</f>
        <v/>
      </c>
      <c r="G90" s="17">
        <f>COUNTIFS('Feature Register'!$C$2:$C$634,A90,'Feature Register'!$BE$2:$BE$634,"Development required")</f>
        <v/>
      </c>
      <c r="H90" s="17">
        <f>COUNTIFS('Feature Register'!$C$2:$C$634,A90,'Feature Register'!$BE$2:$BE$634,"Ready for production validation")</f>
        <v/>
      </c>
      <c r="I90" s="17">
        <f>COUNTIFS('Feature Register'!$C$2:$C$634,A90,'Feature Register'!$BE$2:$BE$634,"Not assessed")</f>
        <v/>
      </c>
      <c r="J90" s="17">
        <f>COUNTIFS('Feature Register'!$C$2:$C$634,A90,'Feature Register'!$BE$2:$BE$634,"Production ready")</f>
        <v/>
      </c>
    </row>
    <row r="91" ht="34" customHeight="1">
      <c r="A91" s="29" t="inlineStr">
        <is>
          <t>Content rights, music, and reuse</t>
        </is>
      </c>
      <c r="B91" s="17">
        <f>COUNTIF('Feature Register'!$C$2:$C$634,A91)</f>
        <v/>
      </c>
      <c r="C91" s="17">
        <f>COUNTIFS('Feature Register'!$C$2:$C$634,A91,'Feature Register'!$S$2:$S$634,"Scaffold only")+COUNTIFS('Feature Register'!$C$2:$C$634,A91,'Feature Register'!$S$2:$S$634,"UI only")+COUNTIFS('Feature Register'!$C$2:$C$634,A91,'Feature Register'!$S$2:$S$634,"Backend only")+COUNTIFS('Feature Register'!$C$2:$C$634,A91,'Feature Register'!$S$2:$S$634,"Partial")+COUNTIFS('Feature Register'!$C$2:$C$634,A91,'Feature Register'!$S$2:$S$634,"End-to-end present")+COUNTIFS('Feature Register'!$C$2:$C$634,A91,'Feature Register'!$S$2:$S$634,"Conflicting implementations")</f>
        <v/>
      </c>
      <c r="D91" s="17">
        <f>COUNTIFS('Feature Register'!$C$2:$C$634,A91,'Feature Register'!$AG$2:$AG$634,"Complete against stated requirement")</f>
        <v/>
      </c>
      <c r="E91" s="17">
        <f>COUNTIFS('Feature Register'!$C$2:$C$634,A91,'Feature Register'!$AJ$2:$AJ$634,"Physical device observed")</f>
        <v/>
      </c>
      <c r="F91" s="17">
        <f>COUNTIFS('Feature Register'!$C$2:$C$634,A91,'Feature Register'!$BE$2:$BE$634,"Blocked")</f>
        <v/>
      </c>
      <c r="G91" s="17">
        <f>COUNTIFS('Feature Register'!$C$2:$C$634,A91,'Feature Register'!$BE$2:$BE$634,"Development required")</f>
        <v/>
      </c>
      <c r="H91" s="17">
        <f>COUNTIFS('Feature Register'!$C$2:$C$634,A91,'Feature Register'!$BE$2:$BE$634,"Ready for production validation")</f>
        <v/>
      </c>
      <c r="I91" s="17">
        <f>COUNTIFS('Feature Register'!$C$2:$C$634,A91,'Feature Register'!$BE$2:$BE$634,"Not assessed")</f>
        <v/>
      </c>
      <c r="J91" s="17">
        <f>COUNTIFS('Feature Register'!$C$2:$C$634,A91,'Feature Register'!$BE$2:$BE$634,"Production ready")</f>
        <v/>
      </c>
    </row>
    <row r="92" ht="34" customHeight="1">
      <c r="A92" s="29" t="inlineStr">
        <is>
          <t>Unified Inbox and messaging</t>
        </is>
      </c>
      <c r="B92" s="17">
        <f>COUNTIF('Feature Register'!$C$2:$C$634,A92)</f>
        <v/>
      </c>
      <c r="C92" s="17">
        <f>COUNTIFS('Feature Register'!$C$2:$C$634,A92,'Feature Register'!$S$2:$S$634,"Scaffold only")+COUNTIFS('Feature Register'!$C$2:$C$634,A92,'Feature Register'!$S$2:$S$634,"UI only")+COUNTIFS('Feature Register'!$C$2:$C$634,A92,'Feature Register'!$S$2:$S$634,"Backend only")+COUNTIFS('Feature Register'!$C$2:$C$634,A92,'Feature Register'!$S$2:$S$634,"Partial")+COUNTIFS('Feature Register'!$C$2:$C$634,A92,'Feature Register'!$S$2:$S$634,"End-to-end present")+COUNTIFS('Feature Register'!$C$2:$C$634,A92,'Feature Register'!$S$2:$S$634,"Conflicting implementations")</f>
        <v/>
      </c>
      <c r="D92" s="17">
        <f>COUNTIFS('Feature Register'!$C$2:$C$634,A92,'Feature Register'!$AG$2:$AG$634,"Complete against stated requirement")</f>
        <v/>
      </c>
      <c r="E92" s="17">
        <f>COUNTIFS('Feature Register'!$C$2:$C$634,A92,'Feature Register'!$AJ$2:$AJ$634,"Physical device observed")</f>
        <v/>
      </c>
      <c r="F92" s="17">
        <f>COUNTIFS('Feature Register'!$C$2:$C$634,A92,'Feature Register'!$BE$2:$BE$634,"Blocked")</f>
        <v/>
      </c>
      <c r="G92" s="17">
        <f>COUNTIFS('Feature Register'!$C$2:$C$634,A92,'Feature Register'!$BE$2:$BE$634,"Development required")</f>
        <v/>
      </c>
      <c r="H92" s="17">
        <f>COUNTIFS('Feature Register'!$C$2:$C$634,A92,'Feature Register'!$BE$2:$BE$634,"Ready for production validation")</f>
        <v/>
      </c>
      <c r="I92" s="17">
        <f>COUNTIFS('Feature Register'!$C$2:$C$634,A92,'Feature Register'!$BE$2:$BE$634,"Not assessed")</f>
        <v/>
      </c>
      <c r="J92" s="17">
        <f>COUNTIFS('Feature Register'!$C$2:$C$634,A92,'Feature Register'!$BE$2:$BE$634,"Production ready")</f>
        <v/>
      </c>
    </row>
    <row r="93" ht="34" customHeight="1">
      <c r="A93" s="29" t="inlineStr">
        <is>
          <t>Invites and community growth</t>
        </is>
      </c>
      <c r="B93" s="17">
        <f>COUNTIF('Feature Register'!$C$2:$C$634,A93)</f>
        <v/>
      </c>
      <c r="C93" s="17">
        <f>COUNTIFS('Feature Register'!$C$2:$C$634,A93,'Feature Register'!$S$2:$S$634,"Scaffold only")+COUNTIFS('Feature Register'!$C$2:$C$634,A93,'Feature Register'!$S$2:$S$634,"UI only")+COUNTIFS('Feature Register'!$C$2:$C$634,A93,'Feature Register'!$S$2:$S$634,"Backend only")+COUNTIFS('Feature Register'!$C$2:$C$634,A93,'Feature Register'!$S$2:$S$634,"Partial")+COUNTIFS('Feature Register'!$C$2:$C$634,A93,'Feature Register'!$S$2:$S$634,"End-to-end present")+COUNTIFS('Feature Register'!$C$2:$C$634,A93,'Feature Register'!$S$2:$S$634,"Conflicting implementations")</f>
        <v/>
      </c>
      <c r="D93" s="17">
        <f>COUNTIFS('Feature Register'!$C$2:$C$634,A93,'Feature Register'!$AG$2:$AG$634,"Complete against stated requirement")</f>
        <v/>
      </c>
      <c r="E93" s="17">
        <f>COUNTIFS('Feature Register'!$C$2:$C$634,A93,'Feature Register'!$AJ$2:$AJ$634,"Physical device observed")</f>
        <v/>
      </c>
      <c r="F93" s="17">
        <f>COUNTIFS('Feature Register'!$C$2:$C$634,A93,'Feature Register'!$BE$2:$BE$634,"Blocked")</f>
        <v/>
      </c>
      <c r="G93" s="17">
        <f>COUNTIFS('Feature Register'!$C$2:$C$634,A93,'Feature Register'!$BE$2:$BE$634,"Development required")</f>
        <v/>
      </c>
      <c r="H93" s="17">
        <f>COUNTIFS('Feature Register'!$C$2:$C$634,A93,'Feature Register'!$BE$2:$BE$634,"Ready for production validation")</f>
        <v/>
      </c>
      <c r="I93" s="17">
        <f>COUNTIFS('Feature Register'!$C$2:$C$634,A93,'Feature Register'!$BE$2:$BE$634,"Not assessed")</f>
        <v/>
      </c>
      <c r="J93" s="17">
        <f>COUNTIFS('Feature Register'!$C$2:$C$634,A93,'Feature Register'!$BE$2:$BE$634,"Production ready")</f>
        <v/>
      </c>
    </row>
    <row r="94" ht="34" customHeight="1">
      <c r="A94" s="29" t="inlineStr">
        <is>
          <t>Help, support, and appeals</t>
        </is>
      </c>
      <c r="B94" s="17">
        <f>COUNTIF('Feature Register'!$C$2:$C$634,A94)</f>
        <v/>
      </c>
      <c r="C94" s="17">
        <f>COUNTIFS('Feature Register'!$C$2:$C$634,A94,'Feature Register'!$S$2:$S$634,"Scaffold only")+COUNTIFS('Feature Register'!$C$2:$C$634,A94,'Feature Register'!$S$2:$S$634,"UI only")+COUNTIFS('Feature Register'!$C$2:$C$634,A94,'Feature Register'!$S$2:$S$634,"Backend only")+COUNTIFS('Feature Register'!$C$2:$C$634,A94,'Feature Register'!$S$2:$S$634,"Partial")+COUNTIFS('Feature Register'!$C$2:$C$634,A94,'Feature Register'!$S$2:$S$634,"End-to-end present")+COUNTIFS('Feature Register'!$C$2:$C$634,A94,'Feature Register'!$S$2:$S$634,"Conflicting implementations")</f>
        <v/>
      </c>
      <c r="D94" s="17">
        <f>COUNTIFS('Feature Register'!$C$2:$C$634,A94,'Feature Register'!$AG$2:$AG$634,"Complete against stated requirement")</f>
        <v/>
      </c>
      <c r="E94" s="17">
        <f>COUNTIFS('Feature Register'!$C$2:$C$634,A94,'Feature Register'!$AJ$2:$AJ$634,"Physical device observed")</f>
        <v/>
      </c>
      <c r="F94" s="17">
        <f>COUNTIFS('Feature Register'!$C$2:$C$634,A94,'Feature Register'!$BE$2:$BE$634,"Blocked")</f>
        <v/>
      </c>
      <c r="G94" s="17">
        <f>COUNTIFS('Feature Register'!$C$2:$C$634,A94,'Feature Register'!$BE$2:$BE$634,"Development required")</f>
        <v/>
      </c>
      <c r="H94" s="17">
        <f>COUNTIFS('Feature Register'!$C$2:$C$634,A94,'Feature Register'!$BE$2:$BE$634,"Ready for production validation")</f>
        <v/>
      </c>
      <c r="I94" s="17">
        <f>COUNTIFS('Feature Register'!$C$2:$C$634,A94,'Feature Register'!$BE$2:$BE$634,"Not assessed")</f>
        <v/>
      </c>
      <c r="J94" s="17">
        <f>COUNTIFS('Feature Register'!$C$2:$C$634,A94,'Feature Register'!$BE$2:$BE$634,"Production ready")</f>
        <v/>
      </c>
    </row>
    <row r="95" ht="34" customHeight="1">
      <c r="A95" s="29" t="inlineStr">
        <is>
          <t>Quality assurance and release readiness</t>
        </is>
      </c>
      <c r="B95" s="17">
        <f>COUNTIF('Feature Register'!$C$2:$C$634,A95)</f>
        <v/>
      </c>
      <c r="C95" s="17">
        <f>COUNTIFS('Feature Register'!$C$2:$C$634,A95,'Feature Register'!$S$2:$S$634,"Scaffold only")+COUNTIFS('Feature Register'!$C$2:$C$634,A95,'Feature Register'!$S$2:$S$634,"UI only")+COUNTIFS('Feature Register'!$C$2:$C$634,A95,'Feature Register'!$S$2:$S$634,"Backend only")+COUNTIFS('Feature Register'!$C$2:$C$634,A95,'Feature Register'!$S$2:$S$634,"Partial")+COUNTIFS('Feature Register'!$C$2:$C$634,A95,'Feature Register'!$S$2:$S$634,"End-to-end present")+COUNTIFS('Feature Register'!$C$2:$C$634,A95,'Feature Register'!$S$2:$S$634,"Conflicting implementations")</f>
        <v/>
      </c>
      <c r="D95" s="17">
        <f>COUNTIFS('Feature Register'!$C$2:$C$634,A95,'Feature Register'!$AG$2:$AG$634,"Complete against stated requirement")</f>
        <v/>
      </c>
      <c r="E95" s="17">
        <f>COUNTIFS('Feature Register'!$C$2:$C$634,A95,'Feature Register'!$AJ$2:$AJ$634,"Physical device observed")</f>
        <v/>
      </c>
      <c r="F95" s="17">
        <f>COUNTIFS('Feature Register'!$C$2:$C$634,A95,'Feature Register'!$BE$2:$BE$634,"Blocked")</f>
        <v/>
      </c>
      <c r="G95" s="17">
        <f>COUNTIFS('Feature Register'!$C$2:$C$634,A95,'Feature Register'!$BE$2:$BE$634,"Development required")</f>
        <v/>
      </c>
      <c r="H95" s="17">
        <f>COUNTIFS('Feature Register'!$C$2:$C$634,A95,'Feature Register'!$BE$2:$BE$634,"Ready for production validation")</f>
        <v/>
      </c>
      <c r="I95" s="17">
        <f>COUNTIFS('Feature Register'!$C$2:$C$634,A95,'Feature Register'!$BE$2:$BE$634,"Not assessed")</f>
        <v/>
      </c>
      <c r="J95" s="17">
        <f>COUNTIFS('Feature Register'!$C$2:$C$634,A95,'Feature Register'!$BE$2:$BE$634,"Production ready")</f>
        <v/>
      </c>
    </row>
  </sheetData>
  <mergeCells count="20">
    <mergeCell ref="A30:E30"/>
    <mergeCell ref="P4:Q4"/>
    <mergeCell ref="A7:R7"/>
    <mergeCell ref="J5:K5"/>
    <mergeCell ref="M5:N5"/>
    <mergeCell ref="A2:R2"/>
    <mergeCell ref="A41:E41"/>
    <mergeCell ref="A64:J64"/>
    <mergeCell ref="A21:E21"/>
    <mergeCell ref="J4:K4"/>
    <mergeCell ref="A5:B5"/>
    <mergeCell ref="G5:H5"/>
    <mergeCell ref="D4:E4"/>
    <mergeCell ref="A4:B4"/>
    <mergeCell ref="G4:H4"/>
    <mergeCell ref="D5:E5"/>
    <mergeCell ref="A1:R1"/>
    <mergeCell ref="P5:Q5"/>
    <mergeCell ref="M4:N4"/>
    <mergeCell ref="A9:E9"/>
  </mergeCells>
  <pageMargins left="0.75" right="0.75" top="1" bottom="1" header="0.5" footer="0.5"/>
  <pageSetup fitToHeight="0" fitToWidth="1"/>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tabColor rgb="0062A8FF"/>
    <outlinePr summaryBelow="1" summaryRight="1"/>
    <pageSetUpPr fitToPage="1"/>
  </sheetPr>
  <dimension ref="A1:BL634"/>
  <sheetViews>
    <sheetView showGridLines="0" zoomScale="85" workbookViewId="0">
      <pane xSplit="6" ySplit="1" topLeftCell="G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30" customWidth="1" min="3" max="3"/>
    <col width="10" customWidth="1" min="4" max="4"/>
    <col width="10" customWidth="1" min="5" max="5"/>
    <col width="20" customWidth="1" min="6" max="6"/>
    <col width="34" customWidth="1" min="7" max="7"/>
    <col width="44" customWidth="1" min="8" max="8"/>
    <col width="42" customWidth="1" min="9" max="9"/>
    <col width="30" customWidth="1" min="10" max="10"/>
    <col width="16" customWidth="1" min="11" max="11"/>
    <col width="26" customWidth="1" min="12" max="12"/>
    <col width="30" customWidth="1" min="13" max="13"/>
    <col width="42" customWidth="1" min="14" max="14"/>
    <col width="46" customWidth="1" min="15" max="15"/>
    <col width="40" customWidth="1" min="16" max="16"/>
    <col width="16" customWidth="1" min="17" max="17"/>
    <col width="36" customWidth="1" min="18" max="18"/>
    <col width="24" customWidth="1" min="19" max="19"/>
    <col width="42" customWidth="1" min="20" max="20"/>
    <col width="42" customWidth="1" min="21" max="21"/>
    <col width="42" customWidth="1" min="22" max="22"/>
    <col width="46" customWidth="1" min="23" max="23"/>
    <col width="38" customWidth="1" min="24" max="24"/>
    <col width="42" customWidth="1" min="25" max="25"/>
    <col width="36" customWidth="1" min="26" max="26"/>
    <col width="40" customWidth="1" min="27" max="27"/>
    <col width="34" customWidth="1" min="28" max="28"/>
    <col width="18" customWidth="1" min="29" max="29"/>
    <col width="58" customWidth="1" min="30" max="30"/>
    <col width="20" customWidth="1" min="31" max="31"/>
    <col width="42" customWidth="1" min="32" max="32"/>
    <col width="28" customWidth="1" min="33" max="33"/>
    <col width="16" customWidth="1" min="34" max="34"/>
    <col width="52" customWidth="1" min="35" max="35"/>
    <col width="28" customWidth="1" min="36" max="36"/>
    <col width="28" customWidth="1" min="37" max="37"/>
    <col width="24" customWidth="1" min="38" max="38"/>
    <col width="28" customWidth="1" min="39" max="39"/>
    <col width="22" customWidth="1" min="40" max="40"/>
    <col width="40" customWidth="1" min="41" max="41"/>
    <col width="18"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8" customWidth="1" min="57" max="57"/>
    <col width="56" customWidth="1" min="58" max="58"/>
    <col width="56" customWidth="1" min="59" max="59"/>
    <col width="22" customWidth="1" min="60" max="60"/>
    <col width="22" customWidth="1" min="61" max="61"/>
    <col width="22" customWidth="1" min="62" max="62"/>
    <col width="48" customWidth="1" min="63" max="63"/>
    <col width="18" customWidth="1" min="64" max="64"/>
  </cols>
  <sheetData>
    <row r="1" ht="34" customHeight="1">
      <c r="A1" s="15" t="inlineStr">
        <is>
          <t>Feature ID</t>
        </is>
      </c>
      <c r="B1" s="15" t="inlineStr">
        <is>
          <t>Parent Feature ID</t>
        </is>
      </c>
      <c r="C1" s="15" t="inlineStr">
        <is>
          <t>Product Area</t>
        </is>
      </c>
      <c r="D1" s="15" t="inlineStr">
        <is>
          <t>Area Number</t>
        </is>
      </c>
      <c r="E1" s="15" t="inlineStr">
        <is>
          <t>Area Sequence</t>
        </is>
      </c>
      <c r="F1" s="15" t="inlineStr">
        <is>
          <t>Record Type</t>
        </is>
      </c>
      <c r="G1" s="15" t="inlineStr">
        <is>
          <t>Feature Name</t>
        </is>
      </c>
      <c r="H1" s="15" t="inlineStr">
        <is>
          <t>Source Requirement</t>
        </is>
      </c>
      <c r="I1" s="15" t="inlineStr">
        <is>
          <t>Source Location</t>
        </is>
      </c>
      <c r="J1" s="15" t="inlineStr">
        <is>
          <t>Normalization Location</t>
        </is>
      </c>
      <c r="K1" s="15" t="inlineStr">
        <is>
          <t>Intended Scope</t>
        </is>
      </c>
      <c r="L1" s="15" t="inlineStr">
        <is>
          <t>Intended Actor</t>
        </is>
      </c>
      <c r="M1" s="15" t="inlineStr">
        <is>
          <t>Intended Surface</t>
        </is>
      </c>
      <c r="N1" s="15" t="inlineStr">
        <is>
          <t>Intended Outcome</t>
        </is>
      </c>
      <c r="O1" s="15" t="inlineStr">
        <is>
          <t>Acceptance Criteria</t>
        </is>
      </c>
      <c r="P1" s="15" t="inlineStr">
        <is>
          <t>Dependencies</t>
        </is>
      </c>
      <c r="Q1" s="15" t="inlineStr">
        <is>
          <t>Prior Audit Label</t>
        </is>
      </c>
      <c r="R1" s="15" t="inlineStr">
        <is>
          <t>Prior Audit Note</t>
        </is>
      </c>
      <c r="S1" s="15" t="inlineStr">
        <is>
          <t>Implementation State</t>
        </is>
      </c>
      <c r="T1" s="15" t="inlineStr">
        <is>
          <t>Client Entry and Navigation</t>
        </is>
      </c>
      <c r="U1" s="15" t="inlineStr">
        <is>
          <t>UI Components and Screens</t>
        </is>
      </c>
      <c r="V1" s="15" t="inlineStr">
        <is>
          <t>Client State and Services</t>
        </is>
      </c>
      <c r="W1" s="15" t="inlineStr">
        <is>
          <t>Server Routes and Handlers</t>
        </is>
      </c>
      <c r="X1" s="15" t="inlineStr">
        <is>
          <t>Data Stores</t>
        </is>
      </c>
      <c r="Y1" s="15" t="inlineStr">
        <is>
          <t>Workers and Async Paths</t>
        </is>
      </c>
      <c r="Z1" s="15" t="inlineStr">
        <is>
          <t>External Services</t>
        </is>
      </c>
      <c r="AA1" s="15" t="inlineStr">
        <is>
          <t>Configuration and Permissions</t>
        </is>
      </c>
      <c r="AB1" s="15" t="inlineStr">
        <is>
          <t>Deployable Runtime</t>
        </is>
      </c>
      <c r="AC1" s="15" t="inlineStr">
        <is>
          <t>Runtime Path ID</t>
        </is>
      </c>
      <c r="AD1" s="15" t="inlineStr">
        <is>
          <t>Runtime Path Narrative</t>
        </is>
      </c>
      <c r="AE1" s="15" t="inlineStr">
        <is>
          <t>Reachability</t>
        </is>
      </c>
      <c r="AF1" s="15" t="inlineStr">
        <is>
          <t>Reachability Detail</t>
        </is>
      </c>
      <c r="AG1" s="15" t="inlineStr">
        <is>
          <t>Functional Completeness</t>
        </is>
      </c>
      <c r="AH1" s="15" t="inlineStr">
        <is>
          <t>Complete Against Requirement?</t>
        </is>
      </c>
      <c r="AI1" s="15" t="inlineStr">
        <is>
          <t>Known Gaps</t>
        </is>
      </c>
      <c r="AJ1" s="15" t="inlineStr">
        <is>
          <t>Verification State</t>
        </is>
      </c>
      <c r="AK1" s="15" t="inlineStr">
        <is>
          <t>Source Evidence IDs</t>
        </is>
      </c>
      <c r="AL1" s="15" t="inlineStr">
        <is>
          <t>Test Evidence IDs</t>
        </is>
      </c>
      <c r="AM1" s="15" t="inlineStr">
        <is>
          <t>Observed Evidence IDs</t>
        </is>
      </c>
      <c r="AN1" s="15" t="inlineStr">
        <is>
          <t>Last Verified At</t>
        </is>
      </c>
      <c r="AO1" s="15" t="inlineStr">
        <is>
          <t>Verified Revision or Build</t>
        </is>
      </c>
      <c r="AP1" s="15" t="inlineStr">
        <is>
          <t>Evidence Confidence</t>
        </is>
      </c>
      <c r="AQ1" s="15" t="inlineStr">
        <is>
          <t>Gate — Scope and Acceptance</t>
        </is>
      </c>
      <c r="AR1" s="15" t="inlineStr">
        <is>
          <t>Gate — Architecture and Authority</t>
        </is>
      </c>
      <c r="AS1" s="15" t="inlineStr">
        <is>
          <t>Gate — Functional Behaviour</t>
        </is>
      </c>
      <c r="AT1" s="15" t="inlineStr">
        <is>
          <t>Gate — Identity and Permissions</t>
        </is>
      </c>
      <c r="AU1" s="15" t="inlineStr">
        <is>
          <t>Gate — Data Integrity</t>
        </is>
      </c>
      <c r="AV1" s="15" t="inlineStr">
        <is>
          <t>Gate — Privacy and Consent</t>
        </is>
      </c>
      <c r="AW1" s="15" t="inlineStr">
        <is>
          <t>Gate — Safety and Abuse</t>
        </is>
      </c>
      <c r="AX1" s="15" t="inlineStr">
        <is>
          <t>Gate — Commerce and Entitlement</t>
        </is>
      </c>
      <c r="AY1" s="15" t="inlineStr">
        <is>
          <t>Gate — Security</t>
        </is>
      </c>
      <c r="AZ1" s="15" t="inlineStr">
        <is>
          <t>Gate — Reliability and Scale</t>
        </is>
      </c>
      <c r="BA1" s="15" t="inlineStr">
        <is>
          <t>Gate — Observability and Operations</t>
        </is>
      </c>
      <c r="BB1" s="15" t="inlineStr">
        <is>
          <t>Gate — Accessibility and Device Coverage</t>
        </is>
      </c>
      <c r="BC1" s="15" t="inlineStr">
        <is>
          <t>Gate — Legal and Policy</t>
        </is>
      </c>
      <c r="BD1" s="15" t="inlineStr">
        <is>
          <t>Gate — Release-candidate Verification</t>
        </is>
      </c>
      <c r="BE1" s="15" t="inlineStr">
        <is>
          <t>Production Conclusion</t>
        </is>
      </c>
      <c r="BF1" s="15" t="inlineStr">
        <is>
          <t>Production Blockers</t>
        </is>
      </c>
      <c r="BG1" s="15" t="inlineStr">
        <is>
          <t>Required Next Evidence</t>
        </is>
      </c>
      <c r="BH1" s="15" t="inlineStr">
        <is>
          <t>Owner</t>
        </is>
      </c>
      <c r="BI1" s="15" t="inlineStr">
        <is>
          <t>Approved By</t>
        </is>
      </c>
      <c r="BJ1" s="15" t="inlineStr">
        <is>
          <t>Approved At</t>
        </is>
      </c>
      <c r="BK1" s="15" t="inlineStr">
        <is>
          <t>Review Notes</t>
        </is>
      </c>
      <c r="BL1" s="15" t="inlineStr">
        <is>
          <t>Last Updated</t>
        </is>
      </c>
    </row>
    <row r="2" ht="42" customHeight="1">
      <c r="A2" s="29" t="inlineStr">
        <is>
          <t>BLYP-01-001</t>
        </is>
      </c>
      <c r="B2" s="29" t="inlineStr"/>
      <c r="C2" s="29" t="inlineStr">
        <is>
          <t>BLYP Bar and AI-assisted posting</t>
        </is>
      </c>
      <c r="D2" s="29" t="n">
        <v>1</v>
      </c>
      <c r="E2" s="29" t="n">
        <v>1</v>
      </c>
      <c r="F2" s="29" t="inlineStr">
        <is>
          <t>Feature</t>
        </is>
      </c>
      <c r="G2" s="29" t="inlineStr">
        <is>
          <t>BLYP Bar conversational interface</t>
        </is>
      </c>
      <c r="H2" s="29" t="inlineStr">
        <is>
          <t>BLYP Bar conversational interface</t>
        </is>
      </c>
      <c r="I2" s="29" t="inlineStr">
        <is>
          <t>/home/ubuntu/blyp_product_requirements.md :: Section 1 — BLYP Bar and AI-assisted posting</t>
        </is>
      </c>
      <c r="J2" s="29" t="inlineStr">
        <is>
          <t>/home/ubuntu/BLYP_COMPLETE_FEATURE_LIST.md:16</t>
        </is>
      </c>
      <c r="K2" s="29" t="inlineStr">
        <is>
          <t>Required</t>
        </is>
      </c>
      <c r="L2" s="29" t="inlineStr">
        <is>
          <t>Applicable BLYP member</t>
        </is>
      </c>
      <c r="M2" s="29" t="inlineStr">
        <is>
          <t>BLYP mobile application and supporting production services</t>
        </is>
      </c>
      <c r="N2" s="29" t="inlineStr">
        <is>
          <t>BLYP Bar conversational interface</t>
        </is>
      </c>
      <c r="O2" s="29" t="inlineStr">
        <is>
          <t>Not explicitly defined in the product source; requires accountable product approval before production sign-off.</t>
        </is>
      </c>
      <c r="P2" s="29" t="inlineStr"/>
      <c r="Q2" s="29" t="inlineStr">
        <is>
          <t>Yes</t>
        </is>
      </c>
      <c r="R2" s="29" t="inlineStr">
        <is>
          <t>a bounded BLYP Bar dispatcher exists.</t>
        </is>
      </c>
      <c r="S2" s="29" t="inlineStr">
        <is>
          <t>Not found</t>
        </is>
      </c>
      <c r="T2" s="29" t="inlineStr">
        <is>
          <t>Not found</t>
        </is>
      </c>
      <c r="U2" s="29" t="inlineStr">
        <is>
          <t>Not found</t>
        </is>
      </c>
      <c r="V2" s="29" t="inlineStr">
        <is>
          <t>Not found</t>
        </is>
      </c>
      <c r="W2" s="29" t="inlineStr">
        <is>
          <t>Not found</t>
        </is>
      </c>
      <c r="X2" s="29" t="inlineStr">
        <is>
          <t>Unknown</t>
        </is>
      </c>
      <c r="Y2" s="29" t="inlineStr">
        <is>
          <t>Not found</t>
        </is>
      </c>
      <c r="Z2" s="29" t="inlineStr">
        <is>
          <t>Not found</t>
        </is>
      </c>
      <c r="AA2" s="29" t="inlineStr">
        <is>
          <t>Not found</t>
        </is>
      </c>
      <c r="AB2" s="29" t="inlineStr">
        <is>
          <t>Unknown</t>
        </is>
      </c>
      <c r="AC2" s="29" t="inlineStr"/>
      <c r="AD2" s="29" t="inlineStr"/>
      <c r="AE2" s="29" t="inlineStr">
        <is>
          <t>Unknown</t>
        </is>
      </c>
      <c r="AF2" s="29" t="inlineStr"/>
      <c r="AG2" s="29" t="inlineStr">
        <is>
          <t>Not started</t>
        </is>
      </c>
      <c r="AH2" s="29" t="inlineStr">
        <is>
          <t>No</t>
        </is>
      </c>
      <c r="AI2" s="29" t="inlineStr">
        <is>
          <t>Searched all non-node_modules source files for 'BLYP Bar', 'BlypBar', 'blypBar', 'blyp-bar', 'blyp_bar'. No component, screen, service, route, or data model matching a BLYP Bar conversational interface was found. The feature may exist under a different identifier not covered by this search.</t>
        </is>
      </c>
      <c r="AJ2" s="29" t="inlineStr">
        <is>
          <t>Not verified</t>
        </is>
      </c>
      <c r="AK2" s="29" t="inlineStr">
        <is>
          <t>EV-01-0001</t>
        </is>
      </c>
      <c r="AL2" s="29" t="inlineStr"/>
      <c r="AM2" s="29" t="inlineStr"/>
      <c r="AN2" s="29" t="inlineStr"/>
      <c r="AO2" s="29" t="inlineStr">
        <is>
          <t>8bc0dcb2a1da1b21368c5536aaeef829d587f316</t>
        </is>
      </c>
      <c r="AP2" s="29" t="inlineStr">
        <is>
          <t>Low</t>
        </is>
      </c>
      <c r="AQ2" s="29" t="inlineStr">
        <is>
          <t>Not assessed</t>
        </is>
      </c>
      <c r="AR2" s="29" t="inlineStr">
        <is>
          <t>Not assessed</t>
        </is>
      </c>
      <c r="AS2" s="29" t="inlineStr">
        <is>
          <t>Fail</t>
        </is>
      </c>
      <c r="AT2" s="29" t="inlineStr">
        <is>
          <t>Not assessed</t>
        </is>
      </c>
      <c r="AU2" s="29" t="inlineStr">
        <is>
          <t>Not assessed</t>
        </is>
      </c>
      <c r="AV2" s="29" t="inlineStr">
        <is>
          <t>Not assessed</t>
        </is>
      </c>
      <c r="AW2" s="29" t="inlineStr">
        <is>
          <t>Not assessed</t>
        </is>
      </c>
      <c r="AX2" s="29" t="inlineStr">
        <is>
          <t>Not assessed</t>
        </is>
      </c>
      <c r="AY2" s="29" t="inlineStr">
        <is>
          <t>Not assessed</t>
        </is>
      </c>
      <c r="AZ2" s="29" t="inlineStr">
        <is>
          <t>Not assessed</t>
        </is>
      </c>
      <c r="BA2" s="29" t="inlineStr">
        <is>
          <t>Not assessed</t>
        </is>
      </c>
      <c r="BB2" s="29" t="inlineStr">
        <is>
          <t>Not assessed</t>
        </is>
      </c>
      <c r="BC2" s="29" t="inlineStr">
        <is>
          <t>Not assessed</t>
        </is>
      </c>
      <c r="BD2" s="29" t="inlineStr">
        <is>
          <t>Not assessed</t>
        </is>
      </c>
      <c r="BE2" s="29" t="inlineStr">
        <is>
          <t>Development required</t>
        </is>
      </c>
      <c r="BF2" s="29" t="inlineStr">
        <is>
          <t>Physical implementation is not complete against the stated requirement.; Searched all non-node_modules source files for 'BLYP Bar', 'BlypBar', 'blypBar', 'blyp-bar', 'blyp_bar'. No component, screen, service, route, or data model matching a BLYP Bar conversational interface was found. The feature may exist under a different identifier not covered by this search.</t>
        </is>
      </c>
      <c r="BG2" s="29" t="inlineStr">
        <is>
          <t>Identify the actual file/component name for the BLYP Bar dispatcher; search for it; confirm wiring in navigation stack.</t>
        </is>
      </c>
      <c r="BH2" s="29" t="inlineStr"/>
      <c r="BI2" s="29" t="inlineStr"/>
      <c r="BJ2" s="29" t="inlineStr"/>
      <c r="BK2" s="29" t="inlineStr">
        <is>
          <t>Evidence reconciled against the reviewed source revision. No production approval is inferred from implementation or file presence.</t>
        </is>
      </c>
      <c r="BL2" s="29" t="inlineStr">
        <is>
          <t>2026-08-02</t>
        </is>
      </c>
    </row>
    <row r="3" ht="42" customHeight="1">
      <c r="A3" s="29" t="inlineStr">
        <is>
          <t>BLYP-01-002</t>
        </is>
      </c>
      <c r="B3" s="29" t="inlineStr"/>
      <c r="C3" s="29" t="inlineStr">
        <is>
          <t>BLYP Bar and AI-assisted posting</t>
        </is>
      </c>
      <c r="D3" s="29" t="n">
        <v>1</v>
      </c>
      <c r="E3" s="29" t="n">
        <v>2</v>
      </c>
      <c r="F3" s="29" t="inlineStr">
        <is>
          <t>Feature</t>
        </is>
      </c>
      <c r="G3" s="29" t="inlineStr">
        <is>
          <t>Battle-request interpretation</t>
        </is>
      </c>
      <c r="H3" s="29" t="inlineStr">
        <is>
          <t>Battle-request interpretation</t>
        </is>
      </c>
      <c r="I3" s="29" t="inlineStr">
        <is>
          <t>/home/ubuntu/blyp_product_requirements.md :: Section 1 — BLYP Bar and AI-assisted posting</t>
        </is>
      </c>
      <c r="J3" s="29" t="inlineStr">
        <is>
          <t>/home/ubuntu/BLYP_COMPLETE_FEATURE_LIST.md:17</t>
        </is>
      </c>
      <c r="K3" s="29" t="inlineStr">
        <is>
          <t>Required</t>
        </is>
      </c>
      <c r="L3" s="29" t="inlineStr">
        <is>
          <t>Applicable BLYP member</t>
        </is>
      </c>
      <c r="M3" s="29" t="inlineStr">
        <is>
          <t>BLYP mobile application and supporting production services</t>
        </is>
      </c>
      <c r="N3" s="29" t="inlineStr">
        <is>
          <t>Battle-request interpretation</t>
        </is>
      </c>
      <c r="O3" s="29" t="inlineStr">
        <is>
          <t>Not explicitly defined in the product source; requires accountable product approval before production sign-off.</t>
        </is>
      </c>
      <c r="P3" s="29" t="inlineStr"/>
      <c r="Q3" s="29" t="inlineStr">
        <is>
          <t>Yes</t>
        </is>
      </c>
      <c r="R3" s="29" t="inlineStr"/>
      <c r="S3" s="29" t="inlineStr">
        <is>
          <t>Not found</t>
        </is>
      </c>
      <c r="T3" s="29" t="inlineStr">
        <is>
          <t>Not found</t>
        </is>
      </c>
      <c r="U3" s="29" t="inlineStr">
        <is>
          <t>Not found</t>
        </is>
      </c>
      <c r="V3" s="29" t="inlineStr">
        <is>
          <t>Not found</t>
        </is>
      </c>
      <c r="W3" s="29" t="inlineStr">
        <is>
          <t>Not found</t>
        </is>
      </c>
      <c r="X3" s="29" t="inlineStr">
        <is>
          <t>Unknown</t>
        </is>
      </c>
      <c r="Y3" s="29" t="inlineStr">
        <is>
          <t>Not found</t>
        </is>
      </c>
      <c r="Z3" s="29" t="inlineStr">
        <is>
          <t>Not found</t>
        </is>
      </c>
      <c r="AA3" s="29" t="inlineStr">
        <is>
          <t>Not found</t>
        </is>
      </c>
      <c r="AB3" s="29" t="inlineStr">
        <is>
          <t>Unknown</t>
        </is>
      </c>
      <c r="AC3" s="29" t="inlineStr"/>
      <c r="AD3" s="29" t="inlineStr"/>
      <c r="AE3" s="29" t="inlineStr">
        <is>
          <t>Unknown</t>
        </is>
      </c>
      <c r="AF3" s="29" t="inlineStr"/>
      <c r="AG3" s="29" t="inlineStr">
        <is>
          <t>Not started</t>
        </is>
      </c>
      <c r="AH3" s="29" t="inlineStr">
        <is>
          <t>No</t>
        </is>
      </c>
      <c r="AI3" s="29" t="inlineStr">
        <is>
          <t>No client-side battle-request parsing or interpretation layer found. Backend economy route POST /promote/battle exists but is a coin-spend feature unrelated to BLYP Bar dispatch. Searched for 'battle' in client AI/dispatch context.</t>
        </is>
      </c>
      <c r="AJ3" s="29" t="inlineStr">
        <is>
          <t>Not verified</t>
        </is>
      </c>
      <c r="AK3" s="29" t="inlineStr">
        <is>
          <t>EV-01-0002;EV-01-0003</t>
        </is>
      </c>
      <c r="AL3" s="29" t="inlineStr"/>
      <c r="AM3" s="29" t="inlineStr"/>
      <c r="AN3" s="29" t="inlineStr"/>
      <c r="AO3" s="29" t="inlineStr">
        <is>
          <t>8bc0dcb2a1da1b21368c5536aaeef829d587f316</t>
        </is>
      </c>
      <c r="AP3" s="29" t="inlineStr">
        <is>
          <t>Low</t>
        </is>
      </c>
      <c r="AQ3" s="29" t="inlineStr">
        <is>
          <t>Not assessed</t>
        </is>
      </c>
      <c r="AR3" s="29" t="inlineStr">
        <is>
          <t>Not assessed</t>
        </is>
      </c>
      <c r="AS3" s="29" t="inlineStr">
        <is>
          <t>Fail</t>
        </is>
      </c>
      <c r="AT3" s="29" t="inlineStr">
        <is>
          <t>Not assessed</t>
        </is>
      </c>
      <c r="AU3" s="29" t="inlineStr">
        <is>
          <t>Not assessed</t>
        </is>
      </c>
      <c r="AV3" s="29" t="inlineStr">
        <is>
          <t>Not assessed</t>
        </is>
      </c>
      <c r="AW3" s="29" t="inlineStr">
        <is>
          <t>Not assessed</t>
        </is>
      </c>
      <c r="AX3" s="29" t="inlineStr">
        <is>
          <t>Not assessed</t>
        </is>
      </c>
      <c r="AY3" s="29" t="inlineStr">
        <is>
          <t>Not assessed</t>
        </is>
      </c>
      <c r="AZ3" s="29" t="inlineStr">
        <is>
          <t>Not assessed</t>
        </is>
      </c>
      <c r="BA3" s="29" t="inlineStr">
        <is>
          <t>Not assessed</t>
        </is>
      </c>
      <c r="BB3" s="29" t="inlineStr">
        <is>
          <t>Not assessed</t>
        </is>
      </c>
      <c r="BC3" s="29" t="inlineStr">
        <is>
          <t>Not assessed</t>
        </is>
      </c>
      <c r="BD3" s="29" t="inlineStr">
        <is>
          <t>Not assessed</t>
        </is>
      </c>
      <c r="BE3" s="29" t="inlineStr">
        <is>
          <t>Development required</t>
        </is>
      </c>
      <c r="BF3" s="29" t="inlineStr">
        <is>
          <t>Physical implementation is not complete against the stated requirement.; No client-side battle-request parsing or interpretation layer found. Backend economy route POST /promote/battle exists but is a coin-spend feature unrelated to BLYP Bar dispatch. Searched for 'battle' in client AI/dispatch context.</t>
        </is>
      </c>
      <c r="BG3" s="29" t="inlineStr">
        <is>
          <t>Identify BLYP Bar dispatcher code; search for battle-request parsing logic within it.</t>
        </is>
      </c>
      <c r="BH3" s="29" t="inlineStr"/>
      <c r="BI3" s="29" t="inlineStr"/>
      <c r="BJ3" s="29" t="inlineStr"/>
      <c r="BK3" s="29" t="inlineStr">
        <is>
          <t>Evidence reconciled against the reviewed source revision. No production approval is inferred from implementation or file presence.</t>
        </is>
      </c>
      <c r="BL3" s="29" t="inlineStr">
        <is>
          <t>2026-08-02</t>
        </is>
      </c>
    </row>
    <row r="4" ht="42" customHeight="1">
      <c r="A4" s="29" t="inlineStr">
        <is>
          <t>BLYP-01-003</t>
        </is>
      </c>
      <c r="B4" s="29" t="inlineStr"/>
      <c r="C4" s="29" t="inlineStr">
        <is>
          <t>BLYP Bar and AI-assisted posting</t>
        </is>
      </c>
      <c r="D4" s="29" t="n">
        <v>1</v>
      </c>
      <c r="E4" s="29" t="n">
        <v>3</v>
      </c>
      <c r="F4" s="29" t="inlineStr">
        <is>
          <t>Feature</t>
        </is>
      </c>
      <c r="G4" s="29" t="inlineStr">
        <is>
          <t>Opponent resolution for a Battle request</t>
        </is>
      </c>
      <c r="H4" s="29" t="inlineStr">
        <is>
          <t>Opponent resolution for a Battle request</t>
        </is>
      </c>
      <c r="I4" s="29" t="inlineStr">
        <is>
          <t>/home/ubuntu/blyp_product_requirements.md :: Section 1 — BLYP Bar and AI-assisted posting</t>
        </is>
      </c>
      <c r="J4" s="29" t="inlineStr">
        <is>
          <t>/home/ubuntu/BLYP_COMPLETE_FEATURE_LIST.md:18</t>
        </is>
      </c>
      <c r="K4" s="29" t="inlineStr">
        <is>
          <t>Required</t>
        </is>
      </c>
      <c r="L4" s="29" t="inlineStr">
        <is>
          <t>Applicable BLYP member</t>
        </is>
      </c>
      <c r="M4" s="29" t="inlineStr">
        <is>
          <t>BLYP mobile application and supporting production services</t>
        </is>
      </c>
      <c r="N4" s="29" t="inlineStr">
        <is>
          <t>Opponent resolution for a Battle request</t>
        </is>
      </c>
      <c r="O4" s="29" t="inlineStr">
        <is>
          <t>Not explicitly defined in the product source; requires accountable product approval before production sign-off.</t>
        </is>
      </c>
      <c r="P4" s="29" t="inlineStr"/>
      <c r="Q4" s="29" t="inlineStr">
        <is>
          <t>Yes</t>
        </is>
      </c>
      <c r="R4" s="29" t="inlineStr"/>
      <c r="S4" s="29" t="inlineStr">
        <is>
          <t>Not found</t>
        </is>
      </c>
      <c r="T4" s="29" t="inlineStr">
        <is>
          <t>Not found</t>
        </is>
      </c>
      <c r="U4" s="29" t="inlineStr">
        <is>
          <t>Not found</t>
        </is>
      </c>
      <c r="V4" s="29" t="inlineStr">
        <is>
          <t>Not found</t>
        </is>
      </c>
      <c r="W4" s="29" t="inlineStr">
        <is>
          <t>Not found</t>
        </is>
      </c>
      <c r="X4" s="29" t="inlineStr">
        <is>
          <t>Unknown</t>
        </is>
      </c>
      <c r="Y4" s="29" t="inlineStr">
        <is>
          <t>Not found</t>
        </is>
      </c>
      <c r="Z4" s="29" t="inlineStr">
        <is>
          <t>Not found</t>
        </is>
      </c>
      <c r="AA4" s="29" t="inlineStr">
        <is>
          <t>Not found</t>
        </is>
      </c>
      <c r="AB4" s="29" t="inlineStr">
        <is>
          <t>Unknown</t>
        </is>
      </c>
      <c r="AC4" s="29" t="inlineStr"/>
      <c r="AD4" s="29" t="inlineStr"/>
      <c r="AE4" s="29" t="inlineStr">
        <is>
          <t>Unknown</t>
        </is>
      </c>
      <c r="AF4" s="29" t="inlineStr"/>
      <c r="AG4" s="29" t="inlineStr">
        <is>
          <t>Not started</t>
        </is>
      </c>
      <c r="AH4" s="29" t="inlineStr">
        <is>
          <t>No</t>
        </is>
      </c>
      <c r="AI4" s="29" t="inlineStr">
        <is>
          <t>No opponent resolution logic found in client source. Searched for 'opponent', 'resolution', 'battle' in client AI/dispatch context. No user lookup or matching service for battle opponents found.</t>
        </is>
      </c>
      <c r="AJ4" s="29" t="inlineStr">
        <is>
          <t>Not verified</t>
        </is>
      </c>
      <c r="AK4" s="29" t="inlineStr">
        <is>
          <t>EV-01-0002;EV-01-0003</t>
        </is>
      </c>
      <c r="AL4" s="29" t="inlineStr"/>
      <c r="AM4" s="29" t="inlineStr"/>
      <c r="AN4" s="29" t="inlineStr"/>
      <c r="AO4" s="29" t="inlineStr">
        <is>
          <t>8bc0dcb2a1da1b21368c5536aaeef829d587f316</t>
        </is>
      </c>
      <c r="AP4" s="29" t="inlineStr">
        <is>
          <t>Low</t>
        </is>
      </c>
      <c r="AQ4" s="29" t="inlineStr">
        <is>
          <t>Not assessed</t>
        </is>
      </c>
      <c r="AR4" s="29" t="inlineStr">
        <is>
          <t>Not assessed</t>
        </is>
      </c>
      <c r="AS4" s="29" t="inlineStr">
        <is>
          <t>Fail</t>
        </is>
      </c>
      <c r="AT4" s="29" t="inlineStr">
        <is>
          <t>Not assessed</t>
        </is>
      </c>
      <c r="AU4" s="29" t="inlineStr">
        <is>
          <t>Not assessed</t>
        </is>
      </c>
      <c r="AV4" s="29" t="inlineStr">
        <is>
          <t>Not assessed</t>
        </is>
      </c>
      <c r="AW4" s="29" t="inlineStr">
        <is>
          <t>Not assessed</t>
        </is>
      </c>
      <c r="AX4" s="29" t="inlineStr">
        <is>
          <t>Not assessed</t>
        </is>
      </c>
      <c r="AY4" s="29" t="inlineStr">
        <is>
          <t>Not assessed</t>
        </is>
      </c>
      <c r="AZ4" s="29" t="inlineStr">
        <is>
          <t>Not assessed</t>
        </is>
      </c>
      <c r="BA4" s="29" t="inlineStr">
        <is>
          <t>Not assessed</t>
        </is>
      </c>
      <c r="BB4" s="29" t="inlineStr">
        <is>
          <t>Not assessed</t>
        </is>
      </c>
      <c r="BC4" s="29" t="inlineStr">
        <is>
          <t>Not assessed</t>
        </is>
      </c>
      <c r="BD4" s="29" t="inlineStr">
        <is>
          <t>Not assessed</t>
        </is>
      </c>
      <c r="BE4" s="29" t="inlineStr">
        <is>
          <t>Development required</t>
        </is>
      </c>
      <c r="BF4" s="29" t="inlineStr">
        <is>
          <t>Physical implementation is not complete against the stated requirement.; No opponent resolution logic found in client source. Searched for 'opponent', 'resolution', 'battle' in client AI/dispatch context. No user lookup or matching service for battle opponents found.</t>
        </is>
      </c>
      <c r="BG4" s="29" t="inlineStr">
        <is>
          <t>Identify BLYP Bar dispatcher; search for opponent resolution/lookup logic.</t>
        </is>
      </c>
      <c r="BH4" s="29" t="inlineStr"/>
      <c r="BI4" s="29" t="inlineStr"/>
      <c r="BJ4" s="29" t="inlineStr"/>
      <c r="BK4" s="29" t="inlineStr">
        <is>
          <t>Evidence reconciled against the reviewed source revision. No production approval is inferred from implementation or file presence.</t>
        </is>
      </c>
      <c r="BL4" s="29" t="inlineStr">
        <is>
          <t>2026-08-02</t>
        </is>
      </c>
    </row>
    <row r="5" ht="42" customHeight="1">
      <c r="A5" s="29" t="inlineStr">
        <is>
          <t>BLYP-01-004</t>
        </is>
      </c>
      <c r="B5" s="29" t="inlineStr"/>
      <c r="C5" s="29" t="inlineStr">
        <is>
          <t>BLYP Bar and AI-assisted posting</t>
        </is>
      </c>
      <c r="D5" s="29" t="n">
        <v>1</v>
      </c>
      <c r="E5" s="29" t="n">
        <v>4</v>
      </c>
      <c r="F5" s="29" t="inlineStr">
        <is>
          <t>Feature</t>
        </is>
      </c>
      <c r="G5" s="29" t="inlineStr">
        <is>
          <t>Prefilled Battle creation flow</t>
        </is>
      </c>
      <c r="H5" s="29" t="inlineStr">
        <is>
          <t>Prefilled Battle creation flow</t>
        </is>
      </c>
      <c r="I5" s="29" t="inlineStr">
        <is>
          <t>/home/ubuntu/blyp_product_requirements.md :: Section 1 — BLYP Bar and AI-assisted posting</t>
        </is>
      </c>
      <c r="J5" s="29" t="inlineStr">
        <is>
          <t>/home/ubuntu/BLYP_COMPLETE_FEATURE_LIST.md:19</t>
        </is>
      </c>
      <c r="K5" s="29" t="inlineStr">
        <is>
          <t>Required</t>
        </is>
      </c>
      <c r="L5" s="29" t="inlineStr">
        <is>
          <t>Applicable BLYP member</t>
        </is>
      </c>
      <c r="M5" s="29" t="inlineStr">
        <is>
          <t>BLYP mobile application and supporting production services</t>
        </is>
      </c>
      <c r="N5" s="29" t="inlineStr">
        <is>
          <t>Prefilled Battle creation flow</t>
        </is>
      </c>
      <c r="O5" s="29" t="inlineStr">
        <is>
          <t>Not explicitly defined in the product source; requires accountable product approval before production sign-off.</t>
        </is>
      </c>
      <c r="P5" s="29" t="inlineStr"/>
      <c r="Q5" s="29" t="inlineStr">
        <is>
          <t>Yes</t>
        </is>
      </c>
      <c r="R5" s="29" t="inlineStr"/>
      <c r="S5" s="29" t="inlineStr">
        <is>
          <t>Not found</t>
        </is>
      </c>
      <c r="T5" s="29" t="inlineStr">
        <is>
          <t>Not found</t>
        </is>
      </c>
      <c r="U5" s="29" t="inlineStr">
        <is>
          <t>Not found</t>
        </is>
      </c>
      <c r="V5" s="29" t="inlineStr">
        <is>
          <t>Not found</t>
        </is>
      </c>
      <c r="W5" s="29" t="inlineStr">
        <is>
          <t>Not found</t>
        </is>
      </c>
      <c r="X5" s="29" t="inlineStr">
        <is>
          <t>Unknown</t>
        </is>
      </c>
      <c r="Y5" s="29" t="inlineStr">
        <is>
          <t>Not found</t>
        </is>
      </c>
      <c r="Z5" s="29" t="inlineStr">
        <is>
          <t>Not found</t>
        </is>
      </c>
      <c r="AA5" s="29" t="inlineStr">
        <is>
          <t>Not found</t>
        </is>
      </c>
      <c r="AB5" s="29" t="inlineStr">
        <is>
          <t>Unknown</t>
        </is>
      </c>
      <c r="AC5" s="29" t="inlineStr"/>
      <c r="AD5" s="29" t="inlineStr"/>
      <c r="AE5" s="29" t="inlineStr">
        <is>
          <t>Unknown</t>
        </is>
      </c>
      <c r="AF5" s="29" t="inlineStr"/>
      <c r="AG5" s="29" t="inlineStr">
        <is>
          <t>Not started</t>
        </is>
      </c>
      <c r="AH5" s="29" t="inlineStr">
        <is>
          <t>No</t>
        </is>
      </c>
      <c r="AI5" s="29" t="inlineStr">
        <is>
          <t>No prefilled battle creation flow found. Searched for 'prefill', 'Prefill', 'battle' in client navigation/creation context. No navigation to a battle creation screen with pre-populated fields was found.</t>
        </is>
      </c>
      <c r="AJ5" s="29" t="inlineStr">
        <is>
          <t>Not verified</t>
        </is>
      </c>
      <c r="AK5" s="29" t="inlineStr">
        <is>
          <t>EV-01-0002;EV-01-0003</t>
        </is>
      </c>
      <c r="AL5" s="29" t="inlineStr"/>
      <c r="AM5" s="29" t="inlineStr"/>
      <c r="AN5" s="29" t="inlineStr"/>
      <c r="AO5" s="29" t="inlineStr">
        <is>
          <t>8bc0dcb2a1da1b21368c5536aaeef829d587f316</t>
        </is>
      </c>
      <c r="AP5" s="29" t="inlineStr">
        <is>
          <t>Low</t>
        </is>
      </c>
      <c r="AQ5" s="29" t="inlineStr">
        <is>
          <t>Not assessed</t>
        </is>
      </c>
      <c r="AR5" s="29" t="inlineStr">
        <is>
          <t>Not assessed</t>
        </is>
      </c>
      <c r="AS5" s="29" t="inlineStr">
        <is>
          <t>Fail</t>
        </is>
      </c>
      <c r="AT5" s="29" t="inlineStr">
        <is>
          <t>Not assessed</t>
        </is>
      </c>
      <c r="AU5" s="29" t="inlineStr">
        <is>
          <t>Not assessed</t>
        </is>
      </c>
      <c r="AV5" s="29" t="inlineStr">
        <is>
          <t>Not assessed</t>
        </is>
      </c>
      <c r="AW5" s="29" t="inlineStr">
        <is>
          <t>Not assessed</t>
        </is>
      </c>
      <c r="AX5" s="29" t="inlineStr">
        <is>
          <t>Not assessed</t>
        </is>
      </c>
      <c r="AY5" s="29" t="inlineStr">
        <is>
          <t>Not assessed</t>
        </is>
      </c>
      <c r="AZ5" s="29" t="inlineStr">
        <is>
          <t>Not assessed</t>
        </is>
      </c>
      <c r="BA5" s="29" t="inlineStr">
        <is>
          <t>Not assessed</t>
        </is>
      </c>
      <c r="BB5" s="29" t="inlineStr">
        <is>
          <t>Not assessed</t>
        </is>
      </c>
      <c r="BC5" s="29" t="inlineStr">
        <is>
          <t>Not assessed</t>
        </is>
      </c>
      <c r="BD5" s="29" t="inlineStr">
        <is>
          <t>Not assessed</t>
        </is>
      </c>
      <c r="BE5" s="29" t="inlineStr">
        <is>
          <t>Development required</t>
        </is>
      </c>
      <c r="BF5" s="29" t="inlineStr">
        <is>
          <t>Physical implementation is not complete against the stated requirement.; No prefilled battle creation flow found. Searched for 'prefill', 'Prefill', 'battle' in client navigation/creation context. No navigation to a battle creation screen with pre-populated fields was found.</t>
        </is>
      </c>
      <c r="BG5" s="29" t="inlineStr">
        <is>
          <t>Identify BLYP Bar dispatcher; search for prefilled battle creation navigation.</t>
        </is>
      </c>
      <c r="BH5" s="29" t="inlineStr"/>
      <c r="BI5" s="29" t="inlineStr"/>
      <c r="BJ5" s="29" t="inlineStr"/>
      <c r="BK5" s="29" t="inlineStr">
        <is>
          <t>Evidence reconciled against the reviewed source revision. No production approval is inferred from implementation or file presence.</t>
        </is>
      </c>
      <c r="BL5" s="29" t="inlineStr">
        <is>
          <t>2026-08-02</t>
        </is>
      </c>
    </row>
    <row r="6" ht="42" customHeight="1">
      <c r="A6" s="29" t="inlineStr">
        <is>
          <t>BLYP-01-005</t>
        </is>
      </c>
      <c r="B6" s="29" t="inlineStr"/>
      <c r="C6" s="29" t="inlineStr">
        <is>
          <t>BLYP Bar and AI-assisted posting</t>
        </is>
      </c>
      <c r="D6" s="29" t="n">
        <v>1</v>
      </c>
      <c r="E6" s="29" t="n">
        <v>5</v>
      </c>
      <c r="F6" s="29" t="inlineStr">
        <is>
          <t>Feature</t>
        </is>
      </c>
      <c r="G6" s="29" t="inlineStr">
        <is>
          <t>Event watches</t>
        </is>
      </c>
      <c r="H6" s="29" t="inlineStr">
        <is>
          <t>Event watches</t>
        </is>
      </c>
      <c r="I6" s="29" t="inlineStr">
        <is>
          <t>/home/ubuntu/blyp_product_requirements.md :: Section 1 — BLYP Bar and AI-assisted posting</t>
        </is>
      </c>
      <c r="J6" s="29" t="inlineStr">
        <is>
          <t>/home/ubuntu/BLYP_COMPLETE_FEATURE_LIST.md:20</t>
        </is>
      </c>
      <c r="K6" s="29" t="inlineStr">
        <is>
          <t>Required</t>
        </is>
      </c>
      <c r="L6" s="29" t="inlineStr">
        <is>
          <t>Authenticated or eligible viewer</t>
        </is>
      </c>
      <c r="M6" s="29" t="inlineStr">
        <is>
          <t>BLYP mobile application and supporting production services</t>
        </is>
      </c>
      <c r="N6" s="29" t="inlineStr">
        <is>
          <t>Event watches</t>
        </is>
      </c>
      <c r="O6" s="29" t="inlineStr">
        <is>
          <t>Not explicitly defined in the product source; requires accountable product approval before production sign-off.</t>
        </is>
      </c>
      <c r="P6" s="29" t="inlineStr"/>
      <c r="Q6" s="29" t="inlineStr">
        <is>
          <t>Yes</t>
        </is>
      </c>
      <c r="R6" s="29" t="inlineStr"/>
      <c r="S6" s="29" t="inlineStr">
        <is>
          <t>Not found</t>
        </is>
      </c>
      <c r="T6" s="29" t="inlineStr">
        <is>
          <t>Not found</t>
        </is>
      </c>
      <c r="U6" s="29" t="inlineStr">
        <is>
          <t>Not found</t>
        </is>
      </c>
      <c r="V6" s="29" t="inlineStr">
        <is>
          <t>Not found</t>
        </is>
      </c>
      <c r="W6" s="29" t="inlineStr">
        <is>
          <t>Not found</t>
        </is>
      </c>
      <c r="X6" s="29" t="inlineStr">
        <is>
          <t>Unknown</t>
        </is>
      </c>
      <c r="Y6" s="29" t="inlineStr">
        <is>
          <t>Not found</t>
        </is>
      </c>
      <c r="Z6" s="29" t="inlineStr">
        <is>
          <t>Not found</t>
        </is>
      </c>
      <c r="AA6" s="29" t="inlineStr">
        <is>
          <t>Not found</t>
        </is>
      </c>
      <c r="AB6" s="29" t="inlineStr">
        <is>
          <t>Unknown</t>
        </is>
      </c>
      <c r="AC6" s="29" t="inlineStr"/>
      <c r="AD6" s="29" t="inlineStr"/>
      <c r="AE6" s="29" t="inlineStr">
        <is>
          <t>Unknown</t>
        </is>
      </c>
      <c r="AF6" s="29" t="inlineStr"/>
      <c r="AG6" s="29" t="inlineStr">
        <is>
          <t>Not started</t>
        </is>
      </c>
      <c r="AH6" s="29" t="inlineStr">
        <is>
          <t>No</t>
        </is>
      </c>
      <c r="AI6" s="29" t="inlineStr">
        <is>
          <t>No event-watch subscription feature found. Searched for 'watch', 'Watch' in event/creator context. Only found totalWatchTime analytics and 'watching' viewer count labels. No event watch data model, service, or UI found.</t>
        </is>
      </c>
      <c r="AJ6" s="29" t="inlineStr">
        <is>
          <t>Not verified</t>
        </is>
      </c>
      <c r="AK6" s="29" t="inlineStr">
        <is>
          <t>EV-01-0004</t>
        </is>
      </c>
      <c r="AL6" s="29" t="inlineStr"/>
      <c r="AM6" s="29" t="inlineStr"/>
      <c r="AN6" s="29" t="inlineStr"/>
      <c r="AO6" s="29" t="inlineStr">
        <is>
          <t>8bc0dcb2a1da1b21368c5536aaeef829d587f316</t>
        </is>
      </c>
      <c r="AP6" s="29" t="inlineStr">
        <is>
          <t>Low</t>
        </is>
      </c>
      <c r="AQ6" s="29" t="inlineStr">
        <is>
          <t>Not assessed</t>
        </is>
      </c>
      <c r="AR6" s="29" t="inlineStr">
        <is>
          <t>Not assessed</t>
        </is>
      </c>
      <c r="AS6" s="29" t="inlineStr">
        <is>
          <t>Fail</t>
        </is>
      </c>
      <c r="AT6" s="29" t="inlineStr">
        <is>
          <t>Not assessed</t>
        </is>
      </c>
      <c r="AU6" s="29" t="inlineStr">
        <is>
          <t>Not assessed</t>
        </is>
      </c>
      <c r="AV6" s="29" t="inlineStr">
        <is>
          <t>Not assessed</t>
        </is>
      </c>
      <c r="AW6" s="29" t="inlineStr">
        <is>
          <t>Not assessed</t>
        </is>
      </c>
      <c r="AX6" s="29" t="inlineStr">
        <is>
          <t>Not assessed</t>
        </is>
      </c>
      <c r="AY6" s="29" t="inlineStr">
        <is>
          <t>Not assessed</t>
        </is>
      </c>
      <c r="AZ6" s="29" t="inlineStr">
        <is>
          <t>Not assessed</t>
        </is>
      </c>
      <c r="BA6" s="29" t="inlineStr">
        <is>
          <t>Not assessed</t>
        </is>
      </c>
      <c r="BB6" s="29" t="inlineStr">
        <is>
          <t>Not assessed</t>
        </is>
      </c>
      <c r="BC6" s="29" t="inlineStr">
        <is>
          <t>Not assessed</t>
        </is>
      </c>
      <c r="BD6" s="29" t="inlineStr">
        <is>
          <t>Not assessed</t>
        </is>
      </c>
      <c r="BE6" s="29" t="inlineStr">
        <is>
          <t>Development required</t>
        </is>
      </c>
      <c r="BF6" s="29" t="inlineStr">
        <is>
          <t>Physical implementation is not complete against the stated requirement.; No event-watch subscription feature found. Searched for 'watch', 'Watch' in event/creator context. Only found totalWatchTime analytics and 'watching' viewer count labels. No event watch data model, service, or UI found.</t>
        </is>
      </c>
      <c r="BG6" s="29" t="inlineStr">
        <is>
          <t>Search for event subscription/watch feature under alternate identifiers; check Firestore collections for watch/subscription documents.</t>
        </is>
      </c>
      <c r="BH6" s="29" t="inlineStr"/>
      <c r="BI6" s="29" t="inlineStr"/>
      <c r="BJ6" s="29" t="inlineStr"/>
      <c r="BK6" s="29" t="inlineStr">
        <is>
          <t>Evidence reconciled against the reviewed source revision. No production approval is inferred from implementation or file presence.</t>
        </is>
      </c>
      <c r="BL6" s="29" t="inlineStr">
        <is>
          <t>2026-08-02</t>
        </is>
      </c>
    </row>
    <row r="7" ht="42" customHeight="1">
      <c r="A7" s="29" t="inlineStr">
        <is>
          <t>BLYP-01-006</t>
        </is>
      </c>
      <c r="B7" s="29" t="inlineStr"/>
      <c r="C7" s="29" t="inlineStr">
        <is>
          <t>BLYP Bar and AI-assisted posting</t>
        </is>
      </c>
      <c r="D7" s="29" t="n">
        <v>1</v>
      </c>
      <c r="E7" s="29" t="n">
        <v>6</v>
      </c>
      <c r="F7" s="29" t="inlineStr">
        <is>
          <t>Feature</t>
        </is>
      </c>
      <c r="G7" s="29" t="inlineStr">
        <is>
          <t>Creator/user watches</t>
        </is>
      </c>
      <c r="H7" s="29" t="inlineStr">
        <is>
          <t>Creator/user watches</t>
        </is>
      </c>
      <c r="I7" s="29" t="inlineStr">
        <is>
          <t>/home/ubuntu/blyp_product_requirements.md :: Section 1 — BLYP Bar and AI-assisted posting</t>
        </is>
      </c>
      <c r="J7" s="29" t="inlineStr">
        <is>
          <t>/home/ubuntu/BLYP_COMPLETE_FEATURE_LIST.md:21</t>
        </is>
      </c>
      <c r="K7" s="29" t="inlineStr">
        <is>
          <t>Required</t>
        </is>
      </c>
      <c r="L7" s="29" t="inlineStr">
        <is>
          <t>Authenticated creator or host</t>
        </is>
      </c>
      <c r="M7" s="29" t="inlineStr">
        <is>
          <t>BLYP mobile application and supporting production services</t>
        </is>
      </c>
      <c r="N7" s="29" t="inlineStr">
        <is>
          <t>Creator/user watches</t>
        </is>
      </c>
      <c r="O7" s="29" t="inlineStr">
        <is>
          <t>Not explicitly defined in the product source; requires accountable product approval before production sign-off.</t>
        </is>
      </c>
      <c r="P7" s="29" t="inlineStr"/>
      <c r="Q7" s="29" t="inlineStr">
        <is>
          <t>Yes</t>
        </is>
      </c>
      <c r="R7" s="29" t="inlineStr"/>
      <c r="S7" s="29" t="inlineStr">
        <is>
          <t>Not found</t>
        </is>
      </c>
      <c r="T7" s="29" t="inlineStr">
        <is>
          <t>Not found</t>
        </is>
      </c>
      <c r="U7" s="29" t="inlineStr">
        <is>
          <t>Not found</t>
        </is>
      </c>
      <c r="V7" s="29" t="inlineStr">
        <is>
          <t>Not found</t>
        </is>
      </c>
      <c r="W7" s="29" t="inlineStr">
        <is>
          <t>Not found</t>
        </is>
      </c>
      <c r="X7" s="29" t="inlineStr">
        <is>
          <t>Unknown</t>
        </is>
      </c>
      <c r="Y7" s="29" t="inlineStr">
        <is>
          <t>Not found</t>
        </is>
      </c>
      <c r="Z7" s="29" t="inlineStr">
        <is>
          <t>Not found</t>
        </is>
      </c>
      <c r="AA7" s="29" t="inlineStr">
        <is>
          <t>Not found</t>
        </is>
      </c>
      <c r="AB7" s="29" t="inlineStr">
        <is>
          <t>Unknown</t>
        </is>
      </c>
      <c r="AC7" s="29" t="inlineStr"/>
      <c r="AD7" s="29" t="inlineStr"/>
      <c r="AE7" s="29" t="inlineStr">
        <is>
          <t>Unknown</t>
        </is>
      </c>
      <c r="AF7" s="29" t="inlineStr"/>
      <c r="AG7" s="29" t="inlineStr">
        <is>
          <t>Not started</t>
        </is>
      </c>
      <c r="AH7" s="29" t="inlineStr">
        <is>
          <t>No</t>
        </is>
      </c>
      <c r="AI7" s="29" t="inlineStr">
        <is>
          <t>No creator/user watch subscription feature found. Searched for 'watch', 'Watch', 'creator', 'follow', 'subscribe' in relevant context. No creator-watch data model, service, or UI found.</t>
        </is>
      </c>
      <c r="AJ7" s="29" t="inlineStr">
        <is>
          <t>Not verified</t>
        </is>
      </c>
      <c r="AK7" s="29" t="inlineStr">
        <is>
          <t>EV-01-0004</t>
        </is>
      </c>
      <c r="AL7" s="29" t="inlineStr"/>
      <c r="AM7" s="29" t="inlineStr"/>
      <c r="AN7" s="29" t="inlineStr"/>
      <c r="AO7" s="29" t="inlineStr">
        <is>
          <t>8bc0dcb2a1da1b21368c5536aaeef829d587f316</t>
        </is>
      </c>
      <c r="AP7" s="29" t="inlineStr">
        <is>
          <t>Low</t>
        </is>
      </c>
      <c r="AQ7" s="29" t="inlineStr">
        <is>
          <t>Not assessed</t>
        </is>
      </c>
      <c r="AR7" s="29" t="inlineStr">
        <is>
          <t>Not assessed</t>
        </is>
      </c>
      <c r="AS7" s="29" t="inlineStr">
        <is>
          <t>Fail</t>
        </is>
      </c>
      <c r="AT7" s="29" t="inlineStr">
        <is>
          <t>Not assessed</t>
        </is>
      </c>
      <c r="AU7" s="29" t="inlineStr">
        <is>
          <t>Not assessed</t>
        </is>
      </c>
      <c r="AV7" s="29" t="inlineStr">
        <is>
          <t>Not assessed</t>
        </is>
      </c>
      <c r="AW7" s="29" t="inlineStr">
        <is>
          <t>Not assessed</t>
        </is>
      </c>
      <c r="AX7" s="29" t="inlineStr">
        <is>
          <t>Not assessed</t>
        </is>
      </c>
      <c r="AY7" s="29" t="inlineStr">
        <is>
          <t>Not assessed</t>
        </is>
      </c>
      <c r="AZ7" s="29" t="inlineStr">
        <is>
          <t>Not assessed</t>
        </is>
      </c>
      <c r="BA7" s="29" t="inlineStr">
        <is>
          <t>Not assessed</t>
        </is>
      </c>
      <c r="BB7" s="29" t="inlineStr">
        <is>
          <t>Not assessed</t>
        </is>
      </c>
      <c r="BC7" s="29" t="inlineStr">
        <is>
          <t>Not assessed</t>
        </is>
      </c>
      <c r="BD7" s="29" t="inlineStr">
        <is>
          <t>Not assessed</t>
        </is>
      </c>
      <c r="BE7" s="29" t="inlineStr">
        <is>
          <t>Development required</t>
        </is>
      </c>
      <c r="BF7" s="29" t="inlineStr">
        <is>
          <t>Physical implementation is not complete against the stated requirement.; No creator/user watch subscription feature found. Searched for 'watch', 'Watch', 'creator', 'follow', 'subscribe' in relevant context. No creator-watch data model, service, or UI found.</t>
        </is>
      </c>
      <c r="BG7" s="29" t="inlineStr">
        <is>
          <t>Search for creator/user subscription feature under alternate identifiers; check Firestore collections.</t>
        </is>
      </c>
      <c r="BH7" s="29" t="inlineStr"/>
      <c r="BI7" s="29" t="inlineStr"/>
      <c r="BJ7" s="29" t="inlineStr"/>
      <c r="BK7" s="29" t="inlineStr">
        <is>
          <t>Evidence reconciled against the reviewed source revision. No production approval is inferred from implementation or file presence.</t>
        </is>
      </c>
      <c r="BL7" s="29" t="inlineStr">
        <is>
          <t>2026-08-02</t>
        </is>
      </c>
    </row>
    <row r="8" ht="42" customHeight="1">
      <c r="A8" s="29" t="inlineStr">
        <is>
          <t>BLYP-01-007</t>
        </is>
      </c>
      <c r="B8" s="29" t="inlineStr"/>
      <c r="C8" s="29" t="inlineStr">
        <is>
          <t>BLYP Bar and AI-assisted posting</t>
        </is>
      </c>
      <c r="D8" s="29" t="n">
        <v>1</v>
      </c>
      <c r="E8" s="29" t="n">
        <v>7</v>
      </c>
      <c r="F8" s="29" t="inlineStr">
        <is>
          <t>Feature</t>
        </is>
      </c>
      <c r="G8" s="29" t="inlineStr">
        <is>
          <t>Notification when a watched creator next goes live</t>
        </is>
      </c>
      <c r="H8" s="29" t="inlineStr">
        <is>
          <t>Notification when a watched creator next goes live</t>
        </is>
      </c>
      <c r="I8" s="29" t="inlineStr">
        <is>
          <t>/home/ubuntu/blyp_product_requirements.md :: Section 1 — BLYP Bar and AI-assisted posting</t>
        </is>
      </c>
      <c r="J8" s="29" t="inlineStr">
        <is>
          <t>/home/ubuntu/BLYP_COMPLETE_FEATURE_LIST.md:22</t>
        </is>
      </c>
      <c r="K8" s="29" t="inlineStr">
        <is>
          <t>Required</t>
        </is>
      </c>
      <c r="L8" s="29" t="inlineStr">
        <is>
          <t>Authenticated creator or host</t>
        </is>
      </c>
      <c r="M8" s="29" t="inlineStr">
        <is>
          <t>BLYP mobile application and supporting production services</t>
        </is>
      </c>
      <c r="N8" s="29" t="inlineStr">
        <is>
          <t>Notification when a watched creator next goes live</t>
        </is>
      </c>
      <c r="O8" s="29" t="inlineStr">
        <is>
          <t>Not explicitly defined in the product source; requires accountable product approval before production sign-off.</t>
        </is>
      </c>
      <c r="P8" s="29" t="inlineStr"/>
      <c r="Q8" s="29" t="inlineStr">
        <is>
          <t>Partial</t>
        </is>
      </c>
      <c r="R8" s="29" t="inlineStr">
        <is>
          <t>watch persistence exists; the complete notification journey needs verification.</t>
        </is>
      </c>
      <c r="S8" s="29" t="inlineStr">
        <is>
          <t>Not found</t>
        </is>
      </c>
      <c r="T8" s="29" t="inlineStr">
        <is>
          <t>Not found</t>
        </is>
      </c>
      <c r="U8" s="29" t="inlineStr">
        <is>
          <t>Not found</t>
        </is>
      </c>
      <c r="V8" s="29" t="inlineStr">
        <is>
          <t>Not found</t>
        </is>
      </c>
      <c r="W8" s="29" t="inlineStr">
        <is>
          <t>Not found</t>
        </is>
      </c>
      <c r="X8" s="29" t="inlineStr">
        <is>
          <t>Unknown</t>
        </is>
      </c>
      <c r="Y8" s="29" t="inlineStr">
        <is>
          <t>Not found</t>
        </is>
      </c>
      <c r="Z8" s="29" t="inlineStr">
        <is>
          <t>Not found</t>
        </is>
      </c>
      <c r="AA8" s="29" t="inlineStr">
        <is>
          <t>Not found</t>
        </is>
      </c>
      <c r="AB8" s="29" t="inlineStr">
        <is>
          <t>Unknown</t>
        </is>
      </c>
      <c r="AC8" s="29" t="inlineStr"/>
      <c r="AD8" s="29" t="inlineStr"/>
      <c r="AE8" s="29" t="inlineStr">
        <is>
          <t>Unknown</t>
        </is>
      </c>
      <c r="AF8" s="29" t="inlineStr"/>
      <c r="AG8" s="29" t="inlineStr">
        <is>
          <t>Not started</t>
        </is>
      </c>
      <c r="AH8" s="29" t="inlineStr">
        <is>
          <t>No</t>
        </is>
      </c>
      <c r="AI8" s="29" t="inlineStr">
        <is>
          <t>No notification-when-watched-creator-goes-live feature found. Searched for 'reminder', 'Reminder', 'notification', 'Notification', 'live', 'watch' in relevant context. No push notification trigger for watched creator going live was found.</t>
        </is>
      </c>
      <c r="AJ8" s="29" t="inlineStr">
        <is>
          <t>Not verified</t>
        </is>
      </c>
      <c r="AK8" s="29" t="inlineStr">
        <is>
          <t>EV-01-0004;EV-01-0005</t>
        </is>
      </c>
      <c r="AL8" s="29" t="inlineStr"/>
      <c r="AM8" s="29" t="inlineStr"/>
      <c r="AN8" s="29" t="inlineStr"/>
      <c r="AO8" s="29" t="inlineStr">
        <is>
          <t>8bc0dcb2a1da1b21368c5536aaeef829d587f316</t>
        </is>
      </c>
      <c r="AP8" s="29" t="inlineStr">
        <is>
          <t>Low</t>
        </is>
      </c>
      <c r="AQ8" s="29" t="inlineStr">
        <is>
          <t>Not assessed</t>
        </is>
      </c>
      <c r="AR8" s="29" t="inlineStr">
        <is>
          <t>Not assessed</t>
        </is>
      </c>
      <c r="AS8" s="29" t="inlineStr">
        <is>
          <t>Fail</t>
        </is>
      </c>
      <c r="AT8" s="29" t="inlineStr">
        <is>
          <t>Not assessed</t>
        </is>
      </c>
      <c r="AU8" s="29" t="inlineStr">
        <is>
          <t>Not assessed</t>
        </is>
      </c>
      <c r="AV8" s="29" t="inlineStr">
        <is>
          <t>Not assessed</t>
        </is>
      </c>
      <c r="AW8" s="29" t="inlineStr">
        <is>
          <t>Not assessed</t>
        </is>
      </c>
      <c r="AX8" s="29" t="inlineStr">
        <is>
          <t>Not assessed</t>
        </is>
      </c>
      <c r="AY8" s="29" t="inlineStr">
        <is>
          <t>Not assessed</t>
        </is>
      </c>
      <c r="AZ8" s="29" t="inlineStr">
        <is>
          <t>Not assessed</t>
        </is>
      </c>
      <c r="BA8" s="29" t="inlineStr">
        <is>
          <t>Not assessed</t>
        </is>
      </c>
      <c r="BB8" s="29" t="inlineStr">
        <is>
          <t>Not assessed</t>
        </is>
      </c>
      <c r="BC8" s="29" t="inlineStr">
        <is>
          <t>Not assessed</t>
        </is>
      </c>
      <c r="BD8" s="29" t="inlineStr">
        <is>
          <t>Not assessed</t>
        </is>
      </c>
      <c r="BE8" s="29" t="inlineStr">
        <is>
          <t>Development required</t>
        </is>
      </c>
      <c r="BF8" s="29" t="inlineStr">
        <is>
          <t>Physical implementation is not complete against the stated requirement.; No notification-when-watched-creator-goes-live feature found. Searched for 'reminder', 'Reminder', 'notification', 'Notification', 'live', 'watch' in relevant context. No push notification trigger for watched creator going live was found.</t>
        </is>
      </c>
      <c r="BG8" s="29" t="inlineStr">
        <is>
          <t>Search for push notification service and live-start trigger; check Firebase Functions for notification dispatch.</t>
        </is>
      </c>
      <c r="BH8" s="29" t="inlineStr"/>
      <c r="BI8" s="29" t="inlineStr"/>
      <c r="BJ8" s="29" t="inlineStr"/>
      <c r="BK8" s="29" t="inlineStr">
        <is>
          <t>Evidence reconciled against the reviewed source revision. No production approval is inferred from implementation or file presence.</t>
        </is>
      </c>
      <c r="BL8" s="29" t="inlineStr">
        <is>
          <t>2026-08-02</t>
        </is>
      </c>
    </row>
    <row r="9" ht="42" customHeight="1">
      <c r="A9" s="29" t="inlineStr">
        <is>
          <t>BLYP-01-008</t>
        </is>
      </c>
      <c r="B9" s="29" t="inlineStr"/>
      <c r="C9" s="29" t="inlineStr">
        <is>
          <t>BLYP Bar and AI-assisted posting</t>
        </is>
      </c>
      <c r="D9" s="29" t="n">
        <v>1</v>
      </c>
      <c r="E9" s="29" t="n">
        <v>8</v>
      </c>
      <c r="F9" s="29" t="inlineStr">
        <is>
          <t>Feature</t>
        </is>
      </c>
      <c r="G9" s="29" t="inlineStr">
        <is>
          <t>Single-reminder creation</t>
        </is>
      </c>
      <c r="H9" s="29" t="inlineStr">
        <is>
          <t>Single-reminder creation</t>
        </is>
      </c>
      <c r="I9" s="29" t="inlineStr">
        <is>
          <t>/home/ubuntu/blyp_product_requirements.md :: Section 1 — BLYP Bar and AI-assisted posting</t>
        </is>
      </c>
      <c r="J9" s="29" t="inlineStr">
        <is>
          <t>/home/ubuntu/BLYP_COMPLETE_FEATURE_LIST.md:23</t>
        </is>
      </c>
      <c r="K9" s="29" t="inlineStr">
        <is>
          <t>Required</t>
        </is>
      </c>
      <c r="L9" s="29" t="inlineStr">
        <is>
          <t>Applicable BLYP member</t>
        </is>
      </c>
      <c r="M9" s="29" t="inlineStr">
        <is>
          <t>BLYP mobile application and supporting production services</t>
        </is>
      </c>
      <c r="N9" s="29" t="inlineStr">
        <is>
          <t>Single-reminder creation</t>
        </is>
      </c>
      <c r="O9" s="29" t="inlineStr">
        <is>
          <t>Not explicitly defined in the product source; requires accountable product approval before production sign-off.</t>
        </is>
      </c>
      <c r="P9" s="29" t="inlineStr"/>
      <c r="Q9" s="29" t="inlineStr">
        <is>
          <t>Yes</t>
        </is>
      </c>
      <c r="R9" s="29" t="inlineStr"/>
      <c r="S9" s="29" t="inlineStr">
        <is>
          <t>Not found</t>
        </is>
      </c>
      <c r="T9" s="29" t="inlineStr">
        <is>
          <t>Not found</t>
        </is>
      </c>
      <c r="U9" s="29" t="inlineStr">
        <is>
          <t>Not found</t>
        </is>
      </c>
      <c r="V9" s="29" t="inlineStr">
        <is>
          <t>Not found</t>
        </is>
      </c>
      <c r="W9" s="29" t="inlineStr">
        <is>
          <t>Not found</t>
        </is>
      </c>
      <c r="X9" s="29" t="inlineStr">
        <is>
          <t>Unknown</t>
        </is>
      </c>
      <c r="Y9" s="29" t="inlineStr">
        <is>
          <t>Not found</t>
        </is>
      </c>
      <c r="Z9" s="29" t="inlineStr">
        <is>
          <t>Not found</t>
        </is>
      </c>
      <c r="AA9" s="29" t="inlineStr">
        <is>
          <t>Not found</t>
        </is>
      </c>
      <c r="AB9" s="29" t="inlineStr">
        <is>
          <t>Unknown</t>
        </is>
      </c>
      <c r="AC9" s="29" t="inlineStr"/>
      <c r="AD9" s="29" t="inlineStr"/>
      <c r="AE9" s="29" t="inlineStr">
        <is>
          <t>Unknown</t>
        </is>
      </c>
      <c r="AF9" s="29" t="inlineStr"/>
      <c r="AG9" s="29" t="inlineStr">
        <is>
          <t>Not started</t>
        </is>
      </c>
      <c r="AH9" s="29" t="inlineStr">
        <is>
          <t>No</t>
        </is>
      </c>
      <c r="AI9" s="29" t="inlineStr">
        <is>
          <t>No single-reminder creation feature found. Searched for 'reminder', 'Reminder' across all source files - zero results.</t>
        </is>
      </c>
      <c r="AJ9" s="29" t="inlineStr">
        <is>
          <t>Not verified</t>
        </is>
      </c>
      <c r="AK9" s="29" t="inlineStr">
        <is>
          <t>EV-01-0005</t>
        </is>
      </c>
      <c r="AL9" s="29" t="inlineStr"/>
      <c r="AM9" s="29" t="inlineStr"/>
      <c r="AN9" s="29" t="inlineStr"/>
      <c r="AO9" s="29" t="inlineStr">
        <is>
          <t>8bc0dcb2a1da1b21368c5536aaeef829d587f316</t>
        </is>
      </c>
      <c r="AP9" s="29" t="inlineStr">
        <is>
          <t>Low</t>
        </is>
      </c>
      <c r="AQ9" s="29" t="inlineStr">
        <is>
          <t>Not assessed</t>
        </is>
      </c>
      <c r="AR9" s="29" t="inlineStr">
        <is>
          <t>Not assessed</t>
        </is>
      </c>
      <c r="AS9" s="29" t="inlineStr">
        <is>
          <t>Fail</t>
        </is>
      </c>
      <c r="AT9" s="29" t="inlineStr">
        <is>
          <t>Not assessed</t>
        </is>
      </c>
      <c r="AU9" s="29" t="inlineStr">
        <is>
          <t>Not assessed</t>
        </is>
      </c>
      <c r="AV9" s="29" t="inlineStr">
        <is>
          <t>Not assessed</t>
        </is>
      </c>
      <c r="AW9" s="29" t="inlineStr">
        <is>
          <t>Not assessed</t>
        </is>
      </c>
      <c r="AX9" s="29" t="inlineStr">
        <is>
          <t>Not assessed</t>
        </is>
      </c>
      <c r="AY9" s="29" t="inlineStr">
        <is>
          <t>Not assessed</t>
        </is>
      </c>
      <c r="AZ9" s="29" t="inlineStr">
        <is>
          <t>Not assessed</t>
        </is>
      </c>
      <c r="BA9" s="29" t="inlineStr">
        <is>
          <t>Not assessed</t>
        </is>
      </c>
      <c r="BB9" s="29" t="inlineStr">
        <is>
          <t>Not assessed</t>
        </is>
      </c>
      <c r="BC9" s="29" t="inlineStr">
        <is>
          <t>Not assessed</t>
        </is>
      </c>
      <c r="BD9" s="29" t="inlineStr">
        <is>
          <t>Not assessed</t>
        </is>
      </c>
      <c r="BE9" s="29" t="inlineStr">
        <is>
          <t>Development required</t>
        </is>
      </c>
      <c r="BF9" s="29" t="inlineStr">
        <is>
          <t>Physical implementation is not complete against the stated requirement.; No single-reminder creation feature found. Searched for 'reminder', 'Reminder' across all source files - zero results.</t>
        </is>
      </c>
      <c r="BG9" s="29" t="inlineStr">
        <is>
          <t>Search for reminder/scheduling feature under alternate identifiers; check Firebase Functions for scheduled notifications.</t>
        </is>
      </c>
      <c r="BH9" s="29" t="inlineStr"/>
      <c r="BI9" s="29" t="inlineStr"/>
      <c r="BJ9" s="29" t="inlineStr"/>
      <c r="BK9" s="29" t="inlineStr">
        <is>
          <t>Evidence reconciled against the reviewed source revision. No production approval is inferred from implementation or file presence.</t>
        </is>
      </c>
      <c r="BL9" s="29" t="inlineStr">
        <is>
          <t>2026-08-02</t>
        </is>
      </c>
    </row>
    <row r="10" ht="42" customHeight="1">
      <c r="A10" s="29" t="inlineStr">
        <is>
          <t>BLYP-01-009</t>
        </is>
      </c>
      <c r="B10" s="29" t="inlineStr"/>
      <c r="C10" s="29" t="inlineStr">
        <is>
          <t>BLYP Bar and AI-assisted posting</t>
        </is>
      </c>
      <c r="D10" s="29" t="n">
        <v>1</v>
      </c>
      <c r="E10" s="29" t="n">
        <v>9</v>
      </c>
      <c r="F10" s="29" t="inlineStr">
        <is>
          <t>Feature</t>
        </is>
      </c>
      <c r="G10" s="29" t="inlineStr">
        <is>
          <t>Multi-event reminder planning</t>
        </is>
      </c>
      <c r="H10" s="29" t="inlineStr">
        <is>
          <t>Multi-event reminder planning</t>
        </is>
      </c>
      <c r="I10" s="29" t="inlineStr">
        <is>
          <t>/home/ubuntu/blyp_product_requirements.md :: Section 1 — BLYP Bar and AI-assisted posting</t>
        </is>
      </c>
      <c r="J10" s="29" t="inlineStr">
        <is>
          <t>/home/ubuntu/BLYP_COMPLETE_FEATURE_LIST.md:24</t>
        </is>
      </c>
      <c r="K10" s="29" t="inlineStr">
        <is>
          <t>Required</t>
        </is>
      </c>
      <c r="L10" s="29" t="inlineStr">
        <is>
          <t>Applicable BLYP member</t>
        </is>
      </c>
      <c r="M10" s="29" t="inlineStr">
        <is>
          <t>BLYP mobile application and supporting production services</t>
        </is>
      </c>
      <c r="N10" s="29" t="inlineStr">
        <is>
          <t>Multi-event reminder planning</t>
        </is>
      </c>
      <c r="O10" s="29" t="inlineStr">
        <is>
          <t>Not explicitly defined in the product source; requires accountable product approval before production sign-off.</t>
        </is>
      </c>
      <c r="P10" s="29" t="inlineStr"/>
      <c r="Q10" s="29" t="inlineStr">
        <is>
          <t>Yes</t>
        </is>
      </c>
      <c r="R10" s="29" t="inlineStr"/>
      <c r="S10" s="29" t="inlineStr">
        <is>
          <t>Not found</t>
        </is>
      </c>
      <c r="T10" s="29" t="inlineStr">
        <is>
          <t>Not found</t>
        </is>
      </c>
      <c r="U10" s="29" t="inlineStr">
        <is>
          <t>Not found</t>
        </is>
      </c>
      <c r="V10" s="29" t="inlineStr">
        <is>
          <t>Not found</t>
        </is>
      </c>
      <c r="W10" s="29" t="inlineStr">
        <is>
          <t>Not found</t>
        </is>
      </c>
      <c r="X10" s="29" t="inlineStr">
        <is>
          <t>Unknown</t>
        </is>
      </c>
      <c r="Y10" s="29" t="inlineStr">
        <is>
          <t>Not found</t>
        </is>
      </c>
      <c r="Z10" s="29" t="inlineStr">
        <is>
          <t>Not found</t>
        </is>
      </c>
      <c r="AA10" s="29" t="inlineStr">
        <is>
          <t>Not found</t>
        </is>
      </c>
      <c r="AB10" s="29" t="inlineStr">
        <is>
          <t>Unknown</t>
        </is>
      </c>
      <c r="AC10" s="29" t="inlineStr"/>
      <c r="AD10" s="29" t="inlineStr"/>
      <c r="AE10" s="29" t="inlineStr">
        <is>
          <t>Unknown</t>
        </is>
      </c>
      <c r="AF10" s="29" t="inlineStr"/>
      <c r="AG10" s="29" t="inlineStr">
        <is>
          <t>Not started</t>
        </is>
      </c>
      <c r="AH10" s="29" t="inlineStr">
        <is>
          <t>No</t>
        </is>
      </c>
      <c r="AI10" s="29" t="inlineStr">
        <is>
          <t>No multi-event reminder planning feature found. Searched for 'reminder', 'Reminder', 'multi', 'planning' across all source files - zero results for reminder.</t>
        </is>
      </c>
      <c r="AJ10" s="29" t="inlineStr">
        <is>
          <t>Not verified</t>
        </is>
      </c>
      <c r="AK10" s="29" t="inlineStr">
        <is>
          <t>EV-01-0005</t>
        </is>
      </c>
      <c r="AL10" s="29" t="inlineStr"/>
      <c r="AM10" s="29" t="inlineStr"/>
      <c r="AN10" s="29" t="inlineStr"/>
      <c r="AO10" s="29" t="inlineStr">
        <is>
          <t>8bc0dcb2a1da1b21368c5536aaeef829d587f316</t>
        </is>
      </c>
      <c r="AP10" s="29" t="inlineStr">
        <is>
          <t>Low</t>
        </is>
      </c>
      <c r="AQ10" s="29" t="inlineStr">
        <is>
          <t>Not assessed</t>
        </is>
      </c>
      <c r="AR10" s="29" t="inlineStr">
        <is>
          <t>Not assessed</t>
        </is>
      </c>
      <c r="AS10" s="29" t="inlineStr">
        <is>
          <t>Fail</t>
        </is>
      </c>
      <c r="AT10" s="29" t="inlineStr">
        <is>
          <t>Not assessed</t>
        </is>
      </c>
      <c r="AU10" s="29" t="inlineStr">
        <is>
          <t>Not assessed</t>
        </is>
      </c>
      <c r="AV10" s="29" t="inlineStr">
        <is>
          <t>Not assessed</t>
        </is>
      </c>
      <c r="AW10" s="29" t="inlineStr">
        <is>
          <t>Not assessed</t>
        </is>
      </c>
      <c r="AX10" s="29" t="inlineStr">
        <is>
          <t>Not assessed</t>
        </is>
      </c>
      <c r="AY10" s="29" t="inlineStr">
        <is>
          <t>Not assessed</t>
        </is>
      </c>
      <c r="AZ10" s="29" t="inlineStr">
        <is>
          <t>Not assessed</t>
        </is>
      </c>
      <c r="BA10" s="29" t="inlineStr">
        <is>
          <t>Not assessed</t>
        </is>
      </c>
      <c r="BB10" s="29" t="inlineStr">
        <is>
          <t>Not assessed</t>
        </is>
      </c>
      <c r="BC10" s="29" t="inlineStr">
        <is>
          <t>Not assessed</t>
        </is>
      </c>
      <c r="BD10" s="29" t="inlineStr">
        <is>
          <t>Not assessed</t>
        </is>
      </c>
      <c r="BE10" s="29" t="inlineStr">
        <is>
          <t>Development required</t>
        </is>
      </c>
      <c r="BF10" s="29" t="inlineStr">
        <is>
          <t>Physical implementation is not complete against the stated requirement.; No multi-event reminder planning feature found. Searched for 'reminder', 'Reminder', 'multi', 'planning' across all source files - zero results for reminder.</t>
        </is>
      </c>
      <c r="BG10" s="29" t="inlineStr">
        <is>
          <t>Search for multi-event scheduling/reminder feature under alternate identifiers.</t>
        </is>
      </c>
      <c r="BH10" s="29" t="inlineStr"/>
      <c r="BI10" s="29" t="inlineStr"/>
      <c r="BJ10" s="29" t="inlineStr"/>
      <c r="BK10" s="29" t="inlineStr">
        <is>
          <t>Evidence reconciled against the reviewed source revision. No production approval is inferred from implementation or file presence.</t>
        </is>
      </c>
      <c r="BL10" s="29" t="inlineStr">
        <is>
          <t>2026-08-02</t>
        </is>
      </c>
    </row>
    <row r="11" ht="42" customHeight="1">
      <c r="A11" s="29" t="inlineStr">
        <is>
          <t>BLYP-01-010</t>
        </is>
      </c>
      <c r="B11" s="29" t="inlineStr"/>
      <c r="C11" s="29" t="inlineStr">
        <is>
          <t>BLYP Bar and AI-assisted posting</t>
        </is>
      </c>
      <c r="D11" s="29" t="n">
        <v>1</v>
      </c>
      <c r="E11" s="29" t="n">
        <v>10</v>
      </c>
      <c r="F11" s="29" t="inlineStr">
        <is>
          <t>Feature</t>
        </is>
      </c>
      <c r="G11" s="29" t="inlineStr">
        <is>
          <t>In-app content search from the BLYP Bar</t>
        </is>
      </c>
      <c r="H11" s="29" t="inlineStr">
        <is>
          <t>In-app content search from the BLYP Bar</t>
        </is>
      </c>
      <c r="I11" s="29" t="inlineStr">
        <is>
          <t>/home/ubuntu/blyp_product_requirements.md :: Section 1 — BLYP Bar and AI-assisted posting</t>
        </is>
      </c>
      <c r="J11" s="29" t="inlineStr">
        <is>
          <t>/home/ubuntu/BLYP_COMPLETE_FEATURE_LIST.md:25</t>
        </is>
      </c>
      <c r="K11" s="29" t="inlineStr">
        <is>
          <t>Required</t>
        </is>
      </c>
      <c r="L11" s="29" t="inlineStr">
        <is>
          <t>Applicable BLYP member</t>
        </is>
      </c>
      <c r="M11" s="29" t="inlineStr">
        <is>
          <t>BLYP mobile application and supporting production services</t>
        </is>
      </c>
      <c r="N11" s="29" t="inlineStr">
        <is>
          <t>In-app content search from the BLYP Bar</t>
        </is>
      </c>
      <c r="O11" s="29" t="inlineStr">
        <is>
          <t>Not explicitly defined in the product source; requires accountable product approval before production sign-off.</t>
        </is>
      </c>
      <c r="P11" s="29" t="inlineStr">
        <is>
          <t>Firestore (imported but mock data used); Firestore (imported but mock data used for posts); hardcoded suggestedUsers; Firebase config (src/config/firebase.js)</t>
        </is>
      </c>
      <c r="Q11" s="29" t="inlineStr">
        <is>
          <t>Yes</t>
        </is>
      </c>
      <c r="R11" s="29" t="inlineStr"/>
      <c r="S11" s="29" t="inlineStr">
        <is>
          <t>Partial</t>
        </is>
      </c>
      <c r="T11" s="29" t="inlineStr">
        <is>
          <t>App.js Stack.Screen name='Search' (line 199); SearchScreen.js</t>
        </is>
      </c>
      <c r="U11" s="29" t="inlineStr">
        <is>
          <t>SearchScreen.js; SearchResultsScreen.js</t>
        </is>
      </c>
      <c r="V11" s="29" t="inlineStr">
        <is>
          <t>searchService.globalSearch / searchUsers / searchPosts / searchHashtags / searchLocations</t>
        </is>
      </c>
      <c r="W11" s="29" t="inlineStr">
        <is>
          <t>Not found (client-side only; Firestore queries not fully wired)</t>
        </is>
      </c>
      <c r="X11" s="29" t="inlineStr">
        <is>
          <t>Firestore (imported but mock data used for posts); hardcoded suggestedUsers</t>
        </is>
      </c>
      <c r="Y11" s="29" t="inlineStr">
        <is>
          <t>Not found</t>
        </is>
      </c>
      <c r="Z11" s="29" t="inlineStr">
        <is>
          <t>Firestore (imported but mock data used)</t>
        </is>
      </c>
      <c r="AA11" s="29" t="inlineStr">
        <is>
          <t>Firebase config (src/config/firebase.js)</t>
        </is>
      </c>
      <c r="AB11" s="29" t="inlineStr">
        <is>
          <t>Expo mobile client</t>
        </is>
      </c>
      <c r="AC11" s="30" t="inlineStr">
        <is>
          <t>RP-002</t>
        </is>
      </c>
      <c r="AD11" s="29" t="inlineStr">
        <is>
          <t>User navigates to Search tab; SearchScreen calls searchService.globalSearch; searchService returns mock posts and filtered hardcoded users; no BLYP Bar integration found.</t>
        </is>
      </c>
      <c r="AE11" s="29" t="inlineStr">
        <is>
          <t>User reachable</t>
        </is>
      </c>
      <c r="AF11" s="29" t="inlineStr">
        <is>
          <t>App.js Stack.Screen name='Search' (line 199); SearchScreen.js; User navigates to Search tab; SearchScreen calls searchService.globalSearch; searchService returns mock posts and filtered hardcoded users; no BLYP Bar integration found.</t>
        </is>
      </c>
      <c r="AG11" s="29" t="inlineStr">
        <is>
          <t>Incomplete</t>
        </is>
      </c>
      <c r="AH11" s="29" t="inlineStr">
        <is>
          <t>No</t>
        </is>
      </c>
      <c r="AI11" s="29" t="inlineStr">
        <is>
          <t>searchPosts returns mock data (searchService.js:101-102). No BLYP Bar integration found. Search is not AI-powered. Firestore-backed live search not confirmed. No BLYP Bar entry point found.</t>
        </is>
      </c>
      <c r="AJ11" s="29" t="inlineStr">
        <is>
          <t>Source traced</t>
        </is>
      </c>
      <c r="AK11" s="29" t="inlineStr">
        <is>
          <t>EV-01-0006;EV-01-0007;EV-01-0037</t>
        </is>
      </c>
      <c r="AL11" s="29" t="inlineStr"/>
      <c r="AM11" s="29" t="inlineStr"/>
      <c r="AN11" s="29" t="inlineStr"/>
      <c r="AO11" s="29" t="inlineStr">
        <is>
          <t>8bc0dcb2a1da1b21368c5536aaeef829d587f316</t>
        </is>
      </c>
      <c r="AP11" s="29" t="inlineStr">
        <is>
          <t>Medium</t>
        </is>
      </c>
      <c r="AQ11" s="29" t="inlineStr">
        <is>
          <t>Not assessed</t>
        </is>
      </c>
      <c r="AR11" s="29" t="inlineStr">
        <is>
          <t>Not assessed</t>
        </is>
      </c>
      <c r="AS11" s="29" t="inlineStr">
        <is>
          <t>Fail</t>
        </is>
      </c>
      <c r="AT11" s="29" t="inlineStr">
        <is>
          <t>Not assessed</t>
        </is>
      </c>
      <c r="AU11" s="29" t="inlineStr">
        <is>
          <t>Not assessed</t>
        </is>
      </c>
      <c r="AV11" s="29" t="inlineStr">
        <is>
          <t>Not assessed</t>
        </is>
      </c>
      <c r="AW11" s="29" t="inlineStr">
        <is>
          <t>Not assessed</t>
        </is>
      </c>
      <c r="AX11" s="29" t="inlineStr">
        <is>
          <t>Not assessed</t>
        </is>
      </c>
      <c r="AY11" s="29" t="inlineStr">
        <is>
          <t>Not assessed</t>
        </is>
      </c>
      <c r="AZ11" s="29" t="inlineStr">
        <is>
          <t>Not assessed</t>
        </is>
      </c>
      <c r="BA11" s="29" t="inlineStr">
        <is>
          <t>Not assessed</t>
        </is>
      </c>
      <c r="BB11" s="29" t="inlineStr">
        <is>
          <t>Not assessed</t>
        </is>
      </c>
      <c r="BC11" s="29" t="inlineStr">
        <is>
          <t>Not assessed</t>
        </is>
      </c>
      <c r="BD11" s="29" t="inlineStr">
        <is>
          <t>Not assessed</t>
        </is>
      </c>
      <c r="BE11" s="29" t="inlineStr">
        <is>
          <t>Development required</t>
        </is>
      </c>
      <c r="BF11" s="29" t="inlineStr">
        <is>
          <t>Physical implementation is not complete against the stated requirement.; searchPosts returns mock data (searchService.js:101-102). No BLYP Bar integration found. Search is not AI-powered. Firestore-backed live search not confirmed. No BLYP Bar entry point found.</t>
        </is>
      </c>
      <c r="BG11" s="29" t="inlineStr">
        <is>
          <t>Confirm live Firestore search queries; confirm BLYP Bar integration if required; test on device.</t>
        </is>
      </c>
      <c r="BH11" s="29" t="inlineStr"/>
      <c r="BI11" s="29" t="inlineStr"/>
      <c r="BJ11" s="29" t="inlineStr"/>
      <c r="BK11" s="29" t="inlineStr">
        <is>
          <t>Evidence reconciled against the reviewed source revision. No production approval is inferred from implementation or file presence.</t>
        </is>
      </c>
      <c r="BL11" s="29" t="inlineStr">
        <is>
          <t>2026-08-02</t>
        </is>
      </c>
    </row>
    <row r="12" ht="42" customHeight="1">
      <c r="A12" s="29" t="inlineStr">
        <is>
          <t>BLYP-01-011</t>
        </is>
      </c>
      <c r="B12" s="29" t="inlineStr"/>
      <c r="C12" s="29" t="inlineStr">
        <is>
          <t>BLYP Bar and AI-assisted posting</t>
        </is>
      </c>
      <c r="D12" s="29" t="n">
        <v>1</v>
      </c>
      <c r="E12" s="29" t="n">
        <v>11</v>
      </c>
      <c r="F12" s="29" t="inlineStr">
        <is>
          <t>Feature</t>
        </is>
      </c>
      <c r="G12" s="29" t="inlineStr">
        <is>
          <t>Plus-gated Gemini answers</t>
        </is>
      </c>
      <c r="H12" s="29" t="inlineStr">
        <is>
          <t>Plus-gated Gemini answers</t>
        </is>
      </c>
      <c r="I12" s="29" t="inlineStr">
        <is>
          <t>/home/ubuntu/blyp_product_requirements.md :: Section 1 — BLYP Bar and AI-assisted posting</t>
        </is>
      </c>
      <c r="J12" s="29" t="inlineStr">
        <is>
          <t>/home/ubuntu/BLYP_COMPLETE_FEATURE_LIST.md:26</t>
        </is>
      </c>
      <c r="K12" s="29" t="inlineStr">
        <is>
          <t>Required</t>
        </is>
      </c>
      <c r="L12" s="29" t="inlineStr">
        <is>
          <t>Applicable BLYP member</t>
        </is>
      </c>
      <c r="M12" s="29" t="inlineStr">
        <is>
          <t>BLYP mobile application and supporting production services</t>
        </is>
      </c>
      <c r="N12" s="29" t="inlineStr">
        <is>
          <t>Plus-gated Gemini answers</t>
        </is>
      </c>
      <c r="O12" s="29" t="inlineStr">
        <is>
          <t>Not explicitly defined in the product source; requires accountable product approval before production sign-off.</t>
        </is>
      </c>
      <c r="P12" s="29" t="inlineStr"/>
      <c r="Q12" s="29" t="inlineStr">
        <is>
          <t>Yes</t>
        </is>
      </c>
      <c r="R12" s="29" t="inlineStr"/>
      <c r="S12" s="29" t="inlineStr">
        <is>
          <t>Not found</t>
        </is>
      </c>
      <c r="T12" s="29" t="inlineStr">
        <is>
          <t>Not found</t>
        </is>
      </c>
      <c r="U12" s="29" t="inlineStr">
        <is>
          <t>Not found</t>
        </is>
      </c>
      <c r="V12" s="29" t="inlineStr">
        <is>
          <t>Not found</t>
        </is>
      </c>
      <c r="W12" s="29" t="inlineStr">
        <is>
          <t>Not found</t>
        </is>
      </c>
      <c r="X12" s="29" t="inlineStr">
        <is>
          <t>Unknown</t>
        </is>
      </c>
      <c r="Y12" s="29" t="inlineStr">
        <is>
          <t>Not found</t>
        </is>
      </c>
      <c r="Z12" s="29" t="inlineStr">
        <is>
          <t>Not found</t>
        </is>
      </c>
      <c r="AA12" s="29" t="inlineStr">
        <is>
          <t>Not found</t>
        </is>
      </c>
      <c r="AB12" s="29" t="inlineStr">
        <is>
          <t>Unknown</t>
        </is>
      </c>
      <c r="AC12" s="29" t="inlineStr"/>
      <c r="AD12" s="29" t="inlineStr"/>
      <c r="AE12" s="29" t="inlineStr">
        <is>
          <t>Unknown</t>
        </is>
      </c>
      <c r="AF12" s="29" t="inlineStr"/>
      <c r="AG12" s="29" t="inlineStr">
        <is>
          <t>Not started</t>
        </is>
      </c>
      <c r="AH12" s="29" t="inlineStr">
        <is>
          <t>No</t>
        </is>
      </c>
      <c r="AI12" s="29" t="inlineStr">
        <is>
          <t>No Plus-gated Gemini answers feature found. Searched for 'plus', 'Plus', 'premium', 'subscription', 'entitlement', 'gated' across all source files - zero results. No subscription tier or entitlement check for Gemini was found.</t>
        </is>
      </c>
      <c r="AJ12" s="29" t="inlineStr">
        <is>
          <t>Not verified</t>
        </is>
      </c>
      <c r="AK12" s="29" t="inlineStr">
        <is>
          <t>EV-01-0008</t>
        </is>
      </c>
      <c r="AL12" s="29" t="inlineStr"/>
      <c r="AM12" s="29" t="inlineStr"/>
      <c r="AN12" s="29" t="inlineStr"/>
      <c r="AO12" s="29" t="inlineStr">
        <is>
          <t>8bc0dcb2a1da1b21368c5536aaeef829d587f316</t>
        </is>
      </c>
      <c r="AP12" s="29" t="inlineStr">
        <is>
          <t>Low</t>
        </is>
      </c>
      <c r="AQ12" s="29" t="inlineStr">
        <is>
          <t>Not assessed</t>
        </is>
      </c>
      <c r="AR12" s="29" t="inlineStr">
        <is>
          <t>Not assessed</t>
        </is>
      </c>
      <c r="AS12" s="29" t="inlineStr">
        <is>
          <t>Fail</t>
        </is>
      </c>
      <c r="AT12" s="29" t="inlineStr">
        <is>
          <t>Not assessed</t>
        </is>
      </c>
      <c r="AU12" s="29" t="inlineStr">
        <is>
          <t>Not assessed</t>
        </is>
      </c>
      <c r="AV12" s="29" t="inlineStr">
        <is>
          <t>Not assessed</t>
        </is>
      </c>
      <c r="AW12" s="29" t="inlineStr">
        <is>
          <t>Not assessed</t>
        </is>
      </c>
      <c r="AX12" s="29" t="inlineStr">
        <is>
          <t>Not assessed</t>
        </is>
      </c>
      <c r="AY12" s="29" t="inlineStr">
        <is>
          <t>Not assessed</t>
        </is>
      </c>
      <c r="AZ12" s="29" t="inlineStr">
        <is>
          <t>Not assessed</t>
        </is>
      </c>
      <c r="BA12" s="29" t="inlineStr">
        <is>
          <t>Not assessed</t>
        </is>
      </c>
      <c r="BB12" s="29" t="inlineStr">
        <is>
          <t>Not assessed</t>
        </is>
      </c>
      <c r="BC12" s="29" t="inlineStr">
        <is>
          <t>Not assessed</t>
        </is>
      </c>
      <c r="BD12" s="29" t="inlineStr">
        <is>
          <t>Not assessed</t>
        </is>
      </c>
      <c r="BE12" s="29" t="inlineStr">
        <is>
          <t>Development required</t>
        </is>
      </c>
      <c r="BF12" s="29" t="inlineStr">
        <is>
          <t>Physical implementation is not complete against the stated requirement.; No Plus-gated Gemini answers feature found. Searched for 'plus', 'Plus', 'premium', 'subscription', 'entitlement', 'gated' across all source files - zero results. No subscription tier or entitlement check for Gemini was found.</t>
        </is>
      </c>
      <c r="BG12" s="29" t="inlineStr">
        <is>
          <t>Search for subscription/entitlement service; check backend routes for Plus tier; check Firestore for user subscription documents.</t>
        </is>
      </c>
      <c r="BH12" s="29" t="inlineStr"/>
      <c r="BI12" s="29" t="inlineStr"/>
      <c r="BJ12" s="29" t="inlineStr"/>
      <c r="BK12" s="29" t="inlineStr">
        <is>
          <t>Evidence reconciled against the reviewed source revision. No production approval is inferred from implementation or file presence.</t>
        </is>
      </c>
      <c r="BL12" s="29" t="inlineStr">
        <is>
          <t>2026-08-02</t>
        </is>
      </c>
    </row>
    <row r="13" ht="42" customHeight="1">
      <c r="A13" s="29" t="inlineStr">
        <is>
          <t>BLYP-01-012</t>
        </is>
      </c>
      <c r="B13" s="29" t="inlineStr"/>
      <c r="C13" s="29" t="inlineStr">
        <is>
          <t>BLYP Bar and AI-assisted posting</t>
        </is>
      </c>
      <c r="D13" s="29" t="n">
        <v>1</v>
      </c>
      <c r="E13" s="29" t="n">
        <v>12</v>
      </c>
      <c r="F13" s="29" t="inlineStr">
        <is>
          <t>Feature</t>
        </is>
      </c>
      <c r="G13" s="29" t="inlineStr">
        <is>
          <t>Generic autonomous action execution</t>
        </is>
      </c>
      <c r="H13" s="29" t="inlineStr">
        <is>
          <t>Generic autonomous action execution</t>
        </is>
      </c>
      <c r="I13" s="29" t="inlineStr">
        <is>
          <t>/home/ubuntu/blyp_product_requirements.md :: Section 1 — BLYP Bar and AI-assisted posting</t>
        </is>
      </c>
      <c r="J13" s="29" t="inlineStr">
        <is>
          <t>/home/ubuntu/BLYP_COMPLETE_FEATURE_LIST.md:27</t>
        </is>
      </c>
      <c r="K13" s="29" t="inlineStr">
        <is>
          <t>Required</t>
        </is>
      </c>
      <c r="L13" s="29" t="inlineStr">
        <is>
          <t>Applicable BLYP member</t>
        </is>
      </c>
      <c r="M13" s="29" t="inlineStr">
        <is>
          <t>BLYP mobile application and supporting production services</t>
        </is>
      </c>
      <c r="N13" s="29" t="inlineStr">
        <is>
          <t>Generic autonomous action execution</t>
        </is>
      </c>
      <c r="O13" s="29" t="inlineStr">
        <is>
          <t>Not explicitly defined in the product source; requires accountable product approval before production sign-off.</t>
        </is>
      </c>
      <c r="P13" s="29" t="inlineStr"/>
      <c r="Q13" s="29" t="inlineStr">
        <is>
          <t>No evidence</t>
        </is>
      </c>
      <c r="R13" s="29" t="inlineStr"/>
      <c r="S13" s="29" t="inlineStr">
        <is>
          <t>Not found</t>
        </is>
      </c>
      <c r="T13" s="29" t="inlineStr">
        <is>
          <t>Not found</t>
        </is>
      </c>
      <c r="U13" s="29" t="inlineStr">
        <is>
          <t>Not found</t>
        </is>
      </c>
      <c r="V13" s="29" t="inlineStr">
        <is>
          <t>Not found</t>
        </is>
      </c>
      <c r="W13" s="29" t="inlineStr">
        <is>
          <t>Not found</t>
        </is>
      </c>
      <c r="X13" s="29" t="inlineStr">
        <is>
          <t>Unknown</t>
        </is>
      </c>
      <c r="Y13" s="29" t="inlineStr">
        <is>
          <t>Not found</t>
        </is>
      </c>
      <c r="Z13" s="29" t="inlineStr">
        <is>
          <t>Not found</t>
        </is>
      </c>
      <c r="AA13" s="29" t="inlineStr">
        <is>
          <t>Not found</t>
        </is>
      </c>
      <c r="AB13" s="29" t="inlineStr">
        <is>
          <t>Unknown</t>
        </is>
      </c>
      <c r="AC13" s="29" t="inlineStr"/>
      <c r="AD13" s="29" t="inlineStr"/>
      <c r="AE13" s="29" t="inlineStr">
        <is>
          <t>Unknown</t>
        </is>
      </c>
      <c r="AF13" s="29" t="inlineStr"/>
      <c r="AG13" s="29" t="inlineStr">
        <is>
          <t>Not started</t>
        </is>
      </c>
      <c r="AH13" s="29" t="inlineStr">
        <is>
          <t>No</t>
        </is>
      </c>
      <c r="AI13" s="29" t="inlineStr">
        <is>
          <t>No generic autonomous action execution framework found. Searched for 'autonomous', 'Autonomous', 'action execution', 'generic action' across all source files - zero results.</t>
        </is>
      </c>
      <c r="AJ13" s="29" t="inlineStr">
        <is>
          <t>Not verified</t>
        </is>
      </c>
      <c r="AK13" s="29" t="inlineStr">
        <is>
          <t>EV-01-0009</t>
        </is>
      </c>
      <c r="AL13" s="29" t="inlineStr"/>
      <c r="AM13" s="29" t="inlineStr"/>
      <c r="AN13" s="29" t="inlineStr"/>
      <c r="AO13" s="29" t="inlineStr">
        <is>
          <t>8bc0dcb2a1da1b21368c5536aaeef829d587f316</t>
        </is>
      </c>
      <c r="AP13" s="29" t="inlineStr">
        <is>
          <t>Low</t>
        </is>
      </c>
      <c r="AQ13" s="29" t="inlineStr">
        <is>
          <t>Not assessed</t>
        </is>
      </c>
      <c r="AR13" s="29" t="inlineStr">
        <is>
          <t>Not assessed</t>
        </is>
      </c>
      <c r="AS13" s="29" t="inlineStr">
        <is>
          <t>Fail</t>
        </is>
      </c>
      <c r="AT13" s="29" t="inlineStr">
        <is>
          <t>Not assessed</t>
        </is>
      </c>
      <c r="AU13" s="29" t="inlineStr">
        <is>
          <t>Not assessed</t>
        </is>
      </c>
      <c r="AV13" s="29" t="inlineStr">
        <is>
          <t>Not assessed</t>
        </is>
      </c>
      <c r="AW13" s="29" t="inlineStr">
        <is>
          <t>Not assessed</t>
        </is>
      </c>
      <c r="AX13" s="29" t="inlineStr">
        <is>
          <t>Not assessed</t>
        </is>
      </c>
      <c r="AY13" s="29" t="inlineStr">
        <is>
          <t>Not assessed</t>
        </is>
      </c>
      <c r="AZ13" s="29" t="inlineStr">
        <is>
          <t>Not assessed</t>
        </is>
      </c>
      <c r="BA13" s="29" t="inlineStr">
        <is>
          <t>Not assessed</t>
        </is>
      </c>
      <c r="BB13" s="29" t="inlineStr">
        <is>
          <t>Not assessed</t>
        </is>
      </c>
      <c r="BC13" s="29" t="inlineStr">
        <is>
          <t>Not assessed</t>
        </is>
      </c>
      <c r="BD13" s="29" t="inlineStr">
        <is>
          <t>Not assessed</t>
        </is>
      </c>
      <c r="BE13" s="29" t="inlineStr">
        <is>
          <t>Development required</t>
        </is>
      </c>
      <c r="BF13" s="29" t="inlineStr">
        <is>
          <t>Physical implementation is not complete against the stated requirement.; No generic autonomous action execution framework found. Searched for 'autonomous', 'Autonomous', 'action execution', 'generic action' across all source files - zero results.</t>
        </is>
      </c>
      <c r="BG13" s="29" t="inlineStr">
        <is>
          <t>Identify BLYP Bar dispatcher; search for action-execution framework within it.</t>
        </is>
      </c>
      <c r="BH13" s="29" t="inlineStr"/>
      <c r="BI13" s="29" t="inlineStr"/>
      <c r="BJ13" s="29" t="inlineStr"/>
      <c r="BK13" s="29" t="inlineStr">
        <is>
          <t>Evidence reconciled against the reviewed source revision. No production approval is inferred from implementation or file presence.</t>
        </is>
      </c>
      <c r="BL13" s="29" t="inlineStr">
        <is>
          <t>2026-08-02</t>
        </is>
      </c>
    </row>
    <row r="14" ht="42" customHeight="1">
      <c r="A14" s="29" t="inlineStr">
        <is>
          <t>BLYP-01-013</t>
        </is>
      </c>
      <c r="B14" s="29" t="inlineStr"/>
      <c r="C14" s="29" t="inlineStr">
        <is>
          <t>BLYP Bar and AI-assisted posting</t>
        </is>
      </c>
      <c r="D14" s="29" t="n">
        <v>1</v>
      </c>
      <c r="E14" s="29" t="n">
        <v>13</v>
      </c>
      <c r="F14" s="29" t="inlineStr">
        <is>
          <t>Feature</t>
        </is>
      </c>
      <c r="G14" s="29" t="inlineStr">
        <is>
          <t>AI assistant integrated into the post composer</t>
        </is>
      </c>
      <c r="H14" s="29" t="inlineStr">
        <is>
          <t>AI assistant integrated into the post composer</t>
        </is>
      </c>
      <c r="I14" s="29" t="inlineStr">
        <is>
          <t>/home/ubuntu/blyp_product_requirements.md :: Section 1 — BLYP Bar and AI-assisted posting</t>
        </is>
      </c>
      <c r="J14" s="29" t="inlineStr">
        <is>
          <t>/home/ubuntu/BLYP_COMPLETE_FEATURE_LIST.md:28</t>
        </is>
      </c>
      <c r="K14" s="29" t="inlineStr">
        <is>
          <t>Required</t>
        </is>
      </c>
      <c r="L14" s="29" t="inlineStr">
        <is>
          <t>Applicable BLYP member</t>
        </is>
      </c>
      <c r="M14" s="29" t="inlineStr">
        <is>
          <t>BLYP mobile application and supporting production services</t>
        </is>
      </c>
      <c r="N14" s="29" t="inlineStr">
        <is>
          <t>AI assistant integrated into the post composer</t>
        </is>
      </c>
      <c r="O14" s="29" t="inlineStr">
        <is>
          <t>Not explicitly defined in the product source; requires accountable product approval before production sign-off.</t>
        </is>
      </c>
      <c r="P14" s="29" t="inlineStr">
        <is>
          <t>Gemini API (generativelanguage.googleapis.com) via client-side key; Firestore posts collection (post creation); Firebase Storage (media upload); EXPO_PUBLIC_GEMINI_API_KEY (app.config.js:8-19); camera/microphone permissions (app.config.js:44-62)</t>
        </is>
      </c>
      <c r="Q14" s="29" t="inlineStr">
        <is>
          <t>Yes</t>
        </is>
      </c>
      <c r="R14" s="29" t="inlineStr"/>
      <c r="S14" s="29" t="inlineStr">
        <is>
          <t>Partial</t>
        </is>
      </c>
      <c r="T14" s="29" t="inlineStr">
        <is>
          <t>App.js Stack.Screen name='Review' (line 214); CameraScreen navigates to Review; VoiceMemoScreen navigates to Review</t>
        </is>
      </c>
      <c r="U14" s="29" t="inlineStr">
        <is>
          <t>ReviewScreen.js</t>
        </is>
      </c>
      <c r="V14" s="29" t="inlineStr">
        <is>
          <t>aiService; speechToTextService; geminiSpeechService; mediaDescriptionService; isGeneratingContent; aiSuggestions; aiCaption state</t>
        </is>
      </c>
      <c r="W14" s="29" t="inlineStr">
        <is>
          <t>Not found (direct client-to-Gemini API calls)</t>
        </is>
      </c>
      <c r="X14" s="29" t="inlineStr">
        <is>
          <t>Firestore posts collection (post creation); Firebase Storage (media upload)</t>
        </is>
      </c>
      <c r="Y14" s="29" t="inlineStr">
        <is>
          <t>Not found</t>
        </is>
      </c>
      <c r="Z14" s="29" t="inlineStr">
        <is>
          <t>Gemini API (generativelanguage.googleapis.com) via client-side key</t>
        </is>
      </c>
      <c r="AA14" s="29" t="inlineStr">
        <is>
          <t>EXPO_PUBLIC_GEMINI_API_KEY (app.config.js:8-19); camera/microphone permissions (app.config.js:44-62)</t>
        </is>
      </c>
      <c r="AB14" s="29" t="inlineStr">
        <is>
          <t>Expo mobile client</t>
        </is>
      </c>
      <c r="AC14" s="30" t="inlineStr">
        <is>
          <t>RP-002</t>
        </is>
      </c>
      <c r="AD14" s="29" t="inlineStr">
        <is>
          <t>User navigates to Camera/VoiceMemo, captures media, lands on ReviewScreen. ReviewScreen provides AI-assisted caption generation via Gemini API. No separate composer screen found; ReviewScreen IS the composer.</t>
        </is>
      </c>
      <c r="AE14" s="29" t="inlineStr">
        <is>
          <t>User reachable</t>
        </is>
      </c>
      <c r="AF14" s="29" t="inlineStr">
        <is>
          <t>App.js Stack.Screen name='Review' (line 214); CameraScreen navigates to Review; VoiceMemoScreen navigates to Review; User navigates to Camera/VoiceMemo, captures media, lands on ReviewScreen. ReviewScreen provides AI-assisted caption generation via Gemini API. No separate composer screen found; ReviewScreen IS the composer.</t>
        </is>
      </c>
      <c r="AG14" s="29" t="inlineStr">
        <is>
          <t>Incomplete</t>
        </is>
      </c>
      <c r="AH14" s="29" t="inlineStr">
        <is>
          <t>No</t>
        </is>
      </c>
      <c r="AI14" s="29" t="inlineStr">
        <is>
          <t>No dedicated 'composer' screen separate from ReviewScreen. AI calls go directly to Gemini API from client (not server-proxied). No BLYP Bar integration found. No Plus/entitlement gating. Three distinct caption choices not implemented.</t>
        </is>
      </c>
      <c r="AJ14" s="29" t="inlineStr">
        <is>
          <t>Source traced</t>
        </is>
      </c>
      <c r="AK14" s="29" t="inlineStr">
        <is>
          <t>EV-01-0010;EV-01-0033</t>
        </is>
      </c>
      <c r="AL14" s="29" t="inlineStr"/>
      <c r="AM14" s="29" t="inlineStr"/>
      <c r="AN14" s="29" t="inlineStr"/>
      <c r="AO14" s="29" t="inlineStr">
        <is>
          <t>8bc0dcb2a1da1b21368c5536aaeef829d587f316</t>
        </is>
      </c>
      <c r="AP14" s="29" t="inlineStr">
        <is>
          <t>Medium</t>
        </is>
      </c>
      <c r="AQ14" s="29" t="inlineStr">
        <is>
          <t>Not assessed</t>
        </is>
      </c>
      <c r="AR14" s="29" t="inlineStr">
        <is>
          <t>Not assessed</t>
        </is>
      </c>
      <c r="AS14" s="29" t="inlineStr">
        <is>
          <t>Fail</t>
        </is>
      </c>
      <c r="AT14" s="29" t="inlineStr">
        <is>
          <t>Not assessed</t>
        </is>
      </c>
      <c r="AU14" s="29" t="inlineStr">
        <is>
          <t>Not assessed</t>
        </is>
      </c>
      <c r="AV14" s="29" t="inlineStr">
        <is>
          <t>Not assessed</t>
        </is>
      </c>
      <c r="AW14" s="29" t="inlineStr">
        <is>
          <t>Not assessed</t>
        </is>
      </c>
      <c r="AX14" s="29" t="inlineStr">
        <is>
          <t>Not assessed</t>
        </is>
      </c>
      <c r="AY14" s="29" t="inlineStr">
        <is>
          <t>Not assessed</t>
        </is>
      </c>
      <c r="AZ14" s="29" t="inlineStr">
        <is>
          <t>Not assessed</t>
        </is>
      </c>
      <c r="BA14" s="29" t="inlineStr">
        <is>
          <t>Not assessed</t>
        </is>
      </c>
      <c r="BB14" s="29" t="inlineStr">
        <is>
          <t>Not assessed</t>
        </is>
      </c>
      <c r="BC14" s="29" t="inlineStr">
        <is>
          <t>Not assessed</t>
        </is>
      </c>
      <c r="BD14" s="29" t="inlineStr">
        <is>
          <t>Not assessed</t>
        </is>
      </c>
      <c r="BE14" s="29" t="inlineStr">
        <is>
          <t>Development required</t>
        </is>
      </c>
      <c r="BF14" s="29" t="inlineStr">
        <is>
          <t>Physical implementation is not complete against the stated requirement.; No dedicated 'composer' screen separate from ReviewScreen. AI calls go directly to Gemini API from client (not server-proxied). No BLYP Bar integration found. No Plus/entitlement gating. Three distinct caption choices not implemented.</t>
        </is>
      </c>
      <c r="BG14" s="29" t="inlineStr">
        <is>
          <t>Confirm Gemini API key availability in production build; test AI generation on device; confirm BLYP Bar integration if required.</t>
        </is>
      </c>
      <c r="BH14" s="29" t="inlineStr"/>
      <c r="BI14" s="29" t="inlineStr"/>
      <c r="BJ14" s="29" t="inlineStr"/>
      <c r="BK14" s="29" t="inlineStr">
        <is>
          <t>Evidence reconciled against the reviewed source revision. No production approval is inferred from implementation or file presence.</t>
        </is>
      </c>
      <c r="BL14" s="29" t="inlineStr">
        <is>
          <t>2026-08-02</t>
        </is>
      </c>
    </row>
    <row r="15" ht="42" customHeight="1">
      <c r="A15" s="29" t="inlineStr">
        <is>
          <t>BLYP-01-014</t>
        </is>
      </c>
      <c r="B15" s="29" t="inlineStr"/>
      <c r="C15" s="29" t="inlineStr">
        <is>
          <t>BLYP Bar and AI-assisted posting</t>
        </is>
      </c>
      <c r="D15" s="29" t="n">
        <v>1</v>
      </c>
      <c r="E15" s="29" t="n">
        <v>14</v>
      </c>
      <c r="F15" s="29" t="inlineStr">
        <is>
          <t>Feature</t>
        </is>
      </c>
      <c r="G15" s="29" t="inlineStr">
        <is>
          <t>Photo capture</t>
        </is>
      </c>
      <c r="H15" s="29" t="inlineStr">
        <is>
          <t>Photo capture</t>
        </is>
      </c>
      <c r="I15" s="29" t="inlineStr">
        <is>
          <t>/home/ubuntu/blyp_product_requirements.md :: Section 1 — BLYP Bar and AI-assisted posting</t>
        </is>
      </c>
      <c r="J15" s="29" t="inlineStr">
        <is>
          <t>/home/ubuntu/BLYP_COMPLETE_FEATURE_LIST.md:29</t>
        </is>
      </c>
      <c r="K15" s="29" t="inlineStr">
        <is>
          <t>Required</t>
        </is>
      </c>
      <c r="L15" s="29" t="inlineStr">
        <is>
          <t>Applicable BLYP member</t>
        </is>
      </c>
      <c r="M15" s="29" t="inlineStr">
        <is>
          <t>BLYP mobile application and supporting production services</t>
        </is>
      </c>
      <c r="N15" s="29" t="inlineStr">
        <is>
          <t>Photo capture</t>
        </is>
      </c>
      <c r="O15" s="29" t="inlineStr">
        <is>
          <t>Not explicitly defined in the product source; requires accountable product approval before production sign-off.</t>
        </is>
      </c>
      <c r="P15" s="29" t="inlineStr">
        <is>
          <t>Device media library (save); Firebase Storage (upload via ReviewScreen); NSCameraUsageDescription; android.permission.CAMERA (app.config.js:44, 56)</t>
        </is>
      </c>
      <c r="Q15" s="29" t="inlineStr">
        <is>
          <t>Yes</t>
        </is>
      </c>
      <c r="R15" s="29" t="inlineStr"/>
      <c r="S15" s="29" t="inlineStr">
        <is>
          <t>Partial</t>
        </is>
      </c>
      <c r="T15" s="29" t="inlineStr">
        <is>
          <t>App.js Stack.Screen name='Camera' (line 209); CameraScreen.js</t>
        </is>
      </c>
      <c r="U15" s="29" t="inlineStr">
        <is>
          <t>CameraScreen.js; CameraView (expo-camera)</t>
        </is>
      </c>
      <c r="V15" s="29" t="inlineStr">
        <is>
          <t>capturedPhotos; CameraView.takePictureAsync; MediaLibrary.saveToLibraryAsync</t>
        </is>
      </c>
      <c r="W15" s="29" t="inlineStr">
        <is>
          <t>Not found</t>
        </is>
      </c>
      <c r="X15" s="29" t="inlineStr">
        <is>
          <t>Device media library (save); Firebase Storage (upload via ReviewScreen)</t>
        </is>
      </c>
      <c r="Y15" s="29" t="inlineStr">
        <is>
          <t>Not found</t>
        </is>
      </c>
      <c r="Z15" s="29" t="inlineStr">
        <is>
          <t>Not found</t>
        </is>
      </c>
      <c r="AA15" s="29" t="inlineStr">
        <is>
          <t>NSCameraUsageDescription; android.permission.CAMERA (app.config.js:44, 56)</t>
        </is>
      </c>
      <c r="AB15" s="29" t="inlineStr">
        <is>
          <t>Expo mobile client</t>
        </is>
      </c>
      <c r="AC15" s="30" t="inlineStr">
        <is>
          <t>RP-002</t>
        </is>
      </c>
      <c r="AD15" s="29" t="inlineStr">
        <is>
          <t>User opens Camera screen, takes photo, photo is added to capturedPhotos array, navigates to Review screen with photos.</t>
        </is>
      </c>
      <c r="AE15" s="29" t="inlineStr">
        <is>
          <t>User reachable</t>
        </is>
      </c>
      <c r="AF15" s="29" t="inlineStr">
        <is>
          <t>App.js Stack.Screen name='Camera' (line 209); CameraScreen.js; User opens Camera screen, takes photo, photo is added to capturedPhotos array, navigates to Review screen with photos.</t>
        </is>
      </c>
      <c r="AG15" s="29" t="inlineStr">
        <is>
          <t>Incomplete</t>
        </is>
      </c>
      <c r="AH15" s="29" t="inlineStr">
        <is>
          <t>No</t>
        </is>
      </c>
      <c r="AI15" s="29" t="inlineStr">
        <is>
          <t>Physical device camera not verified. Emulator detection present (CameraScreen.js:45-55). Production build not verified.</t>
        </is>
      </c>
      <c r="AJ15" s="29" t="inlineStr">
        <is>
          <t>Source traced</t>
        </is>
      </c>
      <c r="AK15" s="29" t="inlineStr">
        <is>
          <t>EV-01-0011;EV-01-0034;EV-01-0039</t>
        </is>
      </c>
      <c r="AL15" s="29" t="inlineStr"/>
      <c r="AM15" s="29" t="inlineStr"/>
      <c r="AN15" s="29" t="inlineStr"/>
      <c r="AO15" s="29" t="inlineStr">
        <is>
          <t>8bc0dcb2a1da1b21368c5536aaeef829d587f316</t>
        </is>
      </c>
      <c r="AP15" s="29" t="inlineStr">
        <is>
          <t>Medium</t>
        </is>
      </c>
      <c r="AQ15" s="29" t="inlineStr">
        <is>
          <t>Not assessed</t>
        </is>
      </c>
      <c r="AR15" s="29" t="inlineStr">
        <is>
          <t>Not assessed</t>
        </is>
      </c>
      <c r="AS15" s="29" t="inlineStr">
        <is>
          <t>Fail</t>
        </is>
      </c>
      <c r="AT15" s="29" t="inlineStr">
        <is>
          <t>Not assessed</t>
        </is>
      </c>
      <c r="AU15" s="29" t="inlineStr">
        <is>
          <t>Not assessed</t>
        </is>
      </c>
      <c r="AV15" s="29" t="inlineStr">
        <is>
          <t>Not assessed</t>
        </is>
      </c>
      <c r="AW15" s="29" t="inlineStr">
        <is>
          <t>Not assessed</t>
        </is>
      </c>
      <c r="AX15" s="29" t="inlineStr">
        <is>
          <t>Not assessed</t>
        </is>
      </c>
      <c r="AY15" s="29" t="inlineStr">
        <is>
          <t>Not assessed</t>
        </is>
      </c>
      <c r="AZ15" s="29" t="inlineStr">
        <is>
          <t>Not assessed</t>
        </is>
      </c>
      <c r="BA15" s="29" t="inlineStr">
        <is>
          <t>Not assessed</t>
        </is>
      </c>
      <c r="BB15" s="29" t="inlineStr">
        <is>
          <t>Not assessed</t>
        </is>
      </c>
      <c r="BC15" s="29" t="inlineStr">
        <is>
          <t>Not assessed</t>
        </is>
      </c>
      <c r="BD15" s="29" t="inlineStr">
        <is>
          <t>Not assessed</t>
        </is>
      </c>
      <c r="BE15" s="29" t="inlineStr">
        <is>
          <t>Development required</t>
        </is>
      </c>
      <c r="BF15" s="29" t="inlineStr">
        <is>
          <t>Physical implementation is not complete against the stated requirement.; Physical device camera not verified. Emulator detection present (CameraScreen.js:45-55). Production build not verified.</t>
        </is>
      </c>
      <c r="BG15" s="29" t="inlineStr">
        <is>
          <t>Test photo capture on physical device; verify production build.</t>
        </is>
      </c>
      <c r="BH15" s="29" t="inlineStr"/>
      <c r="BI15" s="29" t="inlineStr"/>
      <c r="BJ15" s="29" t="inlineStr"/>
      <c r="BK15" s="29" t="inlineStr">
        <is>
          <t>Evidence reconciled against the reviewed source revision. No production approval is inferred from implementation or file presence.</t>
        </is>
      </c>
      <c r="BL15" s="29" t="inlineStr">
        <is>
          <t>2026-08-02</t>
        </is>
      </c>
    </row>
    <row r="16" ht="42" customHeight="1">
      <c r="A16" s="29" t="inlineStr">
        <is>
          <t>BLYP-01-015</t>
        </is>
      </c>
      <c r="B16" s="29" t="inlineStr"/>
      <c r="C16" s="29" t="inlineStr">
        <is>
          <t>BLYP Bar and AI-assisted posting</t>
        </is>
      </c>
      <c r="D16" s="29" t="n">
        <v>1</v>
      </c>
      <c r="E16" s="29" t="n">
        <v>15</v>
      </c>
      <c r="F16" s="29" t="inlineStr">
        <is>
          <t>Feature</t>
        </is>
      </c>
      <c r="G16" s="29" t="inlineStr">
        <is>
          <t>Video recording</t>
        </is>
      </c>
      <c r="H16" s="29" t="inlineStr">
        <is>
          <t>Video recording</t>
        </is>
      </c>
      <c r="I16" s="29" t="inlineStr">
        <is>
          <t>/home/ubuntu/blyp_product_requirements.md :: Section 1 — BLYP Bar and AI-assisted posting</t>
        </is>
      </c>
      <c r="J16" s="29" t="inlineStr">
        <is>
          <t>/home/ubuntu/BLYP_COMPLETE_FEATURE_LIST.md:30</t>
        </is>
      </c>
      <c r="K16" s="29" t="inlineStr">
        <is>
          <t>Required</t>
        </is>
      </c>
      <c r="L16" s="29" t="inlineStr">
        <is>
          <t>Applicable BLYP member</t>
        </is>
      </c>
      <c r="M16" s="29" t="inlineStr">
        <is>
          <t>BLYP mobile application and supporting production services</t>
        </is>
      </c>
      <c r="N16" s="29" t="inlineStr">
        <is>
          <t>Video recording</t>
        </is>
      </c>
      <c r="O16" s="29" t="inlineStr">
        <is>
          <t>Not explicitly defined in the product source; requires accountable product approval before production sign-off.</t>
        </is>
      </c>
      <c r="P16" s="29" t="inlineStr">
        <is>
          <t>Device media library (save); Firebase Storage (upload via ReviewScreen); NSMicrophoneUsageDescription; android.permission.RECORD_AUDIO; android.permission.CAMERA (app.config.js:45, 57-58)</t>
        </is>
      </c>
      <c r="Q16" s="29" t="inlineStr">
        <is>
          <t>Yes</t>
        </is>
      </c>
      <c r="R16" s="29" t="inlineStr"/>
      <c r="S16" s="29" t="inlineStr">
        <is>
          <t>Partial</t>
        </is>
      </c>
      <c r="T16" s="29" t="inlineStr">
        <is>
          <t>App.js Stack.Screen name='Camera' (line 209); CameraScreen.js</t>
        </is>
      </c>
      <c r="U16" s="29" t="inlineStr">
        <is>
          <t>CameraScreen.js; CameraView (expo-camera)</t>
        </is>
      </c>
      <c r="V16" s="29" t="inlineStr">
        <is>
          <t>isRecording; CameraView.recordAsync; ImagePicker.launchImageLibraryAsync (video)</t>
        </is>
      </c>
      <c r="W16" s="29" t="inlineStr">
        <is>
          <t>Not found</t>
        </is>
      </c>
      <c r="X16" s="29" t="inlineStr">
        <is>
          <t>Device media library (save); Firebase Storage (upload via ReviewScreen)</t>
        </is>
      </c>
      <c r="Y16" s="29" t="inlineStr">
        <is>
          <t>Not found</t>
        </is>
      </c>
      <c r="Z16" s="29" t="inlineStr">
        <is>
          <t>Not found</t>
        </is>
      </c>
      <c r="AA16" s="29" t="inlineStr">
        <is>
          <t>NSMicrophoneUsageDescription; android.permission.RECORD_AUDIO; android.permission.CAMERA (app.config.js:45, 57-58)</t>
        </is>
      </c>
      <c r="AB16" s="29" t="inlineStr">
        <is>
          <t>Expo mobile client</t>
        </is>
      </c>
      <c r="AC16" s="30" t="inlineStr">
        <is>
          <t>RP-002</t>
        </is>
      </c>
      <c r="AD16" s="29" t="inlineStr">
        <is>
          <t>User opens Camera screen, records video via CameraView.recordAsync or system video picker, navigates to Review screen with video.</t>
        </is>
      </c>
      <c r="AE16" s="29" t="inlineStr">
        <is>
          <t>User reachable</t>
        </is>
      </c>
      <c r="AF16" s="29" t="inlineStr">
        <is>
          <t>App.js Stack.Screen name='Camera' (line 209); CameraScreen.js; User opens Camera screen, records video via CameraView.recordAsync or system video picker, navigates to Review screen with video.</t>
        </is>
      </c>
      <c r="AG16" s="29" t="inlineStr">
        <is>
          <t>Incomplete</t>
        </is>
      </c>
      <c r="AH16" s="29" t="inlineStr">
        <is>
          <t>No</t>
        </is>
      </c>
      <c r="AI16" s="29" t="inlineStr">
        <is>
          <t>Video recording noted as unreliable on emulator (CameraScreen.js:51). Physical device not verified. Production build not verified.</t>
        </is>
      </c>
      <c r="AJ16" s="29" t="inlineStr">
        <is>
          <t>Source traced</t>
        </is>
      </c>
      <c r="AK16" s="29" t="inlineStr">
        <is>
          <t>EV-01-0012;EV-01-0034;EV-01-0039</t>
        </is>
      </c>
      <c r="AL16" s="29" t="inlineStr"/>
      <c r="AM16" s="29" t="inlineStr"/>
      <c r="AN16" s="29" t="inlineStr"/>
      <c r="AO16" s="29" t="inlineStr">
        <is>
          <t>8bc0dcb2a1da1b21368c5536aaeef829d587f316</t>
        </is>
      </c>
      <c r="AP16" s="29" t="inlineStr">
        <is>
          <t>Medium</t>
        </is>
      </c>
      <c r="AQ16" s="29" t="inlineStr">
        <is>
          <t>Not assessed</t>
        </is>
      </c>
      <c r="AR16" s="29" t="inlineStr">
        <is>
          <t>Not assessed</t>
        </is>
      </c>
      <c r="AS16" s="29" t="inlineStr">
        <is>
          <t>Fail</t>
        </is>
      </c>
      <c r="AT16" s="29" t="inlineStr">
        <is>
          <t>Not assessed</t>
        </is>
      </c>
      <c r="AU16" s="29" t="inlineStr">
        <is>
          <t>Not assessed</t>
        </is>
      </c>
      <c r="AV16" s="29" t="inlineStr">
        <is>
          <t>Not assessed</t>
        </is>
      </c>
      <c r="AW16" s="29" t="inlineStr">
        <is>
          <t>Not assessed</t>
        </is>
      </c>
      <c r="AX16" s="29" t="inlineStr">
        <is>
          <t>Not assessed</t>
        </is>
      </c>
      <c r="AY16" s="29" t="inlineStr">
        <is>
          <t>Not assessed</t>
        </is>
      </c>
      <c r="AZ16" s="29" t="inlineStr">
        <is>
          <t>Not assessed</t>
        </is>
      </c>
      <c r="BA16" s="29" t="inlineStr">
        <is>
          <t>Not assessed</t>
        </is>
      </c>
      <c r="BB16" s="29" t="inlineStr">
        <is>
          <t>Not assessed</t>
        </is>
      </c>
      <c r="BC16" s="29" t="inlineStr">
        <is>
          <t>Not assessed</t>
        </is>
      </c>
      <c r="BD16" s="29" t="inlineStr">
        <is>
          <t>Not assessed</t>
        </is>
      </c>
      <c r="BE16" s="29" t="inlineStr">
        <is>
          <t>Development required</t>
        </is>
      </c>
      <c r="BF16" s="29" t="inlineStr">
        <is>
          <t>Physical implementation is not complete against the stated requirement.; Video recording noted as unreliable on emulator (CameraScreen.js:51). Physical device not verified. Production build not verified.</t>
        </is>
      </c>
      <c r="BG16" s="29" t="inlineStr">
        <is>
          <t>Test video recording on physical device; verify production build.</t>
        </is>
      </c>
      <c r="BH16" s="29" t="inlineStr"/>
      <c r="BI16" s="29" t="inlineStr"/>
      <c r="BJ16" s="29" t="inlineStr"/>
      <c r="BK16" s="29" t="inlineStr">
        <is>
          <t>Evidence reconciled against the reviewed source revision. No production approval is inferred from implementation or file presence.</t>
        </is>
      </c>
      <c r="BL16" s="29" t="inlineStr">
        <is>
          <t>2026-08-02</t>
        </is>
      </c>
    </row>
    <row r="17" ht="42" customHeight="1">
      <c r="A17" s="29" t="inlineStr">
        <is>
          <t>BLYP-01-016</t>
        </is>
      </c>
      <c r="B17" s="29" t="inlineStr"/>
      <c r="C17" s="29" t="inlineStr">
        <is>
          <t>BLYP Bar and AI-assisted posting</t>
        </is>
      </c>
      <c r="D17" s="29" t="n">
        <v>1</v>
      </c>
      <c r="E17" s="29" t="n">
        <v>16</v>
      </c>
      <c r="F17" s="29" t="inlineStr">
        <is>
          <t>Feature</t>
        </is>
      </c>
      <c r="G17" s="29" t="inlineStr">
        <is>
          <t>Phone-gallery media selection</t>
        </is>
      </c>
      <c r="H17" s="29" t="inlineStr">
        <is>
          <t>Phone-gallery media selection</t>
        </is>
      </c>
      <c r="I17" s="29" t="inlineStr">
        <is>
          <t>/home/ubuntu/blyp_product_requirements.md :: Section 1 — BLYP Bar and AI-assisted posting</t>
        </is>
      </c>
      <c r="J17" s="29" t="inlineStr">
        <is>
          <t>/home/ubuntu/BLYP_COMPLETE_FEATURE_LIST.md:31</t>
        </is>
      </c>
      <c r="K17" s="29" t="inlineStr">
        <is>
          <t>Required</t>
        </is>
      </c>
      <c r="L17" s="29" t="inlineStr">
        <is>
          <t>Applicable BLYP member</t>
        </is>
      </c>
      <c r="M17" s="29" t="inlineStr">
        <is>
          <t>BLYP mobile application and supporting production services</t>
        </is>
      </c>
      <c r="N17" s="29" t="inlineStr">
        <is>
          <t>Phone-gallery media selection</t>
        </is>
      </c>
      <c r="O17" s="29" t="inlineStr">
        <is>
          <t>Not explicitly defined in the product source; requires accountable product approval before production sign-off.</t>
        </is>
      </c>
      <c r="P17" s="29" t="inlineStr">
        <is>
          <t>Device photo library; Firebase Storage (upload via ReviewScreen); NSPhotoLibraryUsageDescription; expo-media-library plugin (app.config.js:46, 79)</t>
        </is>
      </c>
      <c r="Q17" s="29" t="inlineStr">
        <is>
          <t>Yes</t>
        </is>
      </c>
      <c r="R17" s="29" t="inlineStr"/>
      <c r="S17" s="29" t="inlineStr">
        <is>
          <t>Partial</t>
        </is>
      </c>
      <c r="T17" s="29" t="inlineStr">
        <is>
          <t>App.js Stack.Screen name='Camera' (line 209); CameraScreen.js openGallery()</t>
        </is>
      </c>
      <c r="U17" s="29" t="inlineStr">
        <is>
          <t>CameraScreen.js; galleryButton (line 581-585); ImagePicker</t>
        </is>
      </c>
      <c r="V17" s="29" t="inlineStr">
        <is>
          <t>ImagePicker.launchImageLibraryAsync; allowsMultipleSelection:true; selectionLimit:10</t>
        </is>
      </c>
      <c r="W17" s="29" t="inlineStr">
        <is>
          <t>Not found</t>
        </is>
      </c>
      <c r="X17" s="29" t="inlineStr">
        <is>
          <t>Device photo library; Firebase Storage (upload via ReviewScreen)</t>
        </is>
      </c>
      <c r="Y17" s="29" t="inlineStr">
        <is>
          <t>Not found</t>
        </is>
      </c>
      <c r="Z17" s="29" t="inlineStr">
        <is>
          <t>Not found</t>
        </is>
      </c>
      <c r="AA17" s="29" t="inlineStr">
        <is>
          <t>NSPhotoLibraryUsageDescription; expo-media-library plugin (app.config.js:46, 79)</t>
        </is>
      </c>
      <c r="AB17" s="29" t="inlineStr">
        <is>
          <t>Expo mobile client</t>
        </is>
      </c>
      <c r="AC17" s="30" t="inlineStr">
        <is>
          <t>RP-002</t>
        </is>
      </c>
      <c r="AD17" s="29" t="inlineStr">
        <is>
          <t>User taps gallery button in CameraScreen, ImagePicker opens phone gallery, selected photos navigate to ReviewScreen with source='gallery'.</t>
        </is>
      </c>
      <c r="AE17" s="29" t="inlineStr">
        <is>
          <t>User reachable</t>
        </is>
      </c>
      <c r="AF17" s="29" t="inlineStr">
        <is>
          <t>App.js Stack.Screen name='Camera' (line 209); CameraScreen.js openGallery(); User taps gallery button in CameraScreen, ImagePicker opens phone gallery, selected photos navigate to ReviewScreen with source='gallery'.</t>
        </is>
      </c>
      <c r="AG17" s="29" t="inlineStr">
        <is>
          <t>Incomplete</t>
        </is>
      </c>
      <c r="AH17" s="29" t="inlineStr">
        <is>
          <t>No</t>
        </is>
      </c>
      <c r="AI17" s="29" t="inlineStr">
        <is>
          <t>Physical device gallery access not verified. Production build not verified.</t>
        </is>
      </c>
      <c r="AJ17" s="29" t="inlineStr">
        <is>
          <t>Source traced</t>
        </is>
      </c>
      <c r="AK17" s="29" t="inlineStr">
        <is>
          <t>EV-01-0013;EV-01-0034;EV-01-0039</t>
        </is>
      </c>
      <c r="AL17" s="29" t="inlineStr"/>
      <c r="AM17" s="29" t="inlineStr"/>
      <c r="AN17" s="29" t="inlineStr"/>
      <c r="AO17" s="29" t="inlineStr">
        <is>
          <t>8bc0dcb2a1da1b21368c5536aaeef829d587f316</t>
        </is>
      </c>
      <c r="AP17" s="29" t="inlineStr">
        <is>
          <t>Medium</t>
        </is>
      </c>
      <c r="AQ17" s="29" t="inlineStr">
        <is>
          <t>Not assessed</t>
        </is>
      </c>
      <c r="AR17" s="29" t="inlineStr">
        <is>
          <t>Not assessed</t>
        </is>
      </c>
      <c r="AS17" s="29" t="inlineStr">
        <is>
          <t>Fail</t>
        </is>
      </c>
      <c r="AT17" s="29" t="inlineStr">
        <is>
          <t>Not assessed</t>
        </is>
      </c>
      <c r="AU17" s="29" t="inlineStr">
        <is>
          <t>Not assessed</t>
        </is>
      </c>
      <c r="AV17" s="29" t="inlineStr">
        <is>
          <t>Not assessed</t>
        </is>
      </c>
      <c r="AW17" s="29" t="inlineStr">
        <is>
          <t>Not assessed</t>
        </is>
      </c>
      <c r="AX17" s="29" t="inlineStr">
        <is>
          <t>Not assessed</t>
        </is>
      </c>
      <c r="AY17" s="29" t="inlineStr">
        <is>
          <t>Not assessed</t>
        </is>
      </c>
      <c r="AZ17" s="29" t="inlineStr">
        <is>
          <t>Not assessed</t>
        </is>
      </c>
      <c r="BA17" s="29" t="inlineStr">
        <is>
          <t>Not assessed</t>
        </is>
      </c>
      <c r="BB17" s="29" t="inlineStr">
        <is>
          <t>Not assessed</t>
        </is>
      </c>
      <c r="BC17" s="29" t="inlineStr">
        <is>
          <t>Not assessed</t>
        </is>
      </c>
      <c r="BD17" s="29" t="inlineStr">
        <is>
          <t>Not assessed</t>
        </is>
      </c>
      <c r="BE17" s="29" t="inlineStr">
        <is>
          <t>Development required</t>
        </is>
      </c>
      <c r="BF17" s="29" t="inlineStr">
        <is>
          <t>Physical implementation is not complete against the stated requirement.; Physical device gallery access not verified. Production build not verified.</t>
        </is>
      </c>
      <c r="BG17" s="29" t="inlineStr">
        <is>
          <t>Test gallery selection on physical device; verify production build.</t>
        </is>
      </c>
      <c r="BH17" s="29" t="inlineStr"/>
      <c r="BI17" s="29" t="inlineStr"/>
      <c r="BJ17" s="29" t="inlineStr"/>
      <c r="BK17" s="29" t="inlineStr">
        <is>
          <t>Evidence reconciled against the reviewed source revision. No production approval is inferred from implementation or file presence.</t>
        </is>
      </c>
      <c r="BL17" s="29" t="inlineStr">
        <is>
          <t>2026-08-02</t>
        </is>
      </c>
    </row>
    <row r="18" ht="42" customHeight="1">
      <c r="A18" s="29" t="inlineStr">
        <is>
          <t>BLYP-01-017</t>
        </is>
      </c>
      <c r="B18" s="29" t="inlineStr"/>
      <c r="C18" s="29" t="inlineStr">
        <is>
          <t>BLYP Bar and AI-assisted posting</t>
        </is>
      </c>
      <c r="D18" s="29" t="n">
        <v>1</v>
      </c>
      <c r="E18" s="29" t="n">
        <v>17</v>
      </c>
      <c r="F18" s="29" t="inlineStr">
        <is>
          <t>Feature</t>
        </is>
      </c>
      <c r="G18" s="29" t="inlineStr">
        <is>
          <t>Audio/voice-memo capture</t>
        </is>
      </c>
      <c r="H18" s="29" t="inlineStr">
        <is>
          <t>Audio/voice-memo capture</t>
        </is>
      </c>
      <c r="I18" s="29" t="inlineStr">
        <is>
          <t>/home/ubuntu/blyp_product_requirements.md :: Section 1 — BLYP Bar and AI-assisted posting</t>
        </is>
      </c>
      <c r="J18" s="29" t="inlineStr">
        <is>
          <t>/home/ubuntu/BLYP_COMPLETE_FEATURE_LIST.md:32</t>
        </is>
      </c>
      <c r="K18" s="29" t="inlineStr">
        <is>
          <t>Required</t>
        </is>
      </c>
      <c r="L18" s="29" t="inlineStr">
        <is>
          <t>Applicable BLYP member</t>
        </is>
      </c>
      <c r="M18" s="29" t="inlineStr">
        <is>
          <t>BLYP mobile application and supporting production services</t>
        </is>
      </c>
      <c r="N18" s="29" t="inlineStr">
        <is>
          <t>Audio/voice-memo capture</t>
        </is>
      </c>
      <c r="O18" s="29" t="inlineStr">
        <is>
          <t>Not explicitly defined in the product source; requires accountable product approval before production sign-off.</t>
        </is>
      </c>
      <c r="P18" s="29" t="inlineStr">
        <is>
          <t>Local file system (audio URI); Firebase Storage (upload via ReviewScreen); NSMicrophoneUsageDescription; expo-av plugin; android.permission.RECORD_AUDIO (app.config.js:45, 75, 89)</t>
        </is>
      </c>
      <c r="Q18" s="29" t="inlineStr">
        <is>
          <t>Yes</t>
        </is>
      </c>
      <c r="R18" s="29" t="inlineStr"/>
      <c r="S18" s="29" t="inlineStr">
        <is>
          <t>Partial</t>
        </is>
      </c>
      <c r="T18" s="29" t="inlineStr">
        <is>
          <t>App.js Stack.Screen name='VoiceMemo' (line 222); VoiceMemoScreen.js; ReviewScreen.js (Audio import)</t>
        </is>
      </c>
      <c r="U18" s="29" t="inlineStr">
        <is>
          <t>VoiceMemoScreen.js; ReviewScreen.js (voice recording UI)</t>
        </is>
      </c>
      <c r="V18" s="29" t="inlineStr">
        <is>
          <t>Audio.Recording.createAsync (expo-av); speechToTextService.startRecording; voiceMemo state</t>
        </is>
      </c>
      <c r="W18" s="29" t="inlineStr">
        <is>
          <t>Not found</t>
        </is>
      </c>
      <c r="X18" s="29" t="inlineStr">
        <is>
          <t>Local file system (audio URI); Firebase Storage (upload via ReviewScreen)</t>
        </is>
      </c>
      <c r="Y18" s="29" t="inlineStr">
        <is>
          <t>Not found</t>
        </is>
      </c>
      <c r="Z18" s="29" t="inlineStr">
        <is>
          <t>Not found</t>
        </is>
      </c>
      <c r="AA18" s="29" t="inlineStr">
        <is>
          <t>NSMicrophoneUsageDescription; expo-av plugin; android.permission.RECORD_AUDIO (app.config.js:45, 75, 89)</t>
        </is>
      </c>
      <c r="AB18" s="29" t="inlineStr">
        <is>
          <t>Expo mobile client</t>
        </is>
      </c>
      <c r="AC18" s="30" t="inlineStr">
        <is>
          <t>RP-002</t>
        </is>
      </c>
      <c r="AD18" s="29" t="inlineStr">
        <is>
          <t>User opens VoiceMemoScreen or uses ReviewScreen voice button, records audio via expo-av, navigates to Review with audio URI.</t>
        </is>
      </c>
      <c r="AE18" s="29" t="inlineStr">
        <is>
          <t>User reachable</t>
        </is>
      </c>
      <c r="AF18" s="29" t="inlineStr">
        <is>
          <t>App.js Stack.Screen name='VoiceMemo' (line 222); VoiceMemoScreen.js; ReviewScreen.js (Audio import); User opens VoiceMemoScreen or uses ReviewScreen voice button, records audio via expo-av, navigates to Review with audio URI.</t>
        </is>
      </c>
      <c r="AG18" s="29" t="inlineStr">
        <is>
          <t>Incomplete</t>
        </is>
      </c>
      <c r="AH18" s="29" t="inlineStr">
        <is>
          <t>No</t>
        </is>
      </c>
      <c r="AI18" s="29" t="inlineStr">
        <is>
          <t>Physical device microphone not verified. Production build not verified.</t>
        </is>
      </c>
      <c r="AJ18" s="29" t="inlineStr">
        <is>
          <t>Source traced</t>
        </is>
      </c>
      <c r="AK18" s="29" t="inlineStr">
        <is>
          <t>EV-01-0014;EV-01-0035;EV-01-0036;EV-01-0039</t>
        </is>
      </c>
      <c r="AL18" s="29" t="inlineStr"/>
      <c r="AM18" s="29" t="inlineStr"/>
      <c r="AN18" s="29" t="inlineStr"/>
      <c r="AO18" s="29" t="inlineStr">
        <is>
          <t>8bc0dcb2a1da1b21368c5536aaeef829d587f316</t>
        </is>
      </c>
      <c r="AP18" s="29" t="inlineStr">
        <is>
          <t>Medium</t>
        </is>
      </c>
      <c r="AQ18" s="29" t="inlineStr">
        <is>
          <t>Not assessed</t>
        </is>
      </c>
      <c r="AR18" s="29" t="inlineStr">
        <is>
          <t>Not assessed</t>
        </is>
      </c>
      <c r="AS18" s="29" t="inlineStr">
        <is>
          <t>Fail</t>
        </is>
      </c>
      <c r="AT18" s="29" t="inlineStr">
        <is>
          <t>Not assessed</t>
        </is>
      </c>
      <c r="AU18" s="29" t="inlineStr">
        <is>
          <t>Not assessed</t>
        </is>
      </c>
      <c r="AV18" s="29" t="inlineStr">
        <is>
          <t>Not assessed</t>
        </is>
      </c>
      <c r="AW18" s="29" t="inlineStr">
        <is>
          <t>Not assessed</t>
        </is>
      </c>
      <c r="AX18" s="29" t="inlineStr">
        <is>
          <t>Not assessed</t>
        </is>
      </c>
      <c r="AY18" s="29" t="inlineStr">
        <is>
          <t>Not assessed</t>
        </is>
      </c>
      <c r="AZ18" s="29" t="inlineStr">
        <is>
          <t>Not assessed</t>
        </is>
      </c>
      <c r="BA18" s="29" t="inlineStr">
        <is>
          <t>Not assessed</t>
        </is>
      </c>
      <c r="BB18" s="29" t="inlineStr">
        <is>
          <t>Not assessed</t>
        </is>
      </c>
      <c r="BC18" s="29" t="inlineStr">
        <is>
          <t>Not assessed</t>
        </is>
      </c>
      <c r="BD18" s="29" t="inlineStr">
        <is>
          <t>Not assessed</t>
        </is>
      </c>
      <c r="BE18" s="29" t="inlineStr">
        <is>
          <t>Development required</t>
        </is>
      </c>
      <c r="BF18" s="29" t="inlineStr">
        <is>
          <t>Physical implementation is not complete against the stated requirement.; Physical device microphone not verified. Production build not verified.</t>
        </is>
      </c>
      <c r="BG18" s="29" t="inlineStr">
        <is>
          <t>Test audio recording on physical device; verify production build.</t>
        </is>
      </c>
      <c r="BH18" s="29" t="inlineStr"/>
      <c r="BI18" s="29" t="inlineStr"/>
      <c r="BJ18" s="29" t="inlineStr"/>
      <c r="BK18" s="29" t="inlineStr">
        <is>
          <t>Evidence reconciled against the reviewed source revision. No production approval is inferred from implementation or file presence.</t>
        </is>
      </c>
      <c r="BL18" s="29" t="inlineStr">
        <is>
          <t>2026-08-02</t>
        </is>
      </c>
    </row>
    <row r="19" ht="42" customHeight="1">
      <c r="A19" s="29" t="inlineStr">
        <is>
          <t>BLYP-01-018</t>
        </is>
      </c>
      <c r="B19" s="29" t="inlineStr"/>
      <c r="C19" s="29" t="inlineStr">
        <is>
          <t>BLYP Bar and AI-assisted posting</t>
        </is>
      </c>
      <c r="D19" s="29" t="n">
        <v>1</v>
      </c>
      <c r="E19" s="29" t="n">
        <v>18</v>
      </c>
      <c r="F19" s="29" t="inlineStr">
        <is>
          <t>Feature</t>
        </is>
      </c>
      <c r="G19" s="29" t="inlineStr">
        <is>
          <t>Manual post description and caption entry</t>
        </is>
      </c>
      <c r="H19" s="29" t="inlineStr">
        <is>
          <t>Manual post description and caption entry</t>
        </is>
      </c>
      <c r="I19" s="29" t="inlineStr">
        <is>
          <t>/home/ubuntu/blyp_product_requirements.md :: Section 1 — BLYP Bar and AI-assisted posting</t>
        </is>
      </c>
      <c r="J19" s="29" t="inlineStr">
        <is>
          <t>/home/ubuntu/BLYP_COMPLETE_FEATURE_LIST.md:33</t>
        </is>
      </c>
      <c r="K19" s="29" t="inlineStr">
        <is>
          <t>Required</t>
        </is>
      </c>
      <c r="L19" s="29" t="inlineStr">
        <is>
          <t>Applicable BLYP member</t>
        </is>
      </c>
      <c r="M19" s="29" t="inlineStr">
        <is>
          <t>BLYP mobile application and supporting production services</t>
        </is>
      </c>
      <c r="N19" s="29" t="inlineStr">
        <is>
          <t>Manual post description and caption entry</t>
        </is>
      </c>
      <c r="O19" s="29" t="inlineStr">
        <is>
          <t>Not explicitly defined in the product source; requires accountable product approval before production sign-off.</t>
        </is>
      </c>
      <c r="P19" s="29" t="inlineStr">
        <is>
          <t>Firestore posts collection (caption field, line 1966)</t>
        </is>
      </c>
      <c r="Q19" s="29" t="inlineStr">
        <is>
          <t>Yes</t>
        </is>
      </c>
      <c r="R19" s="29" t="inlineStr"/>
      <c r="S19" s="29" t="inlineStr">
        <is>
          <t>End-to-end present</t>
        </is>
      </c>
      <c r="T19" s="29" t="inlineStr">
        <is>
          <t>App.js Stack.Screen name='Review' (line 214); ReviewScreen.js</t>
        </is>
      </c>
      <c r="U19" s="29" t="inlineStr">
        <is>
          <t>ReviewScreen.js; aiCaptionInput TextInput (line 2582); manualDescription TextInput</t>
        </is>
      </c>
      <c r="V19" s="29" t="inlineStr">
        <is>
          <t>caption state; manualDescription state; setCaption; setManualDescription</t>
        </is>
      </c>
      <c r="W19" s="29" t="inlineStr">
        <is>
          <t>Not found (caption stored in Firestore post document)</t>
        </is>
      </c>
      <c r="X19" s="29" t="inlineStr">
        <is>
          <t>Firestore posts collection (caption field, line 1966)</t>
        </is>
      </c>
      <c r="Y19" s="29" t="inlineStr">
        <is>
          <t>Not found</t>
        </is>
      </c>
      <c r="Z19" s="29" t="inlineStr">
        <is>
          <t>Not found</t>
        </is>
      </c>
      <c r="AA19" s="29" t="inlineStr">
        <is>
          <t>Not found</t>
        </is>
      </c>
      <c r="AB19" s="29" t="inlineStr">
        <is>
          <t>Expo mobile client</t>
        </is>
      </c>
      <c r="AC19" s="30" t="inlineStr">
        <is>
          <t>RP-002</t>
        </is>
      </c>
      <c r="AD19" s="29" t="inlineStr">
        <is>
          <t>User types description/caption in ReviewScreen TextInput; caption is stored in Firestore post document on submission.</t>
        </is>
      </c>
      <c r="AE19" s="29" t="inlineStr">
        <is>
          <t>User reachable</t>
        </is>
      </c>
      <c r="AF19" s="29" t="inlineStr">
        <is>
          <t>App.js Stack.Screen name='Review' (line 214); ReviewScreen.js; User types description/caption in ReviewScreen TextInput; caption is stored in Firestore post document on submission.</t>
        </is>
      </c>
      <c r="AG19" s="29" t="inlineStr">
        <is>
          <t>Complete against stated requirement</t>
        </is>
      </c>
      <c r="AH19" s="29" t="inlineStr">
        <is>
          <t>Yes</t>
        </is>
      </c>
      <c r="AI19" s="29" t="inlineStr">
        <is>
          <t>Production build and Firestore write not verified on device.</t>
        </is>
      </c>
      <c r="AJ19" s="29" t="inlineStr">
        <is>
          <t>Source traced</t>
        </is>
      </c>
      <c r="AK19" s="29" t="inlineStr">
        <is>
          <t>EV-01-0015;EV-01-0033</t>
        </is>
      </c>
      <c r="AL19" s="29" t="inlineStr"/>
      <c r="AM19" s="29" t="inlineStr"/>
      <c r="AN19" s="29" t="inlineStr"/>
      <c r="AO19" s="29" t="inlineStr">
        <is>
          <t>8bc0dcb2a1da1b21368c5536aaeef829d587f316</t>
        </is>
      </c>
      <c r="AP19" s="29" t="inlineStr">
        <is>
          <t>Medium</t>
        </is>
      </c>
      <c r="AQ19" s="29" t="inlineStr">
        <is>
          <t>Not assessed</t>
        </is>
      </c>
      <c r="AR19" s="29" t="inlineStr">
        <is>
          <t>Not assessed</t>
        </is>
      </c>
      <c r="AS19" s="29" t="inlineStr">
        <is>
          <t>Not assessed</t>
        </is>
      </c>
      <c r="AT19" s="29" t="inlineStr">
        <is>
          <t>Not assessed</t>
        </is>
      </c>
      <c r="AU19" s="29" t="inlineStr">
        <is>
          <t>Not assessed</t>
        </is>
      </c>
      <c r="AV19" s="29" t="inlineStr">
        <is>
          <t>Not assessed</t>
        </is>
      </c>
      <c r="AW19" s="29" t="inlineStr">
        <is>
          <t>Not assessed</t>
        </is>
      </c>
      <c r="AX19" s="29" t="inlineStr">
        <is>
          <t>Not assessed</t>
        </is>
      </c>
      <c r="AY19" s="29" t="inlineStr">
        <is>
          <t>Not assessed</t>
        </is>
      </c>
      <c r="AZ19" s="29" t="inlineStr">
        <is>
          <t>Not assessed</t>
        </is>
      </c>
      <c r="BA19" s="29" t="inlineStr">
        <is>
          <t>Not assessed</t>
        </is>
      </c>
      <c r="BB19" s="29" t="inlineStr">
        <is>
          <t>Not assessed</t>
        </is>
      </c>
      <c r="BC19" s="29" t="inlineStr">
        <is>
          <t>Not assessed</t>
        </is>
      </c>
      <c r="BD19" s="29" t="inlineStr">
        <is>
          <t>Not assessed</t>
        </is>
      </c>
      <c r="BE19" s="29" t="inlineStr">
        <is>
          <t>Ready for production validation</t>
        </is>
      </c>
      <c r="BF19" s="29" t="inlineStr">
        <is>
          <t>Applicable production gates and acceptance checks have not been completed on an approved release candidate.</t>
        </is>
      </c>
      <c r="BG19" s="29" t="inlineStr">
        <is>
          <t>Test manual caption entry and post creation on device; verify Firestore write.</t>
        </is>
      </c>
      <c r="BH19" s="29" t="inlineStr"/>
      <c r="BI19" s="29" t="inlineStr"/>
      <c r="BJ19" s="29" t="inlineStr"/>
      <c r="BK19" s="29" t="inlineStr">
        <is>
          <t>Evidence reconciled against the reviewed source revision. No production approval is inferred from implementation or file presence.</t>
        </is>
      </c>
      <c r="BL19" s="29" t="inlineStr">
        <is>
          <t>2026-08-02</t>
        </is>
      </c>
    </row>
    <row r="20" ht="42" customHeight="1">
      <c r="A20" s="29" t="inlineStr">
        <is>
          <t>BLYP-01-019</t>
        </is>
      </c>
      <c r="B20" s="29" t="inlineStr"/>
      <c r="C20" s="29" t="inlineStr">
        <is>
          <t>BLYP Bar and AI-assisted posting</t>
        </is>
      </c>
      <c r="D20" s="29" t="n">
        <v>1</v>
      </c>
      <c r="E20" s="29" t="n">
        <v>19</v>
      </c>
      <c r="F20" s="29" t="inlineStr">
        <is>
          <t>Feature</t>
        </is>
      </c>
      <c r="G20" s="29" t="inlineStr">
        <is>
          <t>Push-to-talk description</t>
        </is>
      </c>
      <c r="H20" s="29" t="inlineStr">
        <is>
          <t>Push-to-talk description</t>
        </is>
      </c>
      <c r="I20" s="29" t="inlineStr">
        <is>
          <t>/home/ubuntu/blyp_product_requirements.md :: Section 1 — BLYP Bar and AI-assisted posting</t>
        </is>
      </c>
      <c r="J20" s="29" t="inlineStr">
        <is>
          <t>/home/ubuntu/BLYP_COMPLETE_FEATURE_LIST.md:34</t>
        </is>
      </c>
      <c r="K20" s="29" t="inlineStr">
        <is>
          <t>Required</t>
        </is>
      </c>
      <c r="L20" s="29" t="inlineStr">
        <is>
          <t>Applicable BLYP member</t>
        </is>
      </c>
      <c r="M20" s="29" t="inlineStr">
        <is>
          <t>BLYP mobile application and supporting production services</t>
        </is>
      </c>
      <c r="N20" s="29" t="inlineStr">
        <is>
          <t>Push-to-talk description</t>
        </is>
      </c>
      <c r="O20" s="29" t="inlineStr">
        <is>
          <t>Not explicitly defined in the product source; requires accountable product approval before production sign-off.</t>
        </is>
      </c>
      <c r="P20" s="29" t="inlineStr">
        <is>
          <t>Gemini API (for transcription after recording); Local file system (audio URI); NSMicrophoneUsageDescription; expo-av plugin; android.permission.RECORD_AUDIO</t>
        </is>
      </c>
      <c r="Q20" s="29" t="inlineStr">
        <is>
          <t>Yes</t>
        </is>
      </c>
      <c r="R20" s="29" t="inlineStr"/>
      <c r="S20" s="29" t="inlineStr">
        <is>
          <t>Partial</t>
        </is>
      </c>
      <c r="T20" s="29" t="inlineStr">
        <is>
          <t>ReviewScreen.js; handleVoiceButtonPressIn/PressOut (lines 1001-1015); handleVoiceDescriptionPressIn/PressOut (lines 1494-1513)</t>
        </is>
      </c>
      <c r="U20" s="29" t="inlineStr">
        <is>
          <t>ReviewScreen.js; voiceButton (line 2389-2396); description overlay voice button (line 3111-3118)</t>
        </is>
      </c>
      <c r="V20" s="29" t="inlineStr">
        <is>
          <t>speechToTextService.startRecording/stopRecording; isRecording state; isTranscribing state</t>
        </is>
      </c>
      <c r="W20" s="29" t="inlineStr">
        <is>
          <t>Not found</t>
        </is>
      </c>
      <c r="X20" s="29" t="inlineStr">
        <is>
          <t>Local file system (audio URI)</t>
        </is>
      </c>
      <c r="Y20" s="29" t="inlineStr">
        <is>
          <t>Not found</t>
        </is>
      </c>
      <c r="Z20" s="29" t="inlineStr">
        <is>
          <t>Gemini API (for transcription after recording)</t>
        </is>
      </c>
      <c r="AA20" s="29" t="inlineStr">
        <is>
          <t>NSMicrophoneUsageDescription; expo-av plugin; android.permission.RECORD_AUDIO</t>
        </is>
      </c>
      <c r="AB20" s="29" t="inlineStr">
        <is>
          <t>Expo mobile client</t>
        </is>
      </c>
      <c r="AC20" s="30" t="inlineStr">
        <is>
          <t>RP-002</t>
        </is>
      </c>
      <c r="AD20" s="29" t="inlineStr">
        <is>
          <t>User holds voice button in ReviewScreen (onPressIn/onPressOut), audio is recorded via speechToTextService, transcribed via Gemini, and used as caption input.</t>
        </is>
      </c>
      <c r="AE20" s="29" t="inlineStr">
        <is>
          <t>User reachable</t>
        </is>
      </c>
      <c r="AF20" s="29" t="inlineStr">
        <is>
          <t>ReviewScreen.js; handleVoiceButtonPressIn/PressOut (lines 1001-1015); handleVoiceDescriptionPressIn/PressOut (lines 1494-1513); User holds voice button in ReviewScreen (onPressIn/onPressOut), audio is recorded via speechToTextService, transcribed via Gemini, and used as caption input.</t>
        </is>
      </c>
      <c r="AG20" s="29" t="inlineStr">
        <is>
          <t>Incomplete</t>
        </is>
      </c>
      <c r="AH20" s="29" t="inlineStr">
        <is>
          <t>No</t>
        </is>
      </c>
      <c r="AI20" s="29" t="inlineStr">
        <is>
          <t>Physical device microphone not verified. Transcription depends on Gemini API key availability. Production build not verified.</t>
        </is>
      </c>
      <c r="AJ20" s="29" t="inlineStr">
        <is>
          <t>Source traced</t>
        </is>
      </c>
      <c r="AK20" s="29" t="inlineStr">
        <is>
          <t>EV-01-0016;EV-01-0036</t>
        </is>
      </c>
      <c r="AL20" s="29" t="inlineStr"/>
      <c r="AM20" s="29" t="inlineStr"/>
      <c r="AN20" s="29" t="inlineStr"/>
      <c r="AO20" s="29" t="inlineStr">
        <is>
          <t>8bc0dcb2a1da1b21368c5536aaeef829d587f316</t>
        </is>
      </c>
      <c r="AP20" s="29" t="inlineStr">
        <is>
          <t>Medium</t>
        </is>
      </c>
      <c r="AQ20" s="29" t="inlineStr">
        <is>
          <t>Not assessed</t>
        </is>
      </c>
      <c r="AR20" s="29" t="inlineStr">
        <is>
          <t>Not assessed</t>
        </is>
      </c>
      <c r="AS20" s="29" t="inlineStr">
        <is>
          <t>Fail</t>
        </is>
      </c>
      <c r="AT20" s="29" t="inlineStr">
        <is>
          <t>Not assessed</t>
        </is>
      </c>
      <c r="AU20" s="29" t="inlineStr">
        <is>
          <t>Not assessed</t>
        </is>
      </c>
      <c r="AV20" s="29" t="inlineStr">
        <is>
          <t>Not assessed</t>
        </is>
      </c>
      <c r="AW20" s="29" t="inlineStr">
        <is>
          <t>Not assessed</t>
        </is>
      </c>
      <c r="AX20" s="29" t="inlineStr">
        <is>
          <t>Not assessed</t>
        </is>
      </c>
      <c r="AY20" s="29" t="inlineStr">
        <is>
          <t>Not assessed</t>
        </is>
      </c>
      <c r="AZ20" s="29" t="inlineStr">
        <is>
          <t>Not assessed</t>
        </is>
      </c>
      <c r="BA20" s="29" t="inlineStr">
        <is>
          <t>Not assessed</t>
        </is>
      </c>
      <c r="BB20" s="29" t="inlineStr">
        <is>
          <t>Not assessed</t>
        </is>
      </c>
      <c r="BC20" s="29" t="inlineStr">
        <is>
          <t>Not assessed</t>
        </is>
      </c>
      <c r="BD20" s="29" t="inlineStr">
        <is>
          <t>Not assessed</t>
        </is>
      </c>
      <c r="BE20" s="29" t="inlineStr">
        <is>
          <t>Development required</t>
        </is>
      </c>
      <c r="BF20" s="29" t="inlineStr">
        <is>
          <t>Physical implementation is not complete against the stated requirement.; Physical device microphone not verified. Transcription depends on Gemini API key availability. Production build not verified.</t>
        </is>
      </c>
      <c r="BG20" s="29" t="inlineStr">
        <is>
          <t>Test push-to-talk on physical device; verify Gemini transcription with production API key.</t>
        </is>
      </c>
      <c r="BH20" s="29" t="inlineStr"/>
      <c r="BI20" s="29" t="inlineStr"/>
      <c r="BJ20" s="29" t="inlineStr"/>
      <c r="BK20" s="29" t="inlineStr">
        <is>
          <t>Evidence reconciled against the reviewed source revision. No production approval is inferred from implementation or file presence.</t>
        </is>
      </c>
      <c r="BL20" s="29" t="inlineStr">
        <is>
          <t>2026-08-02</t>
        </is>
      </c>
    </row>
    <row r="21" ht="42" customHeight="1">
      <c r="A21" s="29" t="inlineStr">
        <is>
          <t>BLYP-01-020</t>
        </is>
      </c>
      <c r="B21" s="29" t="inlineStr"/>
      <c r="C21" s="29" t="inlineStr">
        <is>
          <t>BLYP Bar and AI-assisted posting</t>
        </is>
      </c>
      <c r="D21" s="29" t="n">
        <v>1</v>
      </c>
      <c r="E21" s="29" t="n">
        <v>20</v>
      </c>
      <c r="F21" s="29" t="inlineStr">
        <is>
          <t>Feature</t>
        </is>
      </c>
      <c r="G21" s="29" t="inlineStr">
        <is>
          <t>Voice-to-text transcription</t>
        </is>
      </c>
      <c r="H21" s="29" t="inlineStr">
        <is>
          <t>Voice-to-text transcription</t>
        </is>
      </c>
      <c r="I21" s="29" t="inlineStr">
        <is>
          <t>/home/ubuntu/blyp_product_requirements.md :: Section 1 — BLYP Bar and AI-assisted posting</t>
        </is>
      </c>
      <c r="J21" s="29" t="inlineStr">
        <is>
          <t>/home/ubuntu/BLYP_COMPLETE_FEATURE_LIST.md:35</t>
        </is>
      </c>
      <c r="K21" s="29" t="inlineStr">
        <is>
          <t>Required</t>
        </is>
      </c>
      <c r="L21" s="29" t="inlineStr">
        <is>
          <t>Applicable BLYP member</t>
        </is>
      </c>
      <c r="M21" s="29" t="inlineStr">
        <is>
          <t>BLYP mobile application and supporting production services</t>
        </is>
      </c>
      <c r="N21" s="29" t="inlineStr">
        <is>
          <t>Voice-to-text transcription</t>
        </is>
      </c>
      <c r="O21" s="29" t="inlineStr">
        <is>
          <t>Not explicitly defined in the product source; requires accountable product approval before production sign-off.</t>
        </is>
      </c>
      <c r="P21" s="29" t="inlineStr">
        <is>
          <t>Gemini API (generativelanguage.googleapis.com/v1beta/models/gemini-2.5-flash-preview-05-20); Local file system (audio URI); caption/voiceTranscript state; EXPO_PUBLIC_GEMINI_API_KEY; NSMicrophoneUsageDescription</t>
        </is>
      </c>
      <c r="Q21" s="29" t="inlineStr">
        <is>
          <t>Yes</t>
        </is>
      </c>
      <c r="R21" s="29" t="inlineStr"/>
      <c r="S21" s="29" t="inlineStr">
        <is>
          <t>Partial</t>
        </is>
      </c>
      <c r="T21" s="29" t="inlineStr">
        <is>
          <t>ReviewScreen.js; stopVoiceDescription (line 503-530); VoiceMemoScreen.js</t>
        </is>
      </c>
      <c r="U21" s="29" t="inlineStr">
        <is>
          <t>ReviewScreen.js; VoiceMemoScreen.js</t>
        </is>
      </c>
      <c r="V21" s="29" t="inlineStr">
        <is>
          <t>geminiSpeechService.transcribeAudio; speechToTextService.transcribeAudio; isTranscribing state; voiceTranscript state</t>
        </is>
      </c>
      <c r="W21" s="29" t="inlineStr">
        <is>
          <t>Not found (direct client-to-Gemini API)</t>
        </is>
      </c>
      <c r="X21" s="29" t="inlineStr">
        <is>
          <t>Local file system (audio URI); caption/voiceTranscript state</t>
        </is>
      </c>
      <c r="Y21" s="29" t="inlineStr">
        <is>
          <t>Not found</t>
        </is>
      </c>
      <c r="Z21" s="29" t="inlineStr">
        <is>
          <t>Gemini API (generativelanguage.googleapis.com/v1beta/models/gemini-2.5-flash-preview-05-20)</t>
        </is>
      </c>
      <c r="AA21" s="29" t="inlineStr">
        <is>
          <t>EXPO_PUBLIC_GEMINI_API_KEY; NSMicrophoneUsageDescription</t>
        </is>
      </c>
      <c r="AB21" s="29" t="inlineStr">
        <is>
          <t>Expo mobile client</t>
        </is>
      </c>
      <c r="AC21" s="30" t="inlineStr">
        <is>
          <t>RP-002</t>
        </is>
      </c>
      <c r="AD21" s="29" t="inlineStr">
        <is>
          <t>After recording, ReviewScreen calls geminiSpeechService.transcribeAudio(audioUri) which sends audio to Gemini API for transcription. Transcript is set as caption.</t>
        </is>
      </c>
      <c r="AE21" s="29" t="inlineStr">
        <is>
          <t>User reachable</t>
        </is>
      </c>
      <c r="AF21" s="29" t="inlineStr">
        <is>
          <t>ReviewScreen.js; stopVoiceDescription (line 503-530); VoiceMemoScreen.js; After recording, ReviewScreen calls geminiSpeechService.transcribeAudio(audioUri) which sends audio to Gemini API for transcription. Transcript is set as caption.</t>
        </is>
      </c>
      <c r="AG21" s="29" t="inlineStr">
        <is>
          <t>Incomplete</t>
        </is>
      </c>
      <c r="AH21" s="29" t="inlineStr">
        <is>
          <t>No</t>
        </is>
      </c>
      <c r="AI21" s="29" t="inlineStr">
        <is>
          <t>speechToTextService.transcribeAudio in demo mode returns placeholder string (line 339). Gemini API key must be present in production build. Physical device not verified. Direct client-to-API call (not server-proxied).</t>
        </is>
      </c>
      <c r="AJ21" s="29" t="inlineStr">
        <is>
          <t>Source traced</t>
        </is>
      </c>
      <c r="AK21" s="29" t="inlineStr">
        <is>
          <t>EV-01-0017;EV-01-0036</t>
        </is>
      </c>
      <c r="AL21" s="29" t="inlineStr"/>
      <c r="AM21" s="29" t="inlineStr"/>
      <c r="AN21" s="29" t="inlineStr"/>
      <c r="AO21" s="29" t="inlineStr">
        <is>
          <t>8bc0dcb2a1da1b21368c5536aaeef829d587f316</t>
        </is>
      </c>
      <c r="AP21" s="29" t="inlineStr">
        <is>
          <t>Medium</t>
        </is>
      </c>
      <c r="AQ21" s="29" t="inlineStr">
        <is>
          <t>Not assessed</t>
        </is>
      </c>
      <c r="AR21" s="29" t="inlineStr">
        <is>
          <t>Not assessed</t>
        </is>
      </c>
      <c r="AS21" s="29" t="inlineStr">
        <is>
          <t>Fail</t>
        </is>
      </c>
      <c r="AT21" s="29" t="inlineStr">
        <is>
          <t>Not assessed</t>
        </is>
      </c>
      <c r="AU21" s="29" t="inlineStr">
        <is>
          <t>Not assessed</t>
        </is>
      </c>
      <c r="AV21" s="29" t="inlineStr">
        <is>
          <t>Not assessed</t>
        </is>
      </c>
      <c r="AW21" s="29" t="inlineStr">
        <is>
          <t>Not assessed</t>
        </is>
      </c>
      <c r="AX21" s="29" t="inlineStr">
        <is>
          <t>Not assessed</t>
        </is>
      </c>
      <c r="AY21" s="29" t="inlineStr">
        <is>
          <t>Not assessed</t>
        </is>
      </c>
      <c r="AZ21" s="29" t="inlineStr">
        <is>
          <t>Not assessed</t>
        </is>
      </c>
      <c r="BA21" s="29" t="inlineStr">
        <is>
          <t>Not assessed</t>
        </is>
      </c>
      <c r="BB21" s="29" t="inlineStr">
        <is>
          <t>Not assessed</t>
        </is>
      </c>
      <c r="BC21" s="29" t="inlineStr">
        <is>
          <t>Not assessed</t>
        </is>
      </c>
      <c r="BD21" s="29" t="inlineStr">
        <is>
          <t>Not assessed</t>
        </is>
      </c>
      <c r="BE21" s="29" t="inlineStr">
        <is>
          <t>Development required</t>
        </is>
      </c>
      <c r="BF21" s="29" t="inlineStr">
        <is>
          <t>Physical implementation is not complete against the stated requirement.; speechToTextService.transcribeAudio in demo mode returns placeholder string (line 339). Gemini API key must be present in production build. Physical device not verified. Direct client-to-API call (not server-proxied).</t>
        </is>
      </c>
      <c r="BG21" s="29" t="inlineStr">
        <is>
          <t>Verify Gemini API key in production build; test transcription on physical device.</t>
        </is>
      </c>
      <c r="BH21" s="29" t="inlineStr"/>
      <c r="BI21" s="29" t="inlineStr"/>
      <c r="BJ21" s="29" t="inlineStr"/>
      <c r="BK21" s="29" t="inlineStr">
        <is>
          <t>Evidence reconciled against the reviewed source revision. No production approval is inferred from implementation or file presence.</t>
        </is>
      </c>
      <c r="BL21" s="29" t="inlineStr">
        <is>
          <t>2026-08-02</t>
        </is>
      </c>
    </row>
    <row r="22" ht="42" customHeight="1">
      <c r="A22" s="29" t="inlineStr">
        <is>
          <t>BLYP-01-021</t>
        </is>
      </c>
      <c r="B22" s="29" t="inlineStr"/>
      <c r="C22" s="29" t="inlineStr">
        <is>
          <t>BLYP Bar and AI-assisted posting</t>
        </is>
      </c>
      <c r="D22" s="29" t="n">
        <v>1</v>
      </c>
      <c r="E22" s="29" t="n">
        <v>21</v>
      </c>
      <c r="F22" s="29" t="inlineStr">
        <is>
          <t>Feature</t>
        </is>
      </c>
      <c r="G22" s="29" t="inlineStr">
        <is>
          <t>Creative-direction input for AI captions</t>
        </is>
      </c>
      <c r="H22" s="29" t="inlineStr">
        <is>
          <t>Creative-direction input for AI captions</t>
        </is>
      </c>
      <c r="I22" s="29" t="inlineStr">
        <is>
          <t>/home/ubuntu/blyp_product_requirements.md :: Section 1 — BLYP Bar and AI-assisted posting</t>
        </is>
      </c>
      <c r="J22" s="29" t="inlineStr">
        <is>
          <t>/home/ubuntu/BLYP_COMPLETE_FEATURE_LIST.md:36</t>
        </is>
      </c>
      <c r="K22" s="29" t="inlineStr">
        <is>
          <t>Required</t>
        </is>
      </c>
      <c r="L22" s="29" t="inlineStr">
        <is>
          <t>Applicable BLYP member</t>
        </is>
      </c>
      <c r="M22" s="29" t="inlineStr">
        <is>
          <t>BLYP mobile application and supporting production services</t>
        </is>
      </c>
      <c r="N22" s="29" t="inlineStr">
        <is>
          <t>Creative-direction input for AI captions</t>
        </is>
      </c>
      <c r="O22" s="29" t="inlineStr">
        <is>
          <t>Not explicitly defined in the product source; requires accountable product approval before production sign-off.</t>
        </is>
      </c>
      <c r="P22" s="29" t="inlineStr">
        <is>
          <t>Gemini API (receives creative direction as part of context prompt); EXPO_PUBLIC_GEMINI_API_KEY</t>
        </is>
      </c>
      <c r="Q22" s="29" t="inlineStr">
        <is>
          <t>Partial</t>
        </is>
      </c>
      <c r="R22" s="29" t="inlineStr"/>
      <c r="S22" s="29" t="inlineStr">
        <is>
          <t>Partial</t>
        </is>
      </c>
      <c r="T22" s="29" t="inlineStr">
        <is>
          <t>ReviewScreen.js; manualDescription TextInput; descriptionText state</t>
        </is>
      </c>
      <c r="U22" s="29" t="inlineStr">
        <is>
          <t>ReviewScreen.js; description method overlay; manualDescription input</t>
        </is>
      </c>
      <c r="V22" s="29" t="inlineStr">
        <is>
          <t>manualDescription state; descriptionText state; allContextualData.manualText</t>
        </is>
      </c>
      <c r="W22" s="29" t="inlineStr">
        <is>
          <t>Not found</t>
        </is>
      </c>
      <c r="X22" s="29" t="inlineStr">
        <is>
          <t>Not found</t>
        </is>
      </c>
      <c r="Y22" s="29" t="inlineStr">
        <is>
          <t>Not found</t>
        </is>
      </c>
      <c r="Z22" s="29" t="inlineStr">
        <is>
          <t>Gemini API (receives creative direction as part of context prompt)</t>
        </is>
      </c>
      <c r="AA22" s="29" t="inlineStr">
        <is>
          <t>EXPO_PUBLIC_GEMINI_API_KEY</t>
        </is>
      </c>
      <c r="AB22" s="29" t="inlineStr">
        <is>
          <t>Expo mobile client</t>
        </is>
      </c>
      <c r="AC22" s="30" t="inlineStr">
        <is>
          <t>RP-002</t>
        </is>
      </c>
      <c r="AD22" s="29" t="inlineStr">
        <is>
          <t>User types creative direction in manualDescription TextInput; text is included in AI context prompt as 'Extra user context' in generateComprehensiveAIContent.</t>
        </is>
      </c>
      <c r="AE22" s="29" t="inlineStr">
        <is>
          <t>User reachable</t>
        </is>
      </c>
      <c r="AF22" s="29" t="inlineStr">
        <is>
          <t>ReviewScreen.js; manualDescription TextInput; descriptionText state; User types creative direction in manualDescription TextInput; text is included in AI context prompt as 'Extra user context' in generateComprehensiveAIContent.</t>
        </is>
      </c>
      <c r="AG22" s="29" t="inlineStr">
        <is>
          <t>Incomplete</t>
        </is>
      </c>
      <c r="AH22" s="29" t="inlineStr">
        <is>
          <t>No</t>
        </is>
      </c>
      <c r="AI22" s="29" t="inlineStr">
        <is>
          <t>No dedicated 'creative direction' UI label found. The feature is implemented as a general text input that feeds into AI context. No distinct UX flow for creative direction vs. plain caption entry. Production build not verified.</t>
        </is>
      </c>
      <c r="AJ22" s="29" t="inlineStr">
        <is>
          <t>Source traced</t>
        </is>
      </c>
      <c r="AK22" s="29" t="inlineStr">
        <is>
          <t>EV-01-0018</t>
        </is>
      </c>
      <c r="AL22" s="29" t="inlineStr"/>
      <c r="AM22" s="29" t="inlineStr"/>
      <c r="AN22" s="29" t="inlineStr"/>
      <c r="AO22" s="29" t="inlineStr">
        <is>
          <t>8bc0dcb2a1da1b21368c5536aaeef829d587f316</t>
        </is>
      </c>
      <c r="AP22" s="29" t="inlineStr">
        <is>
          <t>Low</t>
        </is>
      </c>
      <c r="AQ22" s="29" t="inlineStr">
        <is>
          <t>Not assessed</t>
        </is>
      </c>
      <c r="AR22" s="29" t="inlineStr">
        <is>
          <t>Not assessed</t>
        </is>
      </c>
      <c r="AS22" s="29" t="inlineStr">
        <is>
          <t>Fail</t>
        </is>
      </c>
      <c r="AT22" s="29" t="inlineStr">
        <is>
          <t>Not assessed</t>
        </is>
      </c>
      <c r="AU22" s="29" t="inlineStr">
        <is>
          <t>Not assessed</t>
        </is>
      </c>
      <c r="AV22" s="29" t="inlineStr">
        <is>
          <t>Not assessed</t>
        </is>
      </c>
      <c r="AW22" s="29" t="inlineStr">
        <is>
          <t>Not assessed</t>
        </is>
      </c>
      <c r="AX22" s="29" t="inlineStr">
        <is>
          <t>Not assessed</t>
        </is>
      </c>
      <c r="AY22" s="29" t="inlineStr">
        <is>
          <t>Not assessed</t>
        </is>
      </c>
      <c r="AZ22" s="29" t="inlineStr">
        <is>
          <t>Not assessed</t>
        </is>
      </c>
      <c r="BA22" s="29" t="inlineStr">
        <is>
          <t>Not assessed</t>
        </is>
      </c>
      <c r="BB22" s="29" t="inlineStr">
        <is>
          <t>Not assessed</t>
        </is>
      </c>
      <c r="BC22" s="29" t="inlineStr">
        <is>
          <t>Not assessed</t>
        </is>
      </c>
      <c r="BD22" s="29" t="inlineStr">
        <is>
          <t>Not assessed</t>
        </is>
      </c>
      <c r="BE22" s="29" t="inlineStr">
        <is>
          <t>Development required</t>
        </is>
      </c>
      <c r="BF22" s="29" t="inlineStr">
        <is>
          <t>Physical implementation is not complete against the stated requirement.; No dedicated 'creative direction' UI label found. The feature is implemented as a general text input that feeds into AI context. No distinct UX flow for creative direction vs. plain caption entry. Production build not verified.</t>
        </is>
      </c>
      <c r="BG22" s="29" t="inlineStr">
        <is>
          <t>Confirm dedicated creative-direction UI; test on device with Gemini API key.</t>
        </is>
      </c>
      <c r="BH22" s="29" t="inlineStr"/>
      <c r="BI22" s="29" t="inlineStr"/>
      <c r="BJ22" s="29" t="inlineStr"/>
      <c r="BK22" s="29" t="inlineStr">
        <is>
          <t>Evidence reconciled against the reviewed source revision. No production approval is inferred from implementation or file presence.</t>
        </is>
      </c>
      <c r="BL22" s="29" t="inlineStr">
        <is>
          <t>2026-08-02</t>
        </is>
      </c>
    </row>
    <row r="23" ht="42" customHeight="1">
      <c r="A23" s="29" t="inlineStr">
        <is>
          <t>BLYP-01-022</t>
        </is>
      </c>
      <c r="B23" s="29" t="inlineStr"/>
      <c r="C23" s="29" t="inlineStr">
        <is>
          <t>BLYP Bar and AI-assisted posting</t>
        </is>
      </c>
      <c r="D23" s="29" t="n">
        <v>1</v>
      </c>
      <c r="E23" s="29" t="n">
        <v>22</v>
      </c>
      <c r="F23" s="29" t="inlineStr">
        <is>
          <t>Feature</t>
        </is>
      </c>
      <c r="G23" s="29" t="inlineStr">
        <is>
          <t>Context-aware caption generation</t>
        </is>
      </c>
      <c r="H23" s="29" t="inlineStr">
        <is>
          <t>Context-aware caption generation</t>
        </is>
      </c>
      <c r="I23" s="29" t="inlineStr">
        <is>
          <t>/home/ubuntu/blyp_product_requirements.md :: Section 1 — BLYP Bar and AI-assisted posting</t>
        </is>
      </c>
      <c r="J23" s="29" t="inlineStr">
        <is>
          <t>/home/ubuntu/BLYP_COMPLETE_FEATURE_LIST.md:37</t>
        </is>
      </c>
      <c r="K23" s="29" t="inlineStr">
        <is>
          <t>Required</t>
        </is>
      </c>
      <c r="L23" s="29" t="inlineStr">
        <is>
          <t>Applicable BLYP member</t>
        </is>
      </c>
      <c r="M23" s="29" t="inlineStr">
        <is>
          <t>BLYP mobile application and supporting production services</t>
        </is>
      </c>
      <c r="N23" s="29" t="inlineStr">
        <is>
          <t>Context-aware caption generation</t>
        </is>
      </c>
      <c r="O23" s="29" t="inlineStr">
        <is>
          <t>Not explicitly defined in the product source; requires accountable product approval before production sign-off.</t>
        </is>
      </c>
      <c r="P23" s="29" t="inlineStr">
        <is>
          <t>Gemini API (generativelanguage.googleapis.com/v1beta/models/gemini-2.5-flash-preview-05-20); EXPO_PUBLIC_GEMINI_API_KEY</t>
        </is>
      </c>
      <c r="Q23" s="29" t="inlineStr">
        <is>
          <t>Yes</t>
        </is>
      </c>
      <c r="R23" s="29" t="inlineStr"/>
      <c r="S23" s="29" t="inlineStr">
        <is>
          <t>Partial</t>
        </is>
      </c>
      <c r="T23" s="29" t="inlineStr">
        <is>
          <t>ReviewScreen.js; handleGenerateAIPost; generateComprehensiveAIContent</t>
        </is>
      </c>
      <c r="U23" s="29" t="inlineStr">
        <is>
          <t>ReviewScreen.js; AI Enhanced toggle; aiCaptionInput</t>
        </is>
      </c>
      <c r="V23" s="29" t="inlineStr">
        <is>
          <t>mediaDescriptionService.generateFullPostData/generateFullPostDataWithContext; aiCaption state; generatedContent state</t>
        </is>
      </c>
      <c r="W23" s="29" t="inlineStr">
        <is>
          <t>Not found (direct client-to-Gemini API)</t>
        </is>
      </c>
      <c r="X23" s="29" t="inlineStr">
        <is>
          <t>Not found</t>
        </is>
      </c>
      <c r="Y23" s="29" t="inlineStr">
        <is>
          <t>Not found</t>
        </is>
      </c>
      <c r="Z23" s="29" t="inlineStr">
        <is>
          <t>Gemini API (generativelanguage.googleapis.com/v1beta/models/gemini-2.5-flash-preview-05-20)</t>
        </is>
      </c>
      <c r="AA23" s="29" t="inlineStr">
        <is>
          <t>EXPO_PUBLIC_GEMINI_API_KEY</t>
        </is>
      </c>
      <c r="AB23" s="29" t="inlineStr">
        <is>
          <t>Expo mobile client</t>
        </is>
      </c>
      <c r="AC23" s="30" t="inlineStr">
        <is>
          <t>RP-002</t>
        </is>
      </c>
      <c r="AD23" s="29" t="inlineStr">
        <is>
          <t>ReviewScreen calls mediaDescriptionService.generateFullPostDataWithContext with media URI and context prompt; Gemini returns description/caption.</t>
        </is>
      </c>
      <c r="AE23" s="29" t="inlineStr">
        <is>
          <t>User reachable</t>
        </is>
      </c>
      <c r="AF23" s="29" t="inlineStr">
        <is>
          <t>ReviewScreen.js; handleGenerateAIPost; generateComprehensiveAIContent; ReviewScreen calls mediaDescriptionService.generateFullPostDataWithContext with media URI and context prompt; Gemini returns description/caption.</t>
        </is>
      </c>
      <c r="AG23" s="29" t="inlineStr">
        <is>
          <t>Incomplete</t>
        </is>
      </c>
      <c r="AH23" s="29" t="inlineStr">
        <is>
          <t>No</t>
        </is>
      </c>
      <c r="AI23" s="29" t="inlineStr">
        <is>
          <t>Only one caption generated per call (not three distinct choices). Gemini API key must be present. Direct client-to-API call. Production build not verified.</t>
        </is>
      </c>
      <c r="AJ23" s="29" t="inlineStr">
        <is>
          <t>Source traced</t>
        </is>
      </c>
      <c r="AK23" s="29" t="inlineStr">
        <is>
          <t>EV-01-0019;EV-01-0032</t>
        </is>
      </c>
      <c r="AL23" s="29" t="inlineStr"/>
      <c r="AM23" s="29" t="inlineStr"/>
      <c r="AN23" s="29" t="inlineStr"/>
      <c r="AO23" s="29" t="inlineStr">
        <is>
          <t>8bc0dcb2a1da1b21368c5536aaeef829d587f316</t>
        </is>
      </c>
      <c r="AP23" s="29" t="inlineStr">
        <is>
          <t>Medium</t>
        </is>
      </c>
      <c r="AQ23" s="29" t="inlineStr">
        <is>
          <t>Not assessed</t>
        </is>
      </c>
      <c r="AR23" s="29" t="inlineStr">
        <is>
          <t>Not assessed</t>
        </is>
      </c>
      <c r="AS23" s="29" t="inlineStr">
        <is>
          <t>Fail</t>
        </is>
      </c>
      <c r="AT23" s="29" t="inlineStr">
        <is>
          <t>Not assessed</t>
        </is>
      </c>
      <c r="AU23" s="29" t="inlineStr">
        <is>
          <t>Not assessed</t>
        </is>
      </c>
      <c r="AV23" s="29" t="inlineStr">
        <is>
          <t>Not assessed</t>
        </is>
      </c>
      <c r="AW23" s="29" t="inlineStr">
        <is>
          <t>Not assessed</t>
        </is>
      </c>
      <c r="AX23" s="29" t="inlineStr">
        <is>
          <t>Not assessed</t>
        </is>
      </c>
      <c r="AY23" s="29" t="inlineStr">
        <is>
          <t>Not assessed</t>
        </is>
      </c>
      <c r="AZ23" s="29" t="inlineStr">
        <is>
          <t>Not assessed</t>
        </is>
      </c>
      <c r="BA23" s="29" t="inlineStr">
        <is>
          <t>Not assessed</t>
        </is>
      </c>
      <c r="BB23" s="29" t="inlineStr">
        <is>
          <t>Not assessed</t>
        </is>
      </c>
      <c r="BC23" s="29" t="inlineStr">
        <is>
          <t>Not assessed</t>
        </is>
      </c>
      <c r="BD23" s="29" t="inlineStr">
        <is>
          <t>Not assessed</t>
        </is>
      </c>
      <c r="BE23" s="29" t="inlineStr">
        <is>
          <t>Development required</t>
        </is>
      </c>
      <c r="BF23" s="29" t="inlineStr">
        <is>
          <t>Physical implementation is not complete against the stated requirement.; Only one caption generated per call (not three distinct choices). Gemini API key must be present. Direct client-to-API call. Production build not verified.</t>
        </is>
      </c>
      <c r="BG23" s="29" t="inlineStr">
        <is>
          <t>Verify Gemini API key in production build; test caption generation on device.</t>
        </is>
      </c>
      <c r="BH23" s="29" t="inlineStr"/>
      <c r="BI23" s="29" t="inlineStr"/>
      <c r="BJ23" s="29" t="inlineStr"/>
      <c r="BK23" s="29" t="inlineStr">
        <is>
          <t>Evidence reconciled against the reviewed source revision. No production approval is inferred from implementation or file presence.</t>
        </is>
      </c>
      <c r="BL23" s="29" t="inlineStr">
        <is>
          <t>2026-08-02</t>
        </is>
      </c>
    </row>
    <row r="24" ht="42" customHeight="1">
      <c r="A24" s="29" t="inlineStr">
        <is>
          <t>BLYP-01-023</t>
        </is>
      </c>
      <c r="B24" s="29" t="inlineStr"/>
      <c r="C24" s="29" t="inlineStr">
        <is>
          <t>BLYP Bar and AI-assisted posting</t>
        </is>
      </c>
      <c r="D24" s="29" t="n">
        <v>1</v>
      </c>
      <c r="E24" s="29" t="n">
        <v>23</v>
      </c>
      <c r="F24" s="29" t="inlineStr">
        <is>
          <t>Feature</t>
        </is>
      </c>
      <c r="G24" s="29" t="inlineStr">
        <is>
          <t>Three distinct caption choices per generation</t>
        </is>
      </c>
      <c r="H24" s="29" t="inlineStr">
        <is>
          <t>Three distinct caption choices per generation</t>
        </is>
      </c>
      <c r="I24" s="29" t="inlineStr">
        <is>
          <t>/home/ubuntu/blyp_product_requirements.md :: Section 1 — BLYP Bar and AI-assisted posting</t>
        </is>
      </c>
      <c r="J24" s="29" t="inlineStr">
        <is>
          <t>/home/ubuntu/BLYP_COMPLETE_FEATURE_LIST.md:38</t>
        </is>
      </c>
      <c r="K24" s="29" t="inlineStr">
        <is>
          <t>Required</t>
        </is>
      </c>
      <c r="L24" s="29" t="inlineStr">
        <is>
          <t>Applicable BLYP member</t>
        </is>
      </c>
      <c r="M24" s="29" t="inlineStr">
        <is>
          <t>BLYP mobile application and supporting production services</t>
        </is>
      </c>
      <c r="N24" s="29" t="inlineStr">
        <is>
          <t>Three distinct caption choices per generation</t>
        </is>
      </c>
      <c r="O24" s="29" t="inlineStr">
        <is>
          <t>Not explicitly defined in the product source; requires accountable product approval before production sign-off.</t>
        </is>
      </c>
      <c r="P24" s="29" t="inlineStr"/>
      <c r="Q24" s="29" t="inlineStr">
        <is>
          <t>Needs verification</t>
        </is>
      </c>
      <c r="R24" s="29" t="inlineStr">
        <is>
          <t>variant support exists, but the exact three-choice behaviour is disputed in the audit material.</t>
        </is>
      </c>
      <c r="S24" s="29" t="inlineStr">
        <is>
          <t>Not found</t>
        </is>
      </c>
      <c r="T24" s="29" t="inlineStr">
        <is>
          <t>Not found</t>
        </is>
      </c>
      <c r="U24" s="29" t="inlineStr">
        <is>
          <t>Not found</t>
        </is>
      </c>
      <c r="V24" s="29" t="inlineStr">
        <is>
          <t>Not found</t>
        </is>
      </c>
      <c r="W24" s="29" t="inlineStr">
        <is>
          <t>Not found</t>
        </is>
      </c>
      <c r="X24" s="29" t="inlineStr">
        <is>
          <t>Unknown</t>
        </is>
      </c>
      <c r="Y24" s="29" t="inlineStr">
        <is>
          <t>Not found</t>
        </is>
      </c>
      <c r="Z24" s="29" t="inlineStr">
        <is>
          <t>Not found</t>
        </is>
      </c>
      <c r="AA24" s="29" t="inlineStr">
        <is>
          <t>Not found</t>
        </is>
      </c>
      <c r="AB24" s="29" t="inlineStr">
        <is>
          <t>Unknown</t>
        </is>
      </c>
      <c r="AC24" s="29" t="inlineStr"/>
      <c r="AD24" s="29" t="inlineStr"/>
      <c r="AE24" s="29" t="inlineStr">
        <is>
          <t>Unknown</t>
        </is>
      </c>
      <c r="AF24" s="29" t="inlineStr"/>
      <c r="AG24" s="29" t="inlineStr">
        <is>
          <t>Not started</t>
        </is>
      </c>
      <c r="AH24" s="29" t="inlineStr">
        <is>
          <t>No</t>
        </is>
      </c>
      <c r="AI24" s="29" t="inlineStr">
        <is>
          <t>No three-distinct-caption-choices feature found. AI generates one description per call. Searched for 'three', 'choice', 'choices', 'distinct', 'option', 'options' in AI service files and ReviewScreen - no match.</t>
        </is>
      </c>
      <c r="AJ24" s="29" t="inlineStr">
        <is>
          <t>Not verified</t>
        </is>
      </c>
      <c r="AK24" s="29" t="inlineStr">
        <is>
          <t>EV-01-0020</t>
        </is>
      </c>
      <c r="AL24" s="29" t="inlineStr"/>
      <c r="AM24" s="29" t="inlineStr"/>
      <c r="AN24" s="29" t="inlineStr"/>
      <c r="AO24" s="29" t="inlineStr">
        <is>
          <t>8bc0dcb2a1da1b21368c5536aaeef829d587f316</t>
        </is>
      </c>
      <c r="AP24" s="29" t="inlineStr">
        <is>
          <t>Low</t>
        </is>
      </c>
      <c r="AQ24" s="29" t="inlineStr">
        <is>
          <t>Not assessed</t>
        </is>
      </c>
      <c r="AR24" s="29" t="inlineStr">
        <is>
          <t>Not assessed</t>
        </is>
      </c>
      <c r="AS24" s="29" t="inlineStr">
        <is>
          <t>Fail</t>
        </is>
      </c>
      <c r="AT24" s="29" t="inlineStr">
        <is>
          <t>Not assessed</t>
        </is>
      </c>
      <c r="AU24" s="29" t="inlineStr">
        <is>
          <t>Not assessed</t>
        </is>
      </c>
      <c r="AV24" s="29" t="inlineStr">
        <is>
          <t>Not assessed</t>
        </is>
      </c>
      <c r="AW24" s="29" t="inlineStr">
        <is>
          <t>Not assessed</t>
        </is>
      </c>
      <c r="AX24" s="29" t="inlineStr">
        <is>
          <t>Not assessed</t>
        </is>
      </c>
      <c r="AY24" s="29" t="inlineStr">
        <is>
          <t>Not assessed</t>
        </is>
      </c>
      <c r="AZ24" s="29" t="inlineStr">
        <is>
          <t>Not assessed</t>
        </is>
      </c>
      <c r="BA24" s="29" t="inlineStr">
        <is>
          <t>Not assessed</t>
        </is>
      </c>
      <c r="BB24" s="29" t="inlineStr">
        <is>
          <t>Not assessed</t>
        </is>
      </c>
      <c r="BC24" s="29" t="inlineStr">
        <is>
          <t>Not assessed</t>
        </is>
      </c>
      <c r="BD24" s="29" t="inlineStr">
        <is>
          <t>Not assessed</t>
        </is>
      </c>
      <c r="BE24" s="29" t="inlineStr">
        <is>
          <t>Development required</t>
        </is>
      </c>
      <c r="BF24" s="29" t="inlineStr">
        <is>
          <t>Physical implementation is not complete against the stated requirement.; No three-distinct-caption-choices feature found. AI generates one description per call. Searched for 'three', 'choice', 'choices', 'distinct', 'option', 'options' in AI service files and ReviewScreen - no match.</t>
        </is>
      </c>
      <c r="BG24" s="29" t="inlineStr">
        <is>
          <t>Confirm whether requirement is to generate 3 choices per call; if so, implement and verify.</t>
        </is>
      </c>
      <c r="BH24" s="29" t="inlineStr"/>
      <c r="BI24" s="29" t="inlineStr"/>
      <c r="BJ24" s="29" t="inlineStr"/>
      <c r="BK24" s="29" t="inlineStr">
        <is>
          <t>Evidence reconciled against the reviewed source revision. No production approval is inferred from implementation or file presence.</t>
        </is>
      </c>
      <c r="BL24" s="29" t="inlineStr">
        <is>
          <t>2026-08-02</t>
        </is>
      </c>
    </row>
    <row r="25" ht="42" customHeight="1">
      <c r="A25" s="29" t="inlineStr">
        <is>
          <t>BLYP-01-024</t>
        </is>
      </c>
      <c r="B25" s="29" t="inlineStr"/>
      <c r="C25" s="29" t="inlineStr">
        <is>
          <t>BLYP Bar and AI-assisted posting</t>
        </is>
      </c>
      <c r="D25" s="29" t="n">
        <v>1</v>
      </c>
      <c r="E25" s="29" t="n">
        <v>24</v>
      </c>
      <c r="F25" s="29" t="inlineStr">
        <is>
          <t>Feature</t>
        </is>
      </c>
      <c r="G25" s="29" t="inlineStr">
        <is>
          <t>Context-aware hashtag generation</t>
        </is>
      </c>
      <c r="H25" s="29" t="inlineStr">
        <is>
          <t>Context-aware hashtag generation</t>
        </is>
      </c>
      <c r="I25" s="29" t="inlineStr">
        <is>
          <t>/home/ubuntu/blyp_product_requirements.md :: Section 1 — BLYP Bar and AI-assisted posting</t>
        </is>
      </c>
      <c r="J25" s="29" t="inlineStr">
        <is>
          <t>/home/ubuntu/BLYP_COMPLETE_FEATURE_LIST.md:39</t>
        </is>
      </c>
      <c r="K25" s="29" t="inlineStr">
        <is>
          <t>Required</t>
        </is>
      </c>
      <c r="L25" s="29" t="inlineStr">
        <is>
          <t>Applicable BLYP member</t>
        </is>
      </c>
      <c r="M25" s="29" t="inlineStr">
        <is>
          <t>BLYP mobile application and supporting production services</t>
        </is>
      </c>
      <c r="N25" s="29" t="inlineStr">
        <is>
          <t>Context-aware hashtag generation</t>
        </is>
      </c>
      <c r="O25" s="29" t="inlineStr">
        <is>
          <t>Not explicitly defined in the product source; requires accountable product approval before production sign-off.</t>
        </is>
      </c>
      <c r="P25" s="29" t="inlineStr">
        <is>
          <t>Gemini API; EXPO_PUBLIC_GEMINI_API_KEY</t>
        </is>
      </c>
      <c r="Q25" s="29" t="inlineStr">
        <is>
          <t>Yes</t>
        </is>
      </c>
      <c r="R25" s="29" t="inlineStr"/>
      <c r="S25" s="29" t="inlineStr">
        <is>
          <t>Partial</t>
        </is>
      </c>
      <c r="T25" s="29" t="inlineStr">
        <is>
          <t>ReviewScreen.js; aiService.generateHashtags (line 2659); generatedHashtags state</t>
        </is>
      </c>
      <c r="U25" s="29" t="inlineStr">
        <is>
          <t>ReviewScreen.js; hashtag display section</t>
        </is>
      </c>
      <c r="V25" s="29" t="inlineStr">
        <is>
          <t>aiService.generateHashtags; generatedHashtags state; aiService.generateSmartContent</t>
        </is>
      </c>
      <c r="W25" s="29" t="inlineStr">
        <is>
          <t>Not found (direct client-to-Gemini API)</t>
        </is>
      </c>
      <c r="X25" s="29" t="inlineStr">
        <is>
          <t>Not found</t>
        </is>
      </c>
      <c r="Y25" s="29" t="inlineStr">
        <is>
          <t>Not found</t>
        </is>
      </c>
      <c r="Z25" s="29" t="inlineStr">
        <is>
          <t>Gemini API</t>
        </is>
      </c>
      <c r="AA25" s="29" t="inlineStr">
        <is>
          <t>EXPO_PUBLIC_GEMINI_API_KEY</t>
        </is>
      </c>
      <c r="AB25" s="29" t="inlineStr">
        <is>
          <t>Expo mobile client</t>
        </is>
      </c>
      <c r="AC25" s="30" t="inlineStr">
        <is>
          <t>RP-002</t>
        </is>
      </c>
      <c r="AD25" s="29" t="inlineStr">
        <is>
          <t>ReviewScreen calls aiService.generateHashtags(caption, media) which calls generateSmartContent and returns hashtags array from Gemini API.</t>
        </is>
      </c>
      <c r="AE25" s="29" t="inlineStr">
        <is>
          <t>User reachable</t>
        </is>
      </c>
      <c r="AF25" s="29" t="inlineStr">
        <is>
          <t>ReviewScreen.js; aiService.generateHashtags (line 2659); generatedHashtags state; ReviewScreen calls aiService.generateHashtags(caption, media) which calls generateSmartContent and returns hashtags array from Gemini API.</t>
        </is>
      </c>
      <c r="AG25" s="29" t="inlineStr">
        <is>
          <t>Incomplete</t>
        </is>
      </c>
      <c r="AH25" s="29" t="inlineStr">
        <is>
          <t>No</t>
        </is>
      </c>
      <c r="AI25" s="29" t="inlineStr">
        <is>
          <t>Gemini API key must be present. Direct client-to-API call. Production build not verified.</t>
        </is>
      </c>
      <c r="AJ25" s="29" t="inlineStr">
        <is>
          <t>Source traced</t>
        </is>
      </c>
      <c r="AK25" s="29" t="inlineStr">
        <is>
          <t>EV-01-0021</t>
        </is>
      </c>
      <c r="AL25" s="29" t="inlineStr"/>
      <c r="AM25" s="29" t="inlineStr"/>
      <c r="AN25" s="29" t="inlineStr"/>
      <c r="AO25" s="29" t="inlineStr">
        <is>
          <t>8bc0dcb2a1da1b21368c5536aaeef829d587f316</t>
        </is>
      </c>
      <c r="AP25" s="29" t="inlineStr">
        <is>
          <t>Medium</t>
        </is>
      </c>
      <c r="AQ25" s="29" t="inlineStr">
        <is>
          <t>Not assessed</t>
        </is>
      </c>
      <c r="AR25" s="29" t="inlineStr">
        <is>
          <t>Not assessed</t>
        </is>
      </c>
      <c r="AS25" s="29" t="inlineStr">
        <is>
          <t>Fail</t>
        </is>
      </c>
      <c r="AT25" s="29" t="inlineStr">
        <is>
          <t>Not assessed</t>
        </is>
      </c>
      <c r="AU25" s="29" t="inlineStr">
        <is>
          <t>Not assessed</t>
        </is>
      </c>
      <c r="AV25" s="29" t="inlineStr">
        <is>
          <t>Not assessed</t>
        </is>
      </c>
      <c r="AW25" s="29" t="inlineStr">
        <is>
          <t>Not assessed</t>
        </is>
      </c>
      <c r="AX25" s="29" t="inlineStr">
        <is>
          <t>Not assessed</t>
        </is>
      </c>
      <c r="AY25" s="29" t="inlineStr">
        <is>
          <t>Not assessed</t>
        </is>
      </c>
      <c r="AZ25" s="29" t="inlineStr">
        <is>
          <t>Not assessed</t>
        </is>
      </c>
      <c r="BA25" s="29" t="inlineStr">
        <is>
          <t>Not assessed</t>
        </is>
      </c>
      <c r="BB25" s="29" t="inlineStr">
        <is>
          <t>Not assessed</t>
        </is>
      </c>
      <c r="BC25" s="29" t="inlineStr">
        <is>
          <t>Not assessed</t>
        </is>
      </c>
      <c r="BD25" s="29" t="inlineStr">
        <is>
          <t>Not assessed</t>
        </is>
      </c>
      <c r="BE25" s="29" t="inlineStr">
        <is>
          <t>Development required</t>
        </is>
      </c>
      <c r="BF25" s="29" t="inlineStr">
        <is>
          <t>Physical implementation is not complete against the stated requirement.; Gemini API key must be present. Direct client-to-API call. Production build not verified.</t>
        </is>
      </c>
      <c r="BG25" s="29" t="inlineStr">
        <is>
          <t>Verify Gemini API key in production build; test hashtag generation on device.</t>
        </is>
      </c>
      <c r="BH25" s="29" t="inlineStr"/>
      <c r="BI25" s="29" t="inlineStr"/>
      <c r="BJ25" s="29" t="inlineStr"/>
      <c r="BK25" s="29" t="inlineStr">
        <is>
          <t>Evidence reconciled against the reviewed source revision. No production approval is inferred from implementation or file presence.</t>
        </is>
      </c>
      <c r="BL25" s="29" t="inlineStr">
        <is>
          <t>2026-08-02</t>
        </is>
      </c>
    </row>
    <row r="26" ht="42" customHeight="1">
      <c r="A26" s="29" t="inlineStr">
        <is>
          <t>BLYP-01-025</t>
        </is>
      </c>
      <c r="B26" s="29" t="inlineStr"/>
      <c r="C26" s="29" t="inlineStr">
        <is>
          <t>BLYP Bar and AI-assisted posting</t>
        </is>
      </c>
      <c r="D26" s="29" t="n">
        <v>1</v>
      </c>
      <c r="E26" s="29" t="n">
        <v>25</v>
      </c>
      <c r="F26" s="29" t="inlineStr">
        <is>
          <t>Feature</t>
        </is>
      </c>
      <c r="G26" s="29" t="inlineStr">
        <is>
          <t>Select an AI suggestion</t>
        </is>
      </c>
      <c r="H26" s="29" t="inlineStr">
        <is>
          <t>Select an AI suggestion</t>
        </is>
      </c>
      <c r="I26" s="29" t="inlineStr">
        <is>
          <t>/home/ubuntu/blyp_product_requirements.md :: Section 1 — BLYP Bar and AI-assisted posting</t>
        </is>
      </c>
      <c r="J26" s="29" t="inlineStr">
        <is>
          <t>/home/ubuntu/BLYP_COMPLETE_FEATURE_LIST.md:40</t>
        </is>
      </c>
      <c r="K26" s="29" t="inlineStr">
        <is>
          <t>Required</t>
        </is>
      </c>
      <c r="L26" s="29" t="inlineStr">
        <is>
          <t>Applicable BLYP member</t>
        </is>
      </c>
      <c r="M26" s="29" t="inlineStr">
        <is>
          <t>BLYP mobile application and supporting production services</t>
        </is>
      </c>
      <c r="N26" s="29" t="inlineStr">
        <is>
          <t>Select an AI suggestion</t>
        </is>
      </c>
      <c r="O26" s="29" t="inlineStr">
        <is>
          <t>Not explicitly defined in the product source; requires accountable product approval before production sign-off.</t>
        </is>
      </c>
      <c r="P26" s="29" t="inlineStr"/>
      <c r="Q26" s="29" t="inlineStr">
        <is>
          <t>Yes</t>
        </is>
      </c>
      <c r="R26" s="29" t="inlineStr"/>
      <c r="S26" s="29" t="inlineStr">
        <is>
          <t>Partial</t>
        </is>
      </c>
      <c r="T26" s="29" t="inlineStr">
        <is>
          <t>ReviewScreen.js; AI Enhanced toggle button (line 2506-2511)</t>
        </is>
      </c>
      <c r="U26" s="29" t="inlineStr">
        <is>
          <t>ReviewScreen.js; contentView toggle; aiCaptionInput</t>
        </is>
      </c>
      <c r="V26" s="29" t="inlineStr">
        <is>
          <t>contentView state; setCaption(aiCaption); aiSuggestions state</t>
        </is>
      </c>
      <c r="W26" s="29" t="inlineStr">
        <is>
          <t>Not found</t>
        </is>
      </c>
      <c r="X26" s="29" t="inlineStr">
        <is>
          <t>Not found</t>
        </is>
      </c>
      <c r="Y26" s="29" t="inlineStr">
        <is>
          <t>Not found</t>
        </is>
      </c>
      <c r="Z26" s="29" t="inlineStr">
        <is>
          <t>Not found</t>
        </is>
      </c>
      <c r="AA26" s="29" t="inlineStr">
        <is>
          <t>Not found</t>
        </is>
      </c>
      <c r="AB26" s="29" t="inlineStr">
        <is>
          <t>Expo mobile client</t>
        </is>
      </c>
      <c r="AC26" s="30" t="inlineStr">
        <is>
          <t>RP-002</t>
        </is>
      </c>
      <c r="AD26" s="29" t="inlineStr">
        <is>
          <t>User taps 'AI Enhanced' toggle in ReviewScreen; contentView switches to 'ai'; caption is set to aiCaption.</t>
        </is>
      </c>
      <c r="AE26" s="29" t="inlineStr">
        <is>
          <t>User reachable</t>
        </is>
      </c>
      <c r="AF26" s="29" t="inlineStr">
        <is>
          <t>ReviewScreen.js; AI Enhanced toggle button (line 2506-2511); User taps 'AI Enhanced' toggle in ReviewScreen; contentView switches to 'ai'; caption is set to aiCaption.</t>
        </is>
      </c>
      <c r="AG26" s="29" t="inlineStr">
        <is>
          <t>Incomplete</t>
        </is>
      </c>
      <c r="AH26" s="29" t="inlineStr">
        <is>
          <t>No</t>
        </is>
      </c>
      <c r="AI26" s="29" t="inlineStr">
        <is>
          <t>Only one AI suggestion available (no multi-choice selection UI). Production build not verified.</t>
        </is>
      </c>
      <c r="AJ26" s="29" t="inlineStr">
        <is>
          <t>Source traced</t>
        </is>
      </c>
      <c r="AK26" s="29" t="inlineStr">
        <is>
          <t>EV-01-0022</t>
        </is>
      </c>
      <c r="AL26" s="29" t="inlineStr"/>
      <c r="AM26" s="29" t="inlineStr"/>
      <c r="AN26" s="29" t="inlineStr"/>
      <c r="AO26" s="29" t="inlineStr">
        <is>
          <t>8bc0dcb2a1da1b21368c5536aaeef829d587f316</t>
        </is>
      </c>
      <c r="AP26" s="29" t="inlineStr">
        <is>
          <t>Medium</t>
        </is>
      </c>
      <c r="AQ26" s="29" t="inlineStr">
        <is>
          <t>Not assessed</t>
        </is>
      </c>
      <c r="AR26" s="29" t="inlineStr">
        <is>
          <t>Not assessed</t>
        </is>
      </c>
      <c r="AS26" s="29" t="inlineStr">
        <is>
          <t>Fail</t>
        </is>
      </c>
      <c r="AT26" s="29" t="inlineStr">
        <is>
          <t>Not assessed</t>
        </is>
      </c>
      <c r="AU26" s="29" t="inlineStr">
        <is>
          <t>Not assessed</t>
        </is>
      </c>
      <c r="AV26" s="29" t="inlineStr">
        <is>
          <t>Not assessed</t>
        </is>
      </c>
      <c r="AW26" s="29" t="inlineStr">
        <is>
          <t>Not assessed</t>
        </is>
      </c>
      <c r="AX26" s="29" t="inlineStr">
        <is>
          <t>Not assessed</t>
        </is>
      </c>
      <c r="AY26" s="29" t="inlineStr">
        <is>
          <t>Not assessed</t>
        </is>
      </c>
      <c r="AZ26" s="29" t="inlineStr">
        <is>
          <t>Not assessed</t>
        </is>
      </c>
      <c r="BA26" s="29" t="inlineStr">
        <is>
          <t>Not assessed</t>
        </is>
      </c>
      <c r="BB26" s="29" t="inlineStr">
        <is>
          <t>Not assessed</t>
        </is>
      </c>
      <c r="BC26" s="29" t="inlineStr">
        <is>
          <t>Not assessed</t>
        </is>
      </c>
      <c r="BD26" s="29" t="inlineStr">
        <is>
          <t>Not assessed</t>
        </is>
      </c>
      <c r="BE26" s="29" t="inlineStr">
        <is>
          <t>Development required</t>
        </is>
      </c>
      <c r="BF26" s="29" t="inlineStr">
        <is>
          <t>Physical implementation is not complete against the stated requirement.; Only one AI suggestion available (no multi-choice selection UI). Production build not verified.</t>
        </is>
      </c>
      <c r="BG26" s="29" t="inlineStr">
        <is>
          <t>Test AI suggestion selection on device; confirm multi-choice UX if required.</t>
        </is>
      </c>
      <c r="BH26" s="29" t="inlineStr"/>
      <c r="BI26" s="29" t="inlineStr"/>
      <c r="BJ26" s="29" t="inlineStr"/>
      <c r="BK26" s="29" t="inlineStr">
        <is>
          <t>Evidence reconciled against the reviewed source revision. No production approval is inferred from implementation or file presence.</t>
        </is>
      </c>
      <c r="BL26" s="29" t="inlineStr">
        <is>
          <t>2026-08-02</t>
        </is>
      </c>
    </row>
    <row r="27" ht="42" customHeight="1">
      <c r="A27" s="29" t="inlineStr">
        <is>
          <t>BLYP-01-026</t>
        </is>
      </c>
      <c r="B27" s="29" t="inlineStr"/>
      <c r="C27" s="29" t="inlineStr">
        <is>
          <t>BLYP Bar and AI-assisted posting</t>
        </is>
      </c>
      <c r="D27" s="29" t="n">
        <v>1</v>
      </c>
      <c r="E27" s="29" t="n">
        <v>26</v>
      </c>
      <c r="F27" s="29" t="inlineStr">
        <is>
          <t>Feature</t>
        </is>
      </c>
      <c r="G27" s="29" t="inlineStr">
        <is>
          <t>Edit an AI suggestion</t>
        </is>
      </c>
      <c r="H27" s="29" t="inlineStr">
        <is>
          <t>Edit an AI suggestion</t>
        </is>
      </c>
      <c r="I27" s="29" t="inlineStr">
        <is>
          <t>/home/ubuntu/blyp_product_requirements.md :: Section 1 — BLYP Bar and AI-assisted posting</t>
        </is>
      </c>
      <c r="J27" s="29" t="inlineStr">
        <is>
          <t>/home/ubuntu/BLYP_COMPLETE_FEATURE_LIST.md:41</t>
        </is>
      </c>
      <c r="K27" s="29" t="inlineStr">
        <is>
          <t>Required</t>
        </is>
      </c>
      <c r="L27" s="29" t="inlineStr">
        <is>
          <t>Applicable BLYP member</t>
        </is>
      </c>
      <c r="M27" s="29" t="inlineStr">
        <is>
          <t>BLYP mobile application and supporting production services</t>
        </is>
      </c>
      <c r="N27" s="29" t="inlineStr">
        <is>
          <t>Edit an AI suggestion</t>
        </is>
      </c>
      <c r="O27" s="29" t="inlineStr">
        <is>
          <t>Not explicitly defined in the product source; requires accountable product approval before production sign-off.</t>
        </is>
      </c>
      <c r="P27" s="29" t="inlineStr"/>
      <c r="Q27" s="29" t="inlineStr">
        <is>
          <t>Yes</t>
        </is>
      </c>
      <c r="R27" s="29" t="inlineStr"/>
      <c r="S27" s="29" t="inlineStr">
        <is>
          <t>End-to-end present</t>
        </is>
      </c>
      <c r="T27" s="29" t="inlineStr">
        <is>
          <t>ReviewScreen.js; aiCaptionInput TextInput (line 2581-2593)</t>
        </is>
      </c>
      <c r="U27" s="29" t="inlineStr">
        <is>
          <t>ReviewScreen.js; aiCaptionInput</t>
        </is>
      </c>
      <c r="V27" s="29" t="inlineStr">
        <is>
          <t>caption state; aiCaption state; setCaption; setAiCaption</t>
        </is>
      </c>
      <c r="W27" s="29" t="inlineStr">
        <is>
          <t>Not found</t>
        </is>
      </c>
      <c r="X27" s="29" t="inlineStr">
        <is>
          <t>Not found</t>
        </is>
      </c>
      <c r="Y27" s="29" t="inlineStr">
        <is>
          <t>Not found</t>
        </is>
      </c>
      <c r="Z27" s="29" t="inlineStr">
        <is>
          <t>Not found</t>
        </is>
      </c>
      <c r="AA27" s="29" t="inlineStr">
        <is>
          <t>Not found</t>
        </is>
      </c>
      <c r="AB27" s="29" t="inlineStr">
        <is>
          <t>Expo mobile client</t>
        </is>
      </c>
      <c r="AC27" s="30" t="inlineStr">
        <is>
          <t>RP-002</t>
        </is>
      </c>
      <c r="AD27" s="29" t="inlineStr">
        <is>
          <t>User edits AI-generated caption in aiCaptionInput TextInput; onChangeText updates both caption and aiCaption state.</t>
        </is>
      </c>
      <c r="AE27" s="29" t="inlineStr">
        <is>
          <t>User reachable</t>
        </is>
      </c>
      <c r="AF27" s="29" t="inlineStr">
        <is>
          <t>ReviewScreen.js; aiCaptionInput TextInput (line 2581-2593); User edits AI-generated caption in aiCaptionInput TextInput; onChangeText updates both caption and aiCaption state.</t>
        </is>
      </c>
      <c r="AG27" s="29" t="inlineStr">
        <is>
          <t>Complete against stated requirement</t>
        </is>
      </c>
      <c r="AH27" s="29" t="inlineStr">
        <is>
          <t>Yes</t>
        </is>
      </c>
      <c r="AI27" s="29" t="inlineStr">
        <is>
          <t>Production build not verified.</t>
        </is>
      </c>
      <c r="AJ27" s="29" t="inlineStr">
        <is>
          <t>Source traced</t>
        </is>
      </c>
      <c r="AK27" s="29" t="inlineStr">
        <is>
          <t>EV-01-0023</t>
        </is>
      </c>
      <c r="AL27" s="29" t="inlineStr"/>
      <c r="AM27" s="29" t="inlineStr"/>
      <c r="AN27" s="29" t="inlineStr"/>
      <c r="AO27" s="29" t="inlineStr">
        <is>
          <t>8bc0dcb2a1da1b21368c5536aaeef829d587f316</t>
        </is>
      </c>
      <c r="AP27" s="29" t="inlineStr">
        <is>
          <t>Medium</t>
        </is>
      </c>
      <c r="AQ27" s="29" t="inlineStr">
        <is>
          <t>Not assessed</t>
        </is>
      </c>
      <c r="AR27" s="29" t="inlineStr">
        <is>
          <t>Not assessed</t>
        </is>
      </c>
      <c r="AS27" s="29" t="inlineStr">
        <is>
          <t>Not assessed</t>
        </is>
      </c>
      <c r="AT27" s="29" t="inlineStr">
        <is>
          <t>Not assessed</t>
        </is>
      </c>
      <c r="AU27" s="29" t="inlineStr">
        <is>
          <t>Not assessed</t>
        </is>
      </c>
      <c r="AV27" s="29" t="inlineStr">
        <is>
          <t>Not assessed</t>
        </is>
      </c>
      <c r="AW27" s="29" t="inlineStr">
        <is>
          <t>Not assessed</t>
        </is>
      </c>
      <c r="AX27" s="29" t="inlineStr">
        <is>
          <t>Not assessed</t>
        </is>
      </c>
      <c r="AY27" s="29" t="inlineStr">
        <is>
          <t>Not assessed</t>
        </is>
      </c>
      <c r="AZ27" s="29" t="inlineStr">
        <is>
          <t>Not assessed</t>
        </is>
      </c>
      <c r="BA27" s="29" t="inlineStr">
        <is>
          <t>Not assessed</t>
        </is>
      </c>
      <c r="BB27" s="29" t="inlineStr">
        <is>
          <t>Not assessed</t>
        </is>
      </c>
      <c r="BC27" s="29" t="inlineStr">
        <is>
          <t>Not assessed</t>
        </is>
      </c>
      <c r="BD27" s="29" t="inlineStr">
        <is>
          <t>Not assessed</t>
        </is>
      </c>
      <c r="BE27" s="29" t="inlineStr">
        <is>
          <t>Ready for production validation</t>
        </is>
      </c>
      <c r="BF27" s="29" t="inlineStr">
        <is>
          <t>Applicable production gates and acceptance checks have not been completed on an approved release candidate.</t>
        </is>
      </c>
      <c r="BG27" s="29" t="inlineStr">
        <is>
          <t>Test AI suggestion editing on device.</t>
        </is>
      </c>
      <c r="BH27" s="29" t="inlineStr"/>
      <c r="BI27" s="29" t="inlineStr"/>
      <c r="BJ27" s="29" t="inlineStr"/>
      <c r="BK27" s="29" t="inlineStr">
        <is>
          <t>Evidence reconciled against the reviewed source revision. No production approval is inferred from implementation or file presence.</t>
        </is>
      </c>
      <c r="BL27" s="29" t="inlineStr">
        <is>
          <t>2026-08-02</t>
        </is>
      </c>
    </row>
    <row r="28" ht="42" customHeight="1">
      <c r="A28" s="29" t="inlineStr">
        <is>
          <t>BLYP-01-027</t>
        </is>
      </c>
      <c r="B28" s="29" t="inlineStr"/>
      <c r="C28" s="29" t="inlineStr">
        <is>
          <t>BLYP Bar and AI-assisted posting</t>
        </is>
      </c>
      <c r="D28" s="29" t="n">
        <v>1</v>
      </c>
      <c r="E28" s="29" t="n">
        <v>27</v>
      </c>
      <c r="F28" s="29" t="inlineStr">
        <is>
          <t>Feature</t>
        </is>
      </c>
      <c r="G28" s="29" t="inlineStr">
        <is>
          <t>Combine manual, voice, and AI wording</t>
        </is>
      </c>
      <c r="H28" s="29" t="inlineStr">
        <is>
          <t>Combine manual, voice, and AI wording</t>
        </is>
      </c>
      <c r="I28" s="29" t="inlineStr">
        <is>
          <t>/home/ubuntu/blyp_product_requirements.md :: Section 1 — BLYP Bar and AI-assisted posting</t>
        </is>
      </c>
      <c r="J28" s="29" t="inlineStr">
        <is>
          <t>/home/ubuntu/BLYP_COMPLETE_FEATURE_LIST.md:42</t>
        </is>
      </c>
      <c r="K28" s="29" t="inlineStr">
        <is>
          <t>Required</t>
        </is>
      </c>
      <c r="L28" s="29" t="inlineStr">
        <is>
          <t>Applicable BLYP member</t>
        </is>
      </c>
      <c r="M28" s="29" t="inlineStr">
        <is>
          <t>BLYP mobile application and supporting production services</t>
        </is>
      </c>
      <c r="N28" s="29" t="inlineStr">
        <is>
          <t>Combine manual, voice, and AI wording</t>
        </is>
      </c>
      <c r="O28" s="29" t="inlineStr">
        <is>
          <t>Not explicitly defined in the product source; requires accountable product approval before production sign-off.</t>
        </is>
      </c>
      <c r="P28" s="29" t="inlineStr">
        <is>
          <t>Gemini API; EXPO_PUBLIC_GEMINI_API_KEY</t>
        </is>
      </c>
      <c r="Q28" s="29" t="inlineStr">
        <is>
          <t>Yes</t>
        </is>
      </c>
      <c r="R28" s="29" t="inlineStr"/>
      <c r="S28" s="29" t="inlineStr">
        <is>
          <t>Partial</t>
        </is>
      </c>
      <c r="T28" s="29" t="inlineStr">
        <is>
          <t>ReviewScreen.js; manualDescription + accumulatedVoiceInputs + allContextualData</t>
        </is>
      </c>
      <c r="U28" s="29" t="inlineStr">
        <is>
          <t>ReviewScreen.js; manualDescription TextInput; voice input</t>
        </is>
      </c>
      <c r="V28" s="29" t="inlineStr">
        <is>
          <t>manualDescription state; accumulatedVoiceInputs state; allContextualData state; generateComprehensiveAIContent</t>
        </is>
      </c>
      <c r="W28" s="29" t="inlineStr">
        <is>
          <t>Not found</t>
        </is>
      </c>
      <c r="X28" s="29" t="inlineStr">
        <is>
          <t>Not found</t>
        </is>
      </c>
      <c r="Y28" s="29" t="inlineStr">
        <is>
          <t>Not found</t>
        </is>
      </c>
      <c r="Z28" s="29" t="inlineStr">
        <is>
          <t>Gemini API</t>
        </is>
      </c>
      <c r="AA28" s="29" t="inlineStr">
        <is>
          <t>EXPO_PUBLIC_GEMINI_API_KEY</t>
        </is>
      </c>
      <c r="AB28" s="29" t="inlineStr">
        <is>
          <t>Expo mobile client</t>
        </is>
      </c>
      <c r="AC28" s="30" t="inlineStr">
        <is>
          <t>RP-002</t>
        </is>
      </c>
      <c r="AD28" s="29" t="inlineStr">
        <is>
          <t>ReviewScreen accumulates manual text and voice inputs in allContextualData; generateComprehensiveAIContent combines both in the AI prompt.</t>
        </is>
      </c>
      <c r="AE28" s="29" t="inlineStr">
        <is>
          <t>User reachable</t>
        </is>
      </c>
      <c r="AF28" s="29" t="inlineStr">
        <is>
          <t>ReviewScreen.js; manualDescription + accumulatedVoiceInputs + allContextualData; ReviewScreen accumulates manual text and voice inputs in allContextualData; generateComprehensiveAIContent combines both in the AI prompt.</t>
        </is>
      </c>
      <c r="AG28" s="29" t="inlineStr">
        <is>
          <t>Incomplete</t>
        </is>
      </c>
      <c r="AH28" s="29" t="inlineStr">
        <is>
          <t>No</t>
        </is>
      </c>
      <c r="AI28" s="29" t="inlineStr">
        <is>
          <t>No dedicated 'combine' UI action found. The combination happens implicitly in the AI prompt. Production build not verified.</t>
        </is>
      </c>
      <c r="AJ28" s="29" t="inlineStr">
        <is>
          <t>Source traced</t>
        </is>
      </c>
      <c r="AK28" s="29" t="inlineStr">
        <is>
          <t>EV-01-0024</t>
        </is>
      </c>
      <c r="AL28" s="29" t="inlineStr"/>
      <c r="AM28" s="29" t="inlineStr"/>
      <c r="AN28" s="29" t="inlineStr"/>
      <c r="AO28" s="29" t="inlineStr">
        <is>
          <t>8bc0dcb2a1da1b21368c5536aaeef829d587f316</t>
        </is>
      </c>
      <c r="AP28" s="29" t="inlineStr">
        <is>
          <t>Low</t>
        </is>
      </c>
      <c r="AQ28" s="29" t="inlineStr">
        <is>
          <t>Not assessed</t>
        </is>
      </c>
      <c r="AR28" s="29" t="inlineStr">
        <is>
          <t>Not assessed</t>
        </is>
      </c>
      <c r="AS28" s="29" t="inlineStr">
        <is>
          <t>Fail</t>
        </is>
      </c>
      <c r="AT28" s="29" t="inlineStr">
        <is>
          <t>Not assessed</t>
        </is>
      </c>
      <c r="AU28" s="29" t="inlineStr">
        <is>
          <t>Not assessed</t>
        </is>
      </c>
      <c r="AV28" s="29" t="inlineStr">
        <is>
          <t>Not assessed</t>
        </is>
      </c>
      <c r="AW28" s="29" t="inlineStr">
        <is>
          <t>Not assessed</t>
        </is>
      </c>
      <c r="AX28" s="29" t="inlineStr">
        <is>
          <t>Not assessed</t>
        </is>
      </c>
      <c r="AY28" s="29" t="inlineStr">
        <is>
          <t>Not assessed</t>
        </is>
      </c>
      <c r="AZ28" s="29" t="inlineStr">
        <is>
          <t>Not assessed</t>
        </is>
      </c>
      <c r="BA28" s="29" t="inlineStr">
        <is>
          <t>Not assessed</t>
        </is>
      </c>
      <c r="BB28" s="29" t="inlineStr">
        <is>
          <t>Not assessed</t>
        </is>
      </c>
      <c r="BC28" s="29" t="inlineStr">
        <is>
          <t>Not assessed</t>
        </is>
      </c>
      <c r="BD28" s="29" t="inlineStr">
        <is>
          <t>Not assessed</t>
        </is>
      </c>
      <c r="BE28" s="29" t="inlineStr">
        <is>
          <t>Development required</t>
        </is>
      </c>
      <c r="BF28" s="29" t="inlineStr">
        <is>
          <t>Physical implementation is not complete against the stated requirement.; No dedicated 'combine' UI action found. The combination happens implicitly in the AI prompt. Production build not verified.</t>
        </is>
      </c>
      <c r="BG28" s="29" t="inlineStr">
        <is>
          <t>Test combined manual+AI caption flow on device; confirm dedicated UX for combining.</t>
        </is>
      </c>
      <c r="BH28" s="29" t="inlineStr"/>
      <c r="BI28" s="29" t="inlineStr"/>
      <c r="BJ28" s="29" t="inlineStr"/>
      <c r="BK28" s="29" t="inlineStr">
        <is>
          <t>Evidence reconciled against the reviewed source revision. No production approval is inferred from implementation or file presence.</t>
        </is>
      </c>
      <c r="BL28" s="29" t="inlineStr">
        <is>
          <t>2026-08-02</t>
        </is>
      </c>
    </row>
    <row r="29" ht="42" customHeight="1">
      <c r="A29" s="29" t="inlineStr">
        <is>
          <t>BLYP-01-028</t>
        </is>
      </c>
      <c r="B29" s="29" t="inlineStr"/>
      <c r="C29" s="29" t="inlineStr">
        <is>
          <t>BLYP Bar and AI-assisted posting</t>
        </is>
      </c>
      <c r="D29" s="29" t="n">
        <v>1</v>
      </c>
      <c r="E29" s="29" t="n">
        <v>28</v>
      </c>
      <c r="F29" s="29" t="inlineStr">
        <is>
          <t>Feature</t>
        </is>
      </c>
      <c r="G29" s="29" t="inlineStr">
        <is>
          <t>Replace or regenerate a suggestion</t>
        </is>
      </c>
      <c r="H29" s="29" t="inlineStr">
        <is>
          <t>Replace or regenerate a suggestion</t>
        </is>
      </c>
      <c r="I29" s="29" t="inlineStr">
        <is>
          <t>/home/ubuntu/blyp_product_requirements.md :: Section 1 — BLYP Bar and AI-assisted posting</t>
        </is>
      </c>
      <c r="J29" s="29" t="inlineStr">
        <is>
          <t>/home/ubuntu/BLYP_COMPLETE_FEATURE_LIST.md:43</t>
        </is>
      </c>
      <c r="K29" s="29" t="inlineStr">
        <is>
          <t>Required</t>
        </is>
      </c>
      <c r="L29" s="29" t="inlineStr">
        <is>
          <t>Applicable BLYP member</t>
        </is>
      </c>
      <c r="M29" s="29" t="inlineStr">
        <is>
          <t>BLYP mobile application and supporting production services</t>
        </is>
      </c>
      <c r="N29" s="29" t="inlineStr">
        <is>
          <t>Replace or regenerate a suggestion</t>
        </is>
      </c>
      <c r="O29" s="29" t="inlineStr">
        <is>
          <t>Not explicitly defined in the product source; requires accountable product approval before production sign-off.</t>
        </is>
      </c>
      <c r="P29" s="29" t="inlineStr">
        <is>
          <t>Gemini API; EXPO_PUBLIC_GEMINI_API_KEY</t>
        </is>
      </c>
      <c r="Q29" s="29" t="inlineStr">
        <is>
          <t>Partial</t>
        </is>
      </c>
      <c r="R29" s="29" t="inlineStr"/>
      <c r="S29" s="29" t="inlineStr">
        <is>
          <t>Partial</t>
        </is>
      </c>
      <c r="T29" s="29" t="inlineStr">
        <is>
          <t>ReviewScreen.js; handleGenerateAIPost (line 1425); generateComprehensiveAIContent (line 2003)</t>
        </is>
      </c>
      <c r="U29" s="29" t="inlineStr">
        <is>
          <t>ReviewScreen.js; Generate AI Post button (line 3049); generateAIButton</t>
        </is>
      </c>
      <c r="V29" s="29" t="inlineStr">
        <is>
          <t>generatedContent state; aiCaption state; isGeneratingContent state</t>
        </is>
      </c>
      <c r="W29" s="29" t="inlineStr">
        <is>
          <t>Not found</t>
        </is>
      </c>
      <c r="X29" s="29" t="inlineStr">
        <is>
          <t>Not found</t>
        </is>
      </c>
      <c r="Y29" s="29" t="inlineStr">
        <is>
          <t>Not found</t>
        </is>
      </c>
      <c r="Z29" s="29" t="inlineStr">
        <is>
          <t>Gemini API</t>
        </is>
      </c>
      <c r="AA29" s="29" t="inlineStr">
        <is>
          <t>EXPO_PUBLIC_GEMINI_API_KEY</t>
        </is>
      </c>
      <c r="AB29" s="29" t="inlineStr">
        <is>
          <t>Expo mobile client</t>
        </is>
      </c>
      <c r="AC29" s="30" t="inlineStr">
        <is>
          <t>RP-002</t>
        </is>
      </c>
      <c r="AD29" s="29" t="inlineStr">
        <is>
          <t>User taps 'Generate AI Post' button; handleGenerateAIPost calls mediaDescriptionService.generateFullPostDataWithContext; new content overwrites aiCaption.</t>
        </is>
      </c>
      <c r="AE29" s="29" t="inlineStr">
        <is>
          <t>User reachable</t>
        </is>
      </c>
      <c r="AF29" s="29" t="inlineStr">
        <is>
          <t>ReviewScreen.js; handleGenerateAIPost (line 1425); generateComprehensiveAIContent (line 2003); User taps 'Generate AI Post' button; handleGenerateAIPost calls mediaDescriptionService.generateFullPostDataWithContext; new content overwrites aiCaption.</t>
        </is>
      </c>
      <c r="AG29" s="29" t="inlineStr">
        <is>
          <t>Incomplete</t>
        </is>
      </c>
      <c r="AH29" s="29" t="inlineStr">
        <is>
          <t>No</t>
        </is>
      </c>
      <c r="AI29" s="29" t="inlineStr">
        <is>
          <t>No dedicated 'regenerate' button label found. Regeneration happens by re-triggering AI generation. Production build not verified.</t>
        </is>
      </c>
      <c r="AJ29" s="29" t="inlineStr">
        <is>
          <t>Source traced</t>
        </is>
      </c>
      <c r="AK29" s="29" t="inlineStr">
        <is>
          <t>EV-01-0025</t>
        </is>
      </c>
      <c r="AL29" s="29" t="inlineStr"/>
      <c r="AM29" s="29" t="inlineStr"/>
      <c r="AN29" s="29" t="inlineStr"/>
      <c r="AO29" s="29" t="inlineStr">
        <is>
          <t>8bc0dcb2a1da1b21368c5536aaeef829d587f316</t>
        </is>
      </c>
      <c r="AP29" s="29" t="inlineStr">
        <is>
          <t>Medium</t>
        </is>
      </c>
      <c r="AQ29" s="29" t="inlineStr">
        <is>
          <t>Not assessed</t>
        </is>
      </c>
      <c r="AR29" s="29" t="inlineStr">
        <is>
          <t>Not assessed</t>
        </is>
      </c>
      <c r="AS29" s="29" t="inlineStr">
        <is>
          <t>Fail</t>
        </is>
      </c>
      <c r="AT29" s="29" t="inlineStr">
        <is>
          <t>Not assessed</t>
        </is>
      </c>
      <c r="AU29" s="29" t="inlineStr">
        <is>
          <t>Not assessed</t>
        </is>
      </c>
      <c r="AV29" s="29" t="inlineStr">
        <is>
          <t>Not assessed</t>
        </is>
      </c>
      <c r="AW29" s="29" t="inlineStr">
        <is>
          <t>Not assessed</t>
        </is>
      </c>
      <c r="AX29" s="29" t="inlineStr">
        <is>
          <t>Not assessed</t>
        </is>
      </c>
      <c r="AY29" s="29" t="inlineStr">
        <is>
          <t>Not assessed</t>
        </is>
      </c>
      <c r="AZ29" s="29" t="inlineStr">
        <is>
          <t>Not assessed</t>
        </is>
      </c>
      <c r="BA29" s="29" t="inlineStr">
        <is>
          <t>Not assessed</t>
        </is>
      </c>
      <c r="BB29" s="29" t="inlineStr">
        <is>
          <t>Not assessed</t>
        </is>
      </c>
      <c r="BC29" s="29" t="inlineStr">
        <is>
          <t>Not assessed</t>
        </is>
      </c>
      <c r="BD29" s="29" t="inlineStr">
        <is>
          <t>Not assessed</t>
        </is>
      </c>
      <c r="BE29" s="29" t="inlineStr">
        <is>
          <t>Development required</t>
        </is>
      </c>
      <c r="BF29" s="29" t="inlineStr">
        <is>
          <t>Physical implementation is not complete against the stated requirement.; No dedicated 'regenerate' button label found. Regeneration happens by re-triggering AI generation. Production build not verified.</t>
        </is>
      </c>
      <c r="BG29" s="29" t="inlineStr">
        <is>
          <t>Test regeneration on device; confirm dedicated regenerate UX if required.</t>
        </is>
      </c>
      <c r="BH29" s="29" t="inlineStr"/>
      <c r="BI29" s="29" t="inlineStr"/>
      <c r="BJ29" s="29" t="inlineStr"/>
      <c r="BK29" s="29" t="inlineStr">
        <is>
          <t>Evidence reconciled against the reviewed source revision. No production approval is inferred from implementation or file presence.</t>
        </is>
      </c>
      <c r="BL29" s="29" t="inlineStr">
        <is>
          <t>2026-08-02</t>
        </is>
      </c>
    </row>
    <row r="30" ht="42" customHeight="1">
      <c r="A30" s="29" t="inlineStr">
        <is>
          <t>BLYP-01-029</t>
        </is>
      </c>
      <c r="B30" s="29" t="inlineStr"/>
      <c r="C30" s="29" t="inlineStr">
        <is>
          <t>BLYP Bar and AI-assisted posting</t>
        </is>
      </c>
      <c r="D30" s="29" t="n">
        <v>1</v>
      </c>
      <c r="E30" s="29" t="n">
        <v>29</v>
      </c>
      <c r="F30" s="29" t="inlineStr">
        <is>
          <t>Feature</t>
        </is>
      </c>
      <c r="G30" s="29" t="inlineStr">
        <is>
          <t>Ignore AI and post manually</t>
        </is>
      </c>
      <c r="H30" s="29" t="inlineStr">
        <is>
          <t>Ignore AI and post manually</t>
        </is>
      </c>
      <c r="I30" s="29" t="inlineStr">
        <is>
          <t>/home/ubuntu/blyp_product_requirements.md :: Section 1 — BLYP Bar and AI-assisted posting</t>
        </is>
      </c>
      <c r="J30" s="29" t="inlineStr">
        <is>
          <t>/home/ubuntu/BLYP_COMPLETE_FEATURE_LIST.md:44</t>
        </is>
      </c>
      <c r="K30" s="29" t="inlineStr">
        <is>
          <t>Required</t>
        </is>
      </c>
      <c r="L30" s="29" t="inlineStr">
        <is>
          <t>Applicable BLYP member</t>
        </is>
      </c>
      <c r="M30" s="29" t="inlineStr">
        <is>
          <t>BLYP mobile application and supporting production services</t>
        </is>
      </c>
      <c r="N30" s="29" t="inlineStr">
        <is>
          <t>Ignore AI and post manually</t>
        </is>
      </c>
      <c r="O30" s="29" t="inlineStr">
        <is>
          <t>Not explicitly defined in the product source; requires accountable product approval before production sign-off.</t>
        </is>
      </c>
      <c r="P30" s="29" t="inlineStr">
        <is>
          <t>Firebase (Firestore, Storage); Firestore posts collection; Firebase Storage (media); Firebase config</t>
        </is>
      </c>
      <c r="Q30" s="29" t="inlineStr">
        <is>
          <t>Yes</t>
        </is>
      </c>
      <c r="R30" s="29" t="inlineStr"/>
      <c r="S30" s="29" t="inlineStr">
        <is>
          <t>End-to-end present</t>
        </is>
      </c>
      <c r="T30" s="29" t="inlineStr">
        <is>
          <t>ReviewScreen.js; handlePostPress (line 1737); handlePost (line 1836)</t>
        </is>
      </c>
      <c r="U30" s="29" t="inlineStr">
        <is>
          <t>ReviewScreen.js; Post button (line 2699-2708); Original toggle (line 2514-2522)</t>
        </is>
      </c>
      <c r="V30" s="29" t="inlineStr">
        <is>
          <t>caption state; contentView state; isUploading state</t>
        </is>
      </c>
      <c r="W30" s="29" t="inlineStr">
        <is>
          <t>Not found (Firestore write)</t>
        </is>
      </c>
      <c r="X30" s="29" t="inlineStr">
        <is>
          <t>Firestore posts collection; Firebase Storage (media)</t>
        </is>
      </c>
      <c r="Y30" s="29" t="inlineStr">
        <is>
          <t>Not found</t>
        </is>
      </c>
      <c r="Z30" s="29" t="inlineStr">
        <is>
          <t>Firebase (Firestore, Storage)</t>
        </is>
      </c>
      <c r="AA30" s="29" t="inlineStr">
        <is>
          <t>Firebase config</t>
        </is>
      </c>
      <c r="AB30" s="29" t="inlineStr">
        <is>
          <t>Expo mobile client</t>
        </is>
      </c>
      <c r="AC30" s="30" t="inlineStr">
        <is>
          <t>RP-002</t>
        </is>
      </c>
      <c r="AD30" s="29" t="inlineStr">
        <is>
          <t>User can post with original caption without using AI by staying in 'original' contentView and tapping Post button.</t>
        </is>
      </c>
      <c r="AE30" s="29" t="inlineStr">
        <is>
          <t>User reachable</t>
        </is>
      </c>
      <c r="AF30" s="29" t="inlineStr">
        <is>
          <t>ReviewScreen.js; handlePostPress (line 1737); handlePost (line 1836); User can post with original caption without using AI by staying in 'original' contentView and tapping Post button.</t>
        </is>
      </c>
      <c r="AG30" s="29" t="inlineStr">
        <is>
          <t>Complete against stated requirement</t>
        </is>
      </c>
      <c r="AH30" s="29" t="inlineStr">
        <is>
          <t>Yes</t>
        </is>
      </c>
      <c r="AI30" s="29" t="inlineStr">
        <is>
          <t>Production build and Firestore write not verified on device.</t>
        </is>
      </c>
      <c r="AJ30" s="29" t="inlineStr">
        <is>
          <t>Source traced</t>
        </is>
      </c>
      <c r="AK30" s="29" t="inlineStr">
        <is>
          <t>EV-01-0026;EV-01-0033</t>
        </is>
      </c>
      <c r="AL30" s="29" t="inlineStr"/>
      <c r="AM30" s="29" t="inlineStr"/>
      <c r="AN30" s="29" t="inlineStr"/>
      <c r="AO30" s="29" t="inlineStr">
        <is>
          <t>8bc0dcb2a1da1b21368c5536aaeef829d587f316</t>
        </is>
      </c>
      <c r="AP30" s="29" t="inlineStr">
        <is>
          <t>Medium</t>
        </is>
      </c>
      <c r="AQ30" s="29" t="inlineStr">
        <is>
          <t>Not assessed</t>
        </is>
      </c>
      <c r="AR30" s="29" t="inlineStr">
        <is>
          <t>Not assessed</t>
        </is>
      </c>
      <c r="AS30" s="29" t="inlineStr">
        <is>
          <t>Not assessed</t>
        </is>
      </c>
      <c r="AT30" s="29" t="inlineStr">
        <is>
          <t>Not assessed</t>
        </is>
      </c>
      <c r="AU30" s="29" t="inlineStr">
        <is>
          <t>Not assessed</t>
        </is>
      </c>
      <c r="AV30" s="29" t="inlineStr">
        <is>
          <t>Not assessed</t>
        </is>
      </c>
      <c r="AW30" s="29" t="inlineStr">
        <is>
          <t>Not assessed</t>
        </is>
      </c>
      <c r="AX30" s="29" t="inlineStr">
        <is>
          <t>Not assessed</t>
        </is>
      </c>
      <c r="AY30" s="29" t="inlineStr">
        <is>
          <t>Not assessed</t>
        </is>
      </c>
      <c r="AZ30" s="29" t="inlineStr">
        <is>
          <t>Not assessed</t>
        </is>
      </c>
      <c r="BA30" s="29" t="inlineStr">
        <is>
          <t>Not assessed</t>
        </is>
      </c>
      <c r="BB30" s="29" t="inlineStr">
        <is>
          <t>Not assessed</t>
        </is>
      </c>
      <c r="BC30" s="29" t="inlineStr">
        <is>
          <t>Not assessed</t>
        </is>
      </c>
      <c r="BD30" s="29" t="inlineStr">
        <is>
          <t>Not assessed</t>
        </is>
      </c>
      <c r="BE30" s="29" t="inlineStr">
        <is>
          <t>Ready for production validation</t>
        </is>
      </c>
      <c r="BF30" s="29" t="inlineStr">
        <is>
          <t>Applicable production gates and acceptance checks have not been completed on an approved release candidate.</t>
        </is>
      </c>
      <c r="BG30" s="29" t="inlineStr">
        <is>
          <t>Test manual post creation on device; verify Firestore write.</t>
        </is>
      </c>
      <c r="BH30" s="29" t="inlineStr"/>
      <c r="BI30" s="29" t="inlineStr"/>
      <c r="BJ30" s="29" t="inlineStr"/>
      <c r="BK30" s="29" t="inlineStr">
        <is>
          <t>Evidence reconciled against the reviewed source revision. No production approval is inferred from implementation or file presence.</t>
        </is>
      </c>
      <c r="BL30" s="29" t="inlineStr">
        <is>
          <t>2026-08-02</t>
        </is>
      </c>
    </row>
    <row r="31" ht="42" customHeight="1">
      <c r="A31" s="29" t="inlineStr">
        <is>
          <t>BLYP-01-030</t>
        </is>
      </c>
      <c r="B31" s="29" t="inlineStr"/>
      <c r="C31" s="29" t="inlineStr">
        <is>
          <t>BLYP Bar and AI-assisted posting</t>
        </is>
      </c>
      <c r="D31" s="29" t="n">
        <v>1</v>
      </c>
      <c r="E31" s="29" t="n">
        <v>30</v>
      </c>
      <c r="F31" s="29" t="inlineStr">
        <is>
          <t>Feature</t>
        </is>
      </c>
      <c r="G31" s="29" t="inlineStr">
        <is>
          <t>Server-held AI provider secret and authenticated proxy</t>
        </is>
      </c>
      <c r="H31" s="29" t="inlineStr">
        <is>
          <t>Server-held AI provider secret and authenticated proxy</t>
        </is>
      </c>
      <c r="I31" s="29" t="inlineStr">
        <is>
          <t>/home/ubuntu/blyp_product_requirements.md :: Section 1 — BLYP Bar and AI-assisted posting</t>
        </is>
      </c>
      <c r="J31" s="29" t="inlineStr">
        <is>
          <t>/home/ubuntu/BLYP_COMPLETE_FEATURE_LIST.md:45</t>
        </is>
      </c>
      <c r="K31" s="29" t="inlineStr">
        <is>
          <t>Required</t>
        </is>
      </c>
      <c r="L31" s="29" t="inlineStr">
        <is>
          <t>Applicable BLYP member</t>
        </is>
      </c>
      <c r="M31" s="29" t="inlineStr">
        <is>
          <t>BLYP mobile application and supporting production services</t>
        </is>
      </c>
      <c r="N31" s="29" t="inlineStr">
        <is>
          <t>Server-held AI provider secret and authenticated proxy</t>
        </is>
      </c>
      <c r="O31" s="29" t="inlineStr">
        <is>
          <t>Not explicitly defined in the product source; requires accountable product approval before production sign-off.</t>
        </is>
      </c>
      <c r="P31" s="29" t="inlineStr">
        <is>
          <t>Gemini API (direct client call); EXPO_PUBLIC_GEMINI_API_KEY (app.config.js:8-19; firebase.js:318-341)</t>
        </is>
      </c>
      <c r="Q31" s="29" t="inlineStr">
        <is>
          <t>Yes</t>
        </is>
      </c>
      <c r="R31" s="29" t="inlineStr"/>
      <c r="S31" s="29" t="inlineStr">
        <is>
          <t>Conflicting implementations</t>
        </is>
      </c>
      <c r="T31" s="29" t="inlineStr">
        <is>
          <t>src/config/firebase.js (geminiApiKey export); src/services/aiService.js; src/services/geminiSpeechService.js; src/services/mediaDescriptionService.js</t>
        </is>
      </c>
      <c r="U31" s="29" t="inlineStr">
        <is>
          <t>Not found (no proxy UI)</t>
        </is>
      </c>
      <c r="V31" s="29" t="inlineStr">
        <is>
          <t>geminiApiKey; geminiApiUrl; AIService.apiKey; AIService.apiUrl</t>
        </is>
      </c>
      <c r="W31" s="29" t="inlineStr">
        <is>
          <t>Not found (no server-side AI proxy route)</t>
        </is>
      </c>
      <c r="X31" s="29" t="inlineStr">
        <is>
          <t>Not found</t>
        </is>
      </c>
      <c r="Y31" s="29" t="inlineStr">
        <is>
          <t>Not found</t>
        </is>
      </c>
      <c r="Z31" s="29" t="inlineStr">
        <is>
          <t>Gemini API (direct client call)</t>
        </is>
      </c>
      <c r="AA31" s="29" t="inlineStr">
        <is>
          <t>EXPO_PUBLIC_GEMINI_API_KEY (app.config.js:8-19; firebase.js:318-341)</t>
        </is>
      </c>
      <c r="AB31" s="29" t="inlineStr">
        <is>
          <t>Expo mobile client</t>
        </is>
      </c>
      <c r="AC31" s="30" t="inlineStr">
        <is>
          <t>RP-002</t>
        </is>
      </c>
      <c r="AD31" s="29" t="inlineStr">
        <is>
          <t>Gemini API key is injected as EXPO_PUBLIC_GEMINI_API_KEY env var into the Expo bundle. All AI services call Gemini API directly from the client. No server-side proxy or authenticated backend route for AI calls exists.</t>
        </is>
      </c>
      <c r="AE31" s="29" t="inlineStr">
        <is>
          <t>User reachable</t>
        </is>
      </c>
      <c r="AF31" s="29" t="inlineStr">
        <is>
          <t>src/config/firebase.js (geminiApiKey export); src/services/aiService.js; src/services/geminiSpeechService.js; src/services/mediaDescriptionService.js; Gemini API key is injected as EXPO_PUBLIC_GEMINI_API_KEY env var into the Expo bundle. All AI services call Gemini API directly from the client. No server-side proxy or authenticated backend route for AI calls exists.</t>
        </is>
      </c>
      <c r="AG31" s="29" t="inlineStr">
        <is>
          <t>Incomplete</t>
        </is>
      </c>
      <c r="AH31" s="29" t="inlineStr">
        <is>
          <t>No</t>
        </is>
      </c>
      <c r="AI31" s="29" t="inlineStr">
        <is>
          <t>Requirement specifies server-held secret and authenticated proxy. Implementation uses client-side env var key with direct API calls. This is a security gap: the key is embedded in the client bundle. No server-side proxy route found in backend/blyp-live-service.</t>
        </is>
      </c>
      <c r="AJ31" s="29" t="inlineStr">
        <is>
          <t>Source traced</t>
        </is>
      </c>
      <c r="AK31" s="29" t="inlineStr">
        <is>
          <t>EV-01-0027;EV-01-0030;EV-01-0031;EV-01-0032;EV-01-0038</t>
        </is>
      </c>
      <c r="AL31" s="29" t="inlineStr"/>
      <c r="AM31" s="29" t="inlineStr"/>
      <c r="AN31" s="29" t="inlineStr"/>
      <c r="AO31" s="29" t="inlineStr">
        <is>
          <t>8bc0dcb2a1da1b21368c5536aaeef829d587f316</t>
        </is>
      </c>
      <c r="AP31" s="29" t="inlineStr">
        <is>
          <t>High</t>
        </is>
      </c>
      <c r="AQ31" s="29" t="inlineStr">
        <is>
          <t>Not assessed</t>
        </is>
      </c>
      <c r="AR31" s="29" t="inlineStr">
        <is>
          <t>Fail</t>
        </is>
      </c>
      <c r="AS31" s="29" t="inlineStr">
        <is>
          <t>Fail</t>
        </is>
      </c>
      <c r="AT31" s="29" t="inlineStr">
        <is>
          <t>Not assessed</t>
        </is>
      </c>
      <c r="AU31" s="29" t="inlineStr">
        <is>
          <t>Not assessed</t>
        </is>
      </c>
      <c r="AV31" s="29" t="inlineStr">
        <is>
          <t>Not assessed</t>
        </is>
      </c>
      <c r="AW31" s="29" t="inlineStr">
        <is>
          <t>Not assessed</t>
        </is>
      </c>
      <c r="AX31" s="29" t="inlineStr">
        <is>
          <t>Not assessed</t>
        </is>
      </c>
      <c r="AY31" s="29" t="inlineStr">
        <is>
          <t>Not assessed</t>
        </is>
      </c>
      <c r="AZ31" s="29" t="inlineStr">
        <is>
          <t>Not assessed</t>
        </is>
      </c>
      <c r="BA31" s="29" t="inlineStr">
        <is>
          <t>Not assessed</t>
        </is>
      </c>
      <c r="BB31" s="29" t="inlineStr">
        <is>
          <t>Not assessed</t>
        </is>
      </c>
      <c r="BC31" s="29" t="inlineStr">
        <is>
          <t>Not assessed</t>
        </is>
      </c>
      <c r="BD31" s="29" t="inlineStr">
        <is>
          <t>Not assessed</t>
        </is>
      </c>
      <c r="BE31" s="29" t="inlineStr">
        <is>
          <t>Development required</t>
        </is>
      </c>
      <c r="BF31" s="29" t="inlineStr">
        <is>
          <t>Gemini API key is client-side (EXPO_PUBLIC_GEMINI_API_KEY in Expo bundle), not server-held. No authenticated server proxy route found. This contradicts the stated security requirement.; Physical implementation is not complete against the stated requirement.; Requirement specifies server-held secret and authenticated proxy. Implementation uses client-side env var key with direct API calls. This is a security gap: the key is embedded in the client bundle. No server-side proxy route found in backend/blyp-live-service.</t>
        </is>
      </c>
      <c r="BG31" s="29" t="inlineStr">
        <is>
          <t>Implement server-side AI proxy route; move Gemini key to server environment; verify server-side authentication of AI requests.</t>
        </is>
      </c>
      <c r="BH31" s="29" t="inlineStr"/>
      <c r="BI31" s="29" t="inlineStr"/>
      <c r="BJ31" s="29" t="inlineStr"/>
      <c r="BK31" s="29" t="inlineStr">
        <is>
          <t>Evidence reconciled against the reviewed source revision. No production approval is inferred from implementation or file presence.</t>
        </is>
      </c>
      <c r="BL31" s="29" t="inlineStr">
        <is>
          <t>2026-08-02</t>
        </is>
      </c>
    </row>
    <row r="32" ht="42" customHeight="1">
      <c r="A32" s="29" t="inlineStr">
        <is>
          <t>BLYP-01-031</t>
        </is>
      </c>
      <c r="B32" s="29" t="inlineStr"/>
      <c r="C32" s="29" t="inlineStr">
        <is>
          <t>BLYP Bar and AI-assisted posting</t>
        </is>
      </c>
      <c r="D32" s="29" t="n">
        <v>1</v>
      </c>
      <c r="E32" s="29" t="n">
        <v>31</v>
      </c>
      <c r="F32" s="29" t="inlineStr">
        <is>
          <t>Feature</t>
        </is>
      </c>
      <c r="G32" s="29" t="inlineStr">
        <is>
          <t>Consistent AI entitlement enforcement</t>
        </is>
      </c>
      <c r="H32" s="29" t="inlineStr">
        <is>
          <t>Consistent AI entitlement enforcement</t>
        </is>
      </c>
      <c r="I32" s="29" t="inlineStr">
        <is>
          <t>/home/ubuntu/blyp_product_requirements.md :: Section 1 — BLYP Bar and AI-assisted posting</t>
        </is>
      </c>
      <c r="J32" s="29" t="inlineStr">
        <is>
          <t>/home/ubuntu/BLYP_COMPLETE_FEATURE_LIST.md:46</t>
        </is>
      </c>
      <c r="K32" s="29" t="inlineStr">
        <is>
          <t>Required</t>
        </is>
      </c>
      <c r="L32" s="29" t="inlineStr">
        <is>
          <t>Applicable BLYP member</t>
        </is>
      </c>
      <c r="M32" s="29" t="inlineStr">
        <is>
          <t>BLYP mobile application and supporting production services</t>
        </is>
      </c>
      <c r="N32" s="29" t="inlineStr">
        <is>
          <t>Consistent AI entitlement enforcement</t>
        </is>
      </c>
      <c r="O32" s="29" t="inlineStr">
        <is>
          <t>Not explicitly defined in the product source; requires accountable product approval before production sign-off.</t>
        </is>
      </c>
      <c r="P32" s="29" t="inlineStr"/>
      <c r="Q32" s="29" t="inlineStr">
        <is>
          <t>Partial</t>
        </is>
      </c>
      <c r="R32" s="29" t="inlineStr"/>
      <c r="S32" s="29" t="inlineStr">
        <is>
          <t>Not found</t>
        </is>
      </c>
      <c r="T32" s="29" t="inlineStr">
        <is>
          <t>Not found</t>
        </is>
      </c>
      <c r="U32" s="29" t="inlineStr">
        <is>
          <t>Not found</t>
        </is>
      </c>
      <c r="V32" s="29" t="inlineStr">
        <is>
          <t>Not found</t>
        </is>
      </c>
      <c r="W32" s="29" t="inlineStr">
        <is>
          <t>Not found</t>
        </is>
      </c>
      <c r="X32" s="29" t="inlineStr">
        <is>
          <t>Unknown</t>
        </is>
      </c>
      <c r="Y32" s="29" t="inlineStr">
        <is>
          <t>Not found</t>
        </is>
      </c>
      <c r="Z32" s="29" t="inlineStr">
        <is>
          <t>Not found</t>
        </is>
      </c>
      <c r="AA32" s="29" t="inlineStr">
        <is>
          <t>Not found</t>
        </is>
      </c>
      <c r="AB32" s="29" t="inlineStr">
        <is>
          <t>Unknown</t>
        </is>
      </c>
      <c r="AC32" s="29" t="inlineStr"/>
      <c r="AD32" s="29" t="inlineStr"/>
      <c r="AE32" s="29" t="inlineStr">
        <is>
          <t>Unknown</t>
        </is>
      </c>
      <c r="AF32" s="29" t="inlineStr"/>
      <c r="AG32" s="29" t="inlineStr">
        <is>
          <t>Not started</t>
        </is>
      </c>
      <c r="AH32" s="29" t="inlineStr">
        <is>
          <t>No</t>
        </is>
      </c>
      <c r="AI32" s="29" t="inlineStr">
        <is>
          <t>No AI entitlement enforcement found. Searched for 'entitlement', 'plus', 'premium', 'subscription', 'gated' across all source files - zero results. AI features are available to all users without any entitlement check.</t>
        </is>
      </c>
      <c r="AJ32" s="29" t="inlineStr">
        <is>
          <t>Not verified</t>
        </is>
      </c>
      <c r="AK32" s="29" t="inlineStr">
        <is>
          <t>EV-01-0008;EV-01-0028;EV-01-0038</t>
        </is>
      </c>
      <c r="AL32" s="29" t="inlineStr"/>
      <c r="AM32" s="29" t="inlineStr"/>
      <c r="AN32" s="29" t="inlineStr"/>
      <c r="AO32" s="29" t="inlineStr">
        <is>
          <t>8bc0dcb2a1da1b21368c5536aaeef829d587f316</t>
        </is>
      </c>
      <c r="AP32" s="29" t="inlineStr">
        <is>
          <t>Medium</t>
        </is>
      </c>
      <c r="AQ32" s="29" t="inlineStr">
        <is>
          <t>Not assessed</t>
        </is>
      </c>
      <c r="AR32" s="29" t="inlineStr">
        <is>
          <t>Not assessed</t>
        </is>
      </c>
      <c r="AS32" s="29" t="inlineStr">
        <is>
          <t>Fail</t>
        </is>
      </c>
      <c r="AT32" s="29" t="inlineStr">
        <is>
          <t>Not assessed</t>
        </is>
      </c>
      <c r="AU32" s="29" t="inlineStr">
        <is>
          <t>Not assessed</t>
        </is>
      </c>
      <c r="AV32" s="29" t="inlineStr">
        <is>
          <t>Not assessed</t>
        </is>
      </c>
      <c r="AW32" s="29" t="inlineStr">
        <is>
          <t>Not assessed</t>
        </is>
      </c>
      <c r="AX32" s="29" t="inlineStr">
        <is>
          <t>Not assessed</t>
        </is>
      </c>
      <c r="AY32" s="29" t="inlineStr">
        <is>
          <t>Not assessed</t>
        </is>
      </c>
      <c r="AZ32" s="29" t="inlineStr">
        <is>
          <t>Not assessed</t>
        </is>
      </c>
      <c r="BA32" s="29" t="inlineStr">
        <is>
          <t>Not assessed</t>
        </is>
      </c>
      <c r="BB32" s="29" t="inlineStr">
        <is>
          <t>Not assessed</t>
        </is>
      </c>
      <c r="BC32" s="29" t="inlineStr">
        <is>
          <t>Not assessed</t>
        </is>
      </c>
      <c r="BD32" s="29" t="inlineStr">
        <is>
          <t>Not assessed</t>
        </is>
      </c>
      <c r="BE32" s="29" t="inlineStr">
        <is>
          <t>Development required</t>
        </is>
      </c>
      <c r="BF32" s="29" t="inlineStr">
        <is>
          <t>Physical implementation is not complete against the stated requirement.; No AI entitlement enforcement found. Searched for 'entitlement', 'plus', 'premium', 'subscription', 'gated' across all source files - zero results. AI features are available to all users without any entitlement check.</t>
        </is>
      </c>
      <c r="BG32" s="29" t="inlineStr">
        <is>
          <t>Implement entitlement enforcement; verify server-side entitlement check for AI features.</t>
        </is>
      </c>
      <c r="BH32" s="29" t="inlineStr"/>
      <c r="BI32" s="29" t="inlineStr"/>
      <c r="BJ32" s="29" t="inlineStr"/>
      <c r="BK32" s="29" t="inlineStr">
        <is>
          <t>Evidence reconciled against the reviewed source revision. No production approval is inferred from implementation or file presence.</t>
        </is>
      </c>
      <c r="BL32" s="29" t="inlineStr">
        <is>
          <t>2026-08-02</t>
        </is>
      </c>
    </row>
    <row r="33" ht="42" customHeight="1">
      <c r="A33" s="29" t="inlineStr">
        <is>
          <t>BLYP-01-032</t>
        </is>
      </c>
      <c r="B33" s="29" t="inlineStr"/>
      <c r="C33" s="29" t="inlineStr">
        <is>
          <t>BLYP Bar and AI-assisted posting</t>
        </is>
      </c>
      <c r="D33" s="29" t="n">
        <v>1</v>
      </c>
      <c r="E33" s="29" t="n">
        <v>32</v>
      </c>
      <c r="F33" s="29" t="inlineStr">
        <is>
          <t>Feature</t>
        </is>
      </c>
      <c r="G33" s="29" t="inlineStr">
        <is>
          <t>Metered free and paid AI allowances</t>
        </is>
      </c>
      <c r="H33" s="29" t="inlineStr">
        <is>
          <t>Metered free and paid AI allowances</t>
        </is>
      </c>
      <c r="I33" s="29" t="inlineStr">
        <is>
          <t>/home/ubuntu/blyp_product_requirements.md :: Section 1 — BLYP Bar and AI-assisted posting</t>
        </is>
      </c>
      <c r="J33" s="29" t="inlineStr">
        <is>
          <t>/home/ubuntu/BLYP_COMPLETE_FEATURE_LIST.md:47</t>
        </is>
      </c>
      <c r="K33" s="29" t="inlineStr">
        <is>
          <t>Required</t>
        </is>
      </c>
      <c r="L33" s="29" t="inlineStr">
        <is>
          <t>Applicable BLYP member</t>
        </is>
      </c>
      <c r="M33" s="29" t="inlineStr">
        <is>
          <t>BLYP mobile application and supporting production services</t>
        </is>
      </c>
      <c r="N33" s="29" t="inlineStr">
        <is>
          <t>Metered free and paid AI allowances</t>
        </is>
      </c>
      <c r="O33" s="29" t="inlineStr">
        <is>
          <t>Not explicitly defined in the product source; requires accountable product approval before production sign-off.</t>
        </is>
      </c>
      <c r="P33" s="29" t="inlineStr"/>
      <c r="Q33" s="29" t="inlineStr">
        <is>
          <t>No evidence</t>
        </is>
      </c>
      <c r="R33" s="29" t="inlineStr"/>
      <c r="S33" s="29" t="inlineStr">
        <is>
          <t>Not found</t>
        </is>
      </c>
      <c r="T33" s="29" t="inlineStr">
        <is>
          <t>Not found</t>
        </is>
      </c>
      <c r="U33" s="29" t="inlineStr">
        <is>
          <t>Not found</t>
        </is>
      </c>
      <c r="V33" s="29" t="inlineStr">
        <is>
          <t>Not found</t>
        </is>
      </c>
      <c r="W33" s="29" t="inlineStr">
        <is>
          <t>Not found</t>
        </is>
      </c>
      <c r="X33" s="29" t="inlineStr">
        <is>
          <t>Unknown</t>
        </is>
      </c>
      <c r="Y33" s="29" t="inlineStr">
        <is>
          <t>Not found</t>
        </is>
      </c>
      <c r="Z33" s="29" t="inlineStr">
        <is>
          <t>Not found</t>
        </is>
      </c>
      <c r="AA33" s="29" t="inlineStr">
        <is>
          <t>Not found</t>
        </is>
      </c>
      <c r="AB33" s="29" t="inlineStr">
        <is>
          <t>Unknown</t>
        </is>
      </c>
      <c r="AC33" s="29" t="inlineStr"/>
      <c r="AD33" s="29" t="inlineStr"/>
      <c r="AE33" s="29" t="inlineStr">
        <is>
          <t>Unknown</t>
        </is>
      </c>
      <c r="AF33" s="29" t="inlineStr"/>
      <c r="AG33" s="29" t="inlineStr">
        <is>
          <t>Not started</t>
        </is>
      </c>
      <c r="AH33" s="29" t="inlineStr">
        <is>
          <t>No</t>
        </is>
      </c>
      <c r="AI33" s="29" t="inlineStr">
        <is>
          <t>No AI usage metering, free-tier quota, or paid-tier allowance found. Searched for 'allowance', 'meter', 'quota', 'free', 'paid', 'limit' in AI context - zero results. AI features are unmetered.</t>
        </is>
      </c>
      <c r="AJ33" s="29" t="inlineStr">
        <is>
          <t>Not verified</t>
        </is>
      </c>
      <c r="AK33" s="29" t="inlineStr">
        <is>
          <t>EV-01-0029;EV-01-0038</t>
        </is>
      </c>
      <c r="AL33" s="29" t="inlineStr"/>
      <c r="AM33" s="29" t="inlineStr"/>
      <c r="AN33" s="29" t="inlineStr"/>
      <c r="AO33" s="29" t="inlineStr">
        <is>
          <t>8bc0dcb2a1da1b21368c5536aaeef829d587f316</t>
        </is>
      </c>
      <c r="AP33" s="29" t="inlineStr">
        <is>
          <t>Medium</t>
        </is>
      </c>
      <c r="AQ33" s="29" t="inlineStr">
        <is>
          <t>Not assessed</t>
        </is>
      </c>
      <c r="AR33" s="29" t="inlineStr">
        <is>
          <t>Not assessed</t>
        </is>
      </c>
      <c r="AS33" s="29" t="inlineStr">
        <is>
          <t>Fail</t>
        </is>
      </c>
      <c r="AT33" s="29" t="inlineStr">
        <is>
          <t>Not assessed</t>
        </is>
      </c>
      <c r="AU33" s="29" t="inlineStr">
        <is>
          <t>Not assessed</t>
        </is>
      </c>
      <c r="AV33" s="29" t="inlineStr">
        <is>
          <t>Not assessed</t>
        </is>
      </c>
      <c r="AW33" s="29" t="inlineStr">
        <is>
          <t>Not assessed</t>
        </is>
      </c>
      <c r="AX33" s="29" t="inlineStr">
        <is>
          <t>Not assessed</t>
        </is>
      </c>
      <c r="AY33" s="29" t="inlineStr">
        <is>
          <t>Not assessed</t>
        </is>
      </c>
      <c r="AZ33" s="29" t="inlineStr">
        <is>
          <t>Not assessed</t>
        </is>
      </c>
      <c r="BA33" s="29" t="inlineStr">
        <is>
          <t>Not assessed</t>
        </is>
      </c>
      <c r="BB33" s="29" t="inlineStr">
        <is>
          <t>Not assessed</t>
        </is>
      </c>
      <c r="BC33" s="29" t="inlineStr">
        <is>
          <t>Not assessed</t>
        </is>
      </c>
      <c r="BD33" s="29" t="inlineStr">
        <is>
          <t>Not assessed</t>
        </is>
      </c>
      <c r="BE33" s="29" t="inlineStr">
        <is>
          <t>Development required</t>
        </is>
      </c>
      <c r="BF33" s="29" t="inlineStr">
        <is>
          <t>Physical implementation is not complete against the stated requirement.; No AI usage metering, free-tier quota, or paid-tier allowance found. Searched for 'allowance', 'meter', 'quota', 'free', 'paid', 'limit' in AI context - zero results. AI features are unmetered.</t>
        </is>
      </c>
      <c r="BG33" s="29" t="inlineStr">
        <is>
          <t>Implement metered AI allowances; verify server-side usage tracking.</t>
        </is>
      </c>
      <c r="BH33" s="29" t="inlineStr"/>
      <c r="BI33" s="29" t="inlineStr"/>
      <c r="BJ33" s="29" t="inlineStr"/>
      <c r="BK33" s="29" t="inlineStr">
        <is>
          <t>Evidence reconciled against the reviewed source revision. No production approval is inferred from implementation or file presence.</t>
        </is>
      </c>
      <c r="BL33" s="29" t="inlineStr">
        <is>
          <t>2026-08-02</t>
        </is>
      </c>
    </row>
    <row r="34" ht="42" customHeight="1">
      <c r="A34" s="29" t="inlineStr">
        <is>
          <t>BLYP-02-001</t>
        </is>
      </c>
      <c r="B34" s="29" t="inlineStr"/>
      <c r="C34" s="29" t="inlineStr">
        <is>
          <t>Team applications</t>
        </is>
      </c>
      <c r="D34" s="29" t="n">
        <v>2</v>
      </c>
      <c r="E34" s="29" t="n">
        <v>1</v>
      </c>
      <c r="F34" s="29" t="inlineStr">
        <is>
          <t>Feature</t>
        </is>
      </c>
      <c r="G34" s="29" t="inlineStr">
        <is>
          <t>Teams section and Team-related screens</t>
        </is>
      </c>
      <c r="H34" s="29" t="inlineStr">
        <is>
          <t>Teams section and Team-related screens</t>
        </is>
      </c>
      <c r="I34" s="29" t="inlineStr">
        <is>
          <t>/home/ubuntu/blyp_product_requirements.md :: Section 2 — Team applications</t>
        </is>
      </c>
      <c r="J34" s="29" t="inlineStr">
        <is>
          <t>/home/ubuntu/BLYP_COMPLETE_FEATURE_LIST.md:53</t>
        </is>
      </c>
      <c r="K34" s="29" t="inlineStr">
        <is>
          <t>Required</t>
        </is>
      </c>
      <c r="L34" s="29" t="inlineStr">
        <is>
          <t>Applicable BLYP member</t>
        </is>
      </c>
      <c r="M34" s="29" t="inlineStr">
        <is>
          <t>BLYP mobile application and supporting production services</t>
        </is>
      </c>
      <c r="N34" s="29" t="inlineStr">
        <is>
          <t>Teams section and Team-related screens</t>
        </is>
      </c>
      <c r="O34" s="29" t="inlineStr">
        <is>
          <t>Not explicitly defined in the product source; requires accountable product approval before production sign-off.</t>
        </is>
      </c>
      <c r="P34" s="29" t="inlineStr"/>
      <c r="Q34" s="29" t="inlineStr">
        <is>
          <t>Scaffold only</t>
        </is>
      </c>
      <c r="R34" s="29" t="inlineStr"/>
      <c r="S34" s="29" t="inlineStr">
        <is>
          <t>Not found</t>
        </is>
      </c>
      <c r="T34" s="29" t="inlineStr">
        <is>
          <t>Not found</t>
        </is>
      </c>
      <c r="U34" s="29" t="inlineStr">
        <is>
          <t>Not found</t>
        </is>
      </c>
      <c r="V34" s="29" t="inlineStr">
        <is>
          <t>Not found</t>
        </is>
      </c>
      <c r="W34" s="29" t="inlineStr">
        <is>
          <t>Not found</t>
        </is>
      </c>
      <c r="X34" s="29" t="inlineStr">
        <is>
          <t>Not found</t>
        </is>
      </c>
      <c r="Y34" s="29" t="inlineStr">
        <is>
          <t>Not found</t>
        </is>
      </c>
      <c r="Z34" s="29" t="inlineStr">
        <is>
          <t>Not found</t>
        </is>
      </c>
      <c r="AA34" s="29" t="inlineStr">
        <is>
          <t>Not found</t>
        </is>
      </c>
      <c r="AB34" s="29" t="inlineStr">
        <is>
          <t>Not found</t>
        </is>
      </c>
      <c r="AC34" s="29" t="inlineStr"/>
      <c r="AD34" s="29" t="inlineStr">
        <is>
          <t>Not found</t>
        </is>
      </c>
      <c r="AE34" s="29" t="inlineStr">
        <is>
          <t>Unknown</t>
        </is>
      </c>
      <c r="AF34" s="29" t="inlineStr"/>
      <c r="AG34" s="29" t="inlineStr">
        <is>
          <t>Unknown</t>
        </is>
      </c>
      <c r="AH34" s="29" t="inlineStr">
        <is>
          <t>Unknown</t>
        </is>
      </c>
      <c r="AI34" s="29" t="inlineStr">
        <is>
          <t>Searched for 'Team', 'application', 'apply' in source code, no relevant implementation found.</t>
        </is>
      </c>
      <c r="AJ34" s="29" t="inlineStr">
        <is>
          <t>Not verified</t>
        </is>
      </c>
      <c r="AK34" s="29" t="inlineStr"/>
      <c r="AL34" s="29" t="inlineStr"/>
      <c r="AM34" s="29" t="inlineStr"/>
      <c r="AN34" s="29" t="inlineStr"/>
      <c r="AO34" s="29" t="inlineStr">
        <is>
          <t>8bc0dcb2a1da1b21368c5536aaeef829d587f316</t>
        </is>
      </c>
      <c r="AP34" s="29" t="inlineStr">
        <is>
          <t>Low</t>
        </is>
      </c>
      <c r="AQ34" s="29" t="inlineStr">
        <is>
          <t>Not assessed</t>
        </is>
      </c>
      <c r="AR34" s="29" t="inlineStr">
        <is>
          <t>Not assessed</t>
        </is>
      </c>
      <c r="AS34" s="29" t="inlineStr">
        <is>
          <t>Not assessed</t>
        </is>
      </c>
      <c r="AT34" s="29" t="inlineStr">
        <is>
          <t>Not assessed</t>
        </is>
      </c>
      <c r="AU34" s="29" t="inlineStr">
        <is>
          <t>Not assessed</t>
        </is>
      </c>
      <c r="AV34" s="29" t="inlineStr">
        <is>
          <t>Not assessed</t>
        </is>
      </c>
      <c r="AW34" s="29" t="inlineStr">
        <is>
          <t>Not assessed</t>
        </is>
      </c>
      <c r="AX34" s="29" t="inlineStr">
        <is>
          <t>Not assessed</t>
        </is>
      </c>
      <c r="AY34" s="29" t="inlineStr">
        <is>
          <t>Not assessed</t>
        </is>
      </c>
      <c r="AZ34" s="29" t="inlineStr">
        <is>
          <t>Not assessed</t>
        </is>
      </c>
      <c r="BA34" s="29" t="inlineStr">
        <is>
          <t>Not assessed</t>
        </is>
      </c>
      <c r="BB34" s="29" t="inlineStr">
        <is>
          <t>Not assessed</t>
        </is>
      </c>
      <c r="BC34" s="29" t="inlineStr">
        <is>
          <t>Not assessed</t>
        </is>
      </c>
      <c r="BD34" s="29" t="inlineStr">
        <is>
          <t>Not assessed</t>
        </is>
      </c>
      <c r="BE34" s="29" t="inlineStr">
        <is>
          <t>Development required</t>
        </is>
      </c>
      <c r="BF34" s="29" t="inlineStr">
        <is>
          <t>Not assessed; Physical implementation is not complete against the stated requirement.; Searched for 'Team', 'application', 'apply' in source code, no relevant implementation found.</t>
        </is>
      </c>
      <c r="BG34" s="29" t="inlineStr">
        <is>
          <t>Not assessed</t>
        </is>
      </c>
      <c r="BH34" s="29" t="inlineStr"/>
      <c r="BI34" s="29" t="inlineStr"/>
      <c r="BJ34" s="29" t="inlineStr"/>
      <c r="BK34" s="29" t="inlineStr">
        <is>
          <t>Evidence reconciled against the reviewed source revision. No production approval is inferred from implementation or file presence.</t>
        </is>
      </c>
      <c r="BL34" s="29" t="inlineStr">
        <is>
          <t>2026-08-02</t>
        </is>
      </c>
    </row>
    <row r="35" ht="42" customHeight="1">
      <c r="A35" s="29" t="inlineStr">
        <is>
          <t>BLYP-02-002</t>
        </is>
      </c>
      <c r="B35" s="29" t="inlineStr"/>
      <c r="C35" s="29" t="inlineStr">
        <is>
          <t>Team applications</t>
        </is>
      </c>
      <c r="D35" s="29" t="n">
        <v>2</v>
      </c>
      <c r="E35" s="29" t="n">
        <v>2</v>
      </c>
      <c r="F35" s="29" t="inlineStr">
        <is>
          <t>Feature</t>
        </is>
      </c>
      <c r="G35" s="29" t="inlineStr">
        <is>
          <t>View another Team</t>
        </is>
      </c>
      <c r="H35" s="29" t="inlineStr">
        <is>
          <t>View another Team</t>
        </is>
      </c>
      <c r="I35" s="29" t="inlineStr">
        <is>
          <t>/home/ubuntu/blyp_product_requirements.md :: Section 2 — Team applications</t>
        </is>
      </c>
      <c r="J35" s="29" t="inlineStr">
        <is>
          <t>/home/ubuntu/BLYP_COMPLETE_FEATURE_LIST.md:54</t>
        </is>
      </c>
      <c r="K35" s="29" t="inlineStr">
        <is>
          <t>Required</t>
        </is>
      </c>
      <c r="L35" s="29" t="inlineStr">
        <is>
          <t>Applicable BLYP member</t>
        </is>
      </c>
      <c r="M35" s="29" t="inlineStr">
        <is>
          <t>BLYP mobile application and supporting production services</t>
        </is>
      </c>
      <c r="N35" s="29" t="inlineStr">
        <is>
          <t>View another Team</t>
        </is>
      </c>
      <c r="O35" s="29" t="inlineStr">
        <is>
          <t>Not explicitly defined in the product source; requires accountable product approval before production sign-off.</t>
        </is>
      </c>
      <c r="P35" s="29" t="inlineStr"/>
      <c r="Q35" s="29" t="inlineStr">
        <is>
          <t>Partial</t>
        </is>
      </c>
      <c r="R35" s="29" t="inlineStr"/>
      <c r="S35" s="29" t="inlineStr">
        <is>
          <t>Not found</t>
        </is>
      </c>
      <c r="T35" s="29" t="inlineStr">
        <is>
          <t>Not found</t>
        </is>
      </c>
      <c r="U35" s="29" t="inlineStr">
        <is>
          <t>Not found</t>
        </is>
      </c>
      <c r="V35" s="29" t="inlineStr">
        <is>
          <t>Not found</t>
        </is>
      </c>
      <c r="W35" s="29" t="inlineStr">
        <is>
          <t>Not found</t>
        </is>
      </c>
      <c r="X35" s="29" t="inlineStr">
        <is>
          <t>Not found</t>
        </is>
      </c>
      <c r="Y35" s="29" t="inlineStr">
        <is>
          <t>Not found</t>
        </is>
      </c>
      <c r="Z35" s="29" t="inlineStr">
        <is>
          <t>Not found</t>
        </is>
      </c>
      <c r="AA35" s="29" t="inlineStr">
        <is>
          <t>Not found</t>
        </is>
      </c>
      <c r="AB35" s="29" t="inlineStr">
        <is>
          <t>Not found</t>
        </is>
      </c>
      <c r="AC35" s="29" t="inlineStr"/>
      <c r="AD35" s="29" t="inlineStr">
        <is>
          <t>Not found</t>
        </is>
      </c>
      <c r="AE35" s="29" t="inlineStr">
        <is>
          <t>Unknown</t>
        </is>
      </c>
      <c r="AF35" s="29" t="inlineStr"/>
      <c r="AG35" s="29" t="inlineStr">
        <is>
          <t>Unknown</t>
        </is>
      </c>
      <c r="AH35" s="29" t="inlineStr">
        <is>
          <t>Unknown</t>
        </is>
      </c>
      <c r="AI35" s="29" t="inlineStr">
        <is>
          <t>Searched for 'Team', 'application', 'apply' in source code, no relevant implementation found.</t>
        </is>
      </c>
      <c r="AJ35" s="29" t="inlineStr">
        <is>
          <t>Not verified</t>
        </is>
      </c>
      <c r="AK35" s="29" t="inlineStr"/>
      <c r="AL35" s="29" t="inlineStr"/>
      <c r="AM35" s="29" t="inlineStr"/>
      <c r="AN35" s="29" t="inlineStr"/>
      <c r="AO35" s="29" t="inlineStr">
        <is>
          <t>8bc0dcb2a1da1b21368c5536aaeef829d587f316</t>
        </is>
      </c>
      <c r="AP35" s="29" t="inlineStr">
        <is>
          <t>Low</t>
        </is>
      </c>
      <c r="AQ35" s="29" t="inlineStr">
        <is>
          <t>Not assessed</t>
        </is>
      </c>
      <c r="AR35" s="29" t="inlineStr">
        <is>
          <t>Not assessed</t>
        </is>
      </c>
      <c r="AS35" s="29" t="inlineStr">
        <is>
          <t>Not assessed</t>
        </is>
      </c>
      <c r="AT35" s="29" t="inlineStr">
        <is>
          <t>Not assessed</t>
        </is>
      </c>
      <c r="AU35" s="29" t="inlineStr">
        <is>
          <t>Not assessed</t>
        </is>
      </c>
      <c r="AV35" s="29" t="inlineStr">
        <is>
          <t>Not assessed</t>
        </is>
      </c>
      <c r="AW35" s="29" t="inlineStr">
        <is>
          <t>Not assessed</t>
        </is>
      </c>
      <c r="AX35" s="29" t="inlineStr">
        <is>
          <t>Not assessed</t>
        </is>
      </c>
      <c r="AY35" s="29" t="inlineStr">
        <is>
          <t>Not assessed</t>
        </is>
      </c>
      <c r="AZ35" s="29" t="inlineStr">
        <is>
          <t>Not assessed</t>
        </is>
      </c>
      <c r="BA35" s="29" t="inlineStr">
        <is>
          <t>Not assessed</t>
        </is>
      </c>
      <c r="BB35" s="29" t="inlineStr">
        <is>
          <t>Not assessed</t>
        </is>
      </c>
      <c r="BC35" s="29" t="inlineStr">
        <is>
          <t>Not assessed</t>
        </is>
      </c>
      <c r="BD35" s="29" t="inlineStr">
        <is>
          <t>Not assessed</t>
        </is>
      </c>
      <c r="BE35" s="29" t="inlineStr">
        <is>
          <t>Development required</t>
        </is>
      </c>
      <c r="BF35" s="29" t="inlineStr">
        <is>
          <t>Not assessed; Physical implementation is not complete against the stated requirement.; Searched for 'Team', 'application', 'apply' in source code, no relevant implementation found.</t>
        </is>
      </c>
      <c r="BG35" s="29" t="inlineStr">
        <is>
          <t>Not assessed</t>
        </is>
      </c>
      <c r="BH35" s="29" t="inlineStr"/>
      <c r="BI35" s="29" t="inlineStr"/>
      <c r="BJ35" s="29" t="inlineStr"/>
      <c r="BK35" s="29" t="inlineStr">
        <is>
          <t>Evidence reconciled against the reviewed source revision. No production approval is inferred from implementation or file presence.</t>
        </is>
      </c>
      <c r="BL35" s="29" t="inlineStr">
        <is>
          <t>2026-08-02</t>
        </is>
      </c>
    </row>
    <row r="36" ht="42" customHeight="1">
      <c r="A36" s="29" t="inlineStr">
        <is>
          <t>BLYP-02-003</t>
        </is>
      </c>
      <c r="B36" s="29" t="inlineStr"/>
      <c r="C36" s="29" t="inlineStr">
        <is>
          <t>Team applications</t>
        </is>
      </c>
      <c r="D36" s="29" t="n">
        <v>2</v>
      </c>
      <c r="E36" s="29" t="n">
        <v>3</v>
      </c>
      <c r="F36" s="29" t="inlineStr">
        <is>
          <t>Feature</t>
        </is>
      </c>
      <c r="G36" s="29" t="inlineStr">
        <is>
          <t>Send Application action</t>
        </is>
      </c>
      <c r="H36" s="29" t="inlineStr">
        <is>
          <t>Send Application action</t>
        </is>
      </c>
      <c r="I36" s="29" t="inlineStr">
        <is>
          <t>/home/ubuntu/blyp_product_requirements.md :: Section 2 — Team applications</t>
        </is>
      </c>
      <c r="J36" s="29" t="inlineStr">
        <is>
          <t>/home/ubuntu/BLYP_COMPLETE_FEATURE_LIST.md:55</t>
        </is>
      </c>
      <c r="K36" s="29" t="inlineStr">
        <is>
          <t>Required</t>
        </is>
      </c>
      <c r="L36" s="29" t="inlineStr">
        <is>
          <t>Applicable BLYP member</t>
        </is>
      </c>
      <c r="M36" s="29" t="inlineStr">
        <is>
          <t>BLYP mobile application and supporting production services</t>
        </is>
      </c>
      <c r="N36" s="29" t="inlineStr">
        <is>
          <t>Send Application action</t>
        </is>
      </c>
      <c r="O36" s="29" t="inlineStr">
        <is>
          <t>Not explicitly defined in the product source; requires accountable product approval before production sign-off.</t>
        </is>
      </c>
      <c r="P36" s="29" t="inlineStr"/>
      <c r="Q36" s="29" t="inlineStr">
        <is>
          <t>Partial</t>
        </is>
      </c>
      <c r="R36" s="29" t="inlineStr">
        <is>
          <t>the flow exists but has produced a “Missing user” failure.</t>
        </is>
      </c>
      <c r="S36" s="29" t="inlineStr">
        <is>
          <t>Not found</t>
        </is>
      </c>
      <c r="T36" s="29" t="inlineStr">
        <is>
          <t>Not found</t>
        </is>
      </c>
      <c r="U36" s="29" t="inlineStr">
        <is>
          <t>Not found</t>
        </is>
      </c>
      <c r="V36" s="29" t="inlineStr">
        <is>
          <t>Not found</t>
        </is>
      </c>
      <c r="W36" s="29" t="inlineStr">
        <is>
          <t>Not found</t>
        </is>
      </c>
      <c r="X36" s="29" t="inlineStr">
        <is>
          <t>Not found</t>
        </is>
      </c>
      <c r="Y36" s="29" t="inlineStr">
        <is>
          <t>Not found</t>
        </is>
      </c>
      <c r="Z36" s="29" t="inlineStr">
        <is>
          <t>Not found</t>
        </is>
      </c>
      <c r="AA36" s="29" t="inlineStr">
        <is>
          <t>Not found</t>
        </is>
      </c>
      <c r="AB36" s="29" t="inlineStr">
        <is>
          <t>Not found</t>
        </is>
      </c>
      <c r="AC36" s="29" t="inlineStr"/>
      <c r="AD36" s="29" t="inlineStr">
        <is>
          <t>Not found</t>
        </is>
      </c>
      <c r="AE36" s="29" t="inlineStr">
        <is>
          <t>Unknown</t>
        </is>
      </c>
      <c r="AF36" s="29" t="inlineStr"/>
      <c r="AG36" s="29" t="inlineStr">
        <is>
          <t>Unknown</t>
        </is>
      </c>
      <c r="AH36" s="29" t="inlineStr">
        <is>
          <t>Unknown</t>
        </is>
      </c>
      <c r="AI36" s="29" t="inlineStr">
        <is>
          <t>Searched for 'Team', 'application', 'apply' in source code, no relevant implementation found.</t>
        </is>
      </c>
      <c r="AJ36" s="29" t="inlineStr">
        <is>
          <t>Not verified</t>
        </is>
      </c>
      <c r="AK36" s="29" t="inlineStr"/>
      <c r="AL36" s="29" t="inlineStr"/>
      <c r="AM36" s="29" t="inlineStr"/>
      <c r="AN36" s="29" t="inlineStr"/>
      <c r="AO36" s="29" t="inlineStr">
        <is>
          <t>8bc0dcb2a1da1b21368c5536aaeef829d587f316</t>
        </is>
      </c>
      <c r="AP36" s="29" t="inlineStr">
        <is>
          <t>Low</t>
        </is>
      </c>
      <c r="AQ36" s="29" t="inlineStr">
        <is>
          <t>Not assessed</t>
        </is>
      </c>
      <c r="AR36" s="29" t="inlineStr">
        <is>
          <t>Not assessed</t>
        </is>
      </c>
      <c r="AS36" s="29" t="inlineStr">
        <is>
          <t>Not assessed</t>
        </is>
      </c>
      <c r="AT36" s="29" t="inlineStr">
        <is>
          <t>Not assessed</t>
        </is>
      </c>
      <c r="AU36" s="29" t="inlineStr">
        <is>
          <t>Not assessed</t>
        </is>
      </c>
      <c r="AV36" s="29" t="inlineStr">
        <is>
          <t>Not assessed</t>
        </is>
      </c>
      <c r="AW36" s="29" t="inlineStr">
        <is>
          <t>Not assessed</t>
        </is>
      </c>
      <c r="AX36" s="29" t="inlineStr">
        <is>
          <t>Not assessed</t>
        </is>
      </c>
      <c r="AY36" s="29" t="inlineStr">
        <is>
          <t>Not assessed</t>
        </is>
      </c>
      <c r="AZ36" s="29" t="inlineStr">
        <is>
          <t>Not assessed</t>
        </is>
      </c>
      <c r="BA36" s="29" t="inlineStr">
        <is>
          <t>Not assessed</t>
        </is>
      </c>
      <c r="BB36" s="29" t="inlineStr">
        <is>
          <t>Not assessed</t>
        </is>
      </c>
      <c r="BC36" s="29" t="inlineStr">
        <is>
          <t>Not assessed</t>
        </is>
      </c>
      <c r="BD36" s="29" t="inlineStr">
        <is>
          <t>Not assessed</t>
        </is>
      </c>
      <c r="BE36" s="29" t="inlineStr">
        <is>
          <t>Development required</t>
        </is>
      </c>
      <c r="BF36" s="29" t="inlineStr">
        <is>
          <t>Not assessed; Physical implementation is not complete against the stated requirement.; Searched for 'Team', 'application', 'apply' in source code, no relevant implementation found.</t>
        </is>
      </c>
      <c r="BG36" s="29" t="inlineStr">
        <is>
          <t>Not assessed</t>
        </is>
      </c>
      <c r="BH36" s="29" t="inlineStr"/>
      <c r="BI36" s="29" t="inlineStr"/>
      <c r="BJ36" s="29" t="inlineStr"/>
      <c r="BK36" s="29" t="inlineStr">
        <is>
          <t>Evidence reconciled against the reviewed source revision. No production approval is inferred from implementation or file presence.</t>
        </is>
      </c>
      <c r="BL36" s="29" t="inlineStr">
        <is>
          <t>2026-08-02</t>
        </is>
      </c>
    </row>
    <row r="37" ht="42" customHeight="1">
      <c r="A37" s="29" t="inlineStr">
        <is>
          <t>BLYP-02-004</t>
        </is>
      </c>
      <c r="B37" s="29" t="inlineStr"/>
      <c r="C37" s="29" t="inlineStr">
        <is>
          <t>Team applications</t>
        </is>
      </c>
      <c r="D37" s="29" t="n">
        <v>2</v>
      </c>
      <c r="E37" s="29" t="n">
        <v>4</v>
      </c>
      <c r="F37" s="29" t="inlineStr">
        <is>
          <t>Feature</t>
        </is>
      </c>
      <c r="G37" s="29" t="inlineStr">
        <is>
          <t>Associate an application with the authenticated member</t>
        </is>
      </c>
      <c r="H37" s="29" t="inlineStr">
        <is>
          <t>Associate an application with the authenticated member</t>
        </is>
      </c>
      <c r="I37" s="29" t="inlineStr">
        <is>
          <t>/home/ubuntu/blyp_product_requirements.md :: Section 2 — Team applications</t>
        </is>
      </c>
      <c r="J37" s="29" t="inlineStr">
        <is>
          <t>/home/ubuntu/BLYP_COMPLETE_FEATURE_LIST.md:56</t>
        </is>
      </c>
      <c r="K37" s="29" t="inlineStr">
        <is>
          <t>Required</t>
        </is>
      </c>
      <c r="L37" s="29" t="inlineStr">
        <is>
          <t>Applicable BLYP member</t>
        </is>
      </c>
      <c r="M37" s="29" t="inlineStr">
        <is>
          <t>BLYP mobile application and supporting production services</t>
        </is>
      </c>
      <c r="N37" s="29" t="inlineStr">
        <is>
          <t>Associate an application with the authenticated member</t>
        </is>
      </c>
      <c r="O37" s="29" t="inlineStr">
        <is>
          <t>Not explicitly defined in the product source; requires accountable product approval before production sign-off.</t>
        </is>
      </c>
      <c r="P37" s="29" t="inlineStr"/>
      <c r="Q37" s="29" t="inlineStr">
        <is>
          <t>No evidence</t>
        </is>
      </c>
      <c r="R37" s="29" t="inlineStr"/>
      <c r="S37" s="29" t="inlineStr">
        <is>
          <t>Not found</t>
        </is>
      </c>
      <c r="T37" s="29" t="inlineStr">
        <is>
          <t>Not found</t>
        </is>
      </c>
      <c r="U37" s="29" t="inlineStr">
        <is>
          <t>Not found</t>
        </is>
      </c>
      <c r="V37" s="29" t="inlineStr">
        <is>
          <t>Not found</t>
        </is>
      </c>
      <c r="W37" s="29" t="inlineStr">
        <is>
          <t>Not found</t>
        </is>
      </c>
      <c r="X37" s="29" t="inlineStr">
        <is>
          <t>Not found</t>
        </is>
      </c>
      <c r="Y37" s="29" t="inlineStr">
        <is>
          <t>Not found</t>
        </is>
      </c>
      <c r="Z37" s="29" t="inlineStr">
        <is>
          <t>Not found</t>
        </is>
      </c>
      <c r="AA37" s="29" t="inlineStr">
        <is>
          <t>Not found</t>
        </is>
      </c>
      <c r="AB37" s="29" t="inlineStr">
        <is>
          <t>Not found</t>
        </is>
      </c>
      <c r="AC37" s="29" t="inlineStr"/>
      <c r="AD37" s="29" t="inlineStr">
        <is>
          <t>Not found</t>
        </is>
      </c>
      <c r="AE37" s="29" t="inlineStr">
        <is>
          <t>Unknown</t>
        </is>
      </c>
      <c r="AF37" s="29" t="inlineStr"/>
      <c r="AG37" s="29" t="inlineStr">
        <is>
          <t>Unknown</t>
        </is>
      </c>
      <c r="AH37" s="29" t="inlineStr">
        <is>
          <t>Unknown</t>
        </is>
      </c>
      <c r="AI37" s="29" t="inlineStr">
        <is>
          <t>Searched for 'Team', 'application', 'apply' in source code, no relevant implementation found.</t>
        </is>
      </c>
      <c r="AJ37" s="29" t="inlineStr">
        <is>
          <t>Not verified</t>
        </is>
      </c>
      <c r="AK37" s="29" t="inlineStr"/>
      <c r="AL37" s="29" t="inlineStr"/>
      <c r="AM37" s="29" t="inlineStr"/>
      <c r="AN37" s="29" t="inlineStr"/>
      <c r="AO37" s="29" t="inlineStr">
        <is>
          <t>8bc0dcb2a1da1b21368c5536aaeef829d587f316</t>
        </is>
      </c>
      <c r="AP37" s="29" t="inlineStr">
        <is>
          <t>Low</t>
        </is>
      </c>
      <c r="AQ37" s="29" t="inlineStr">
        <is>
          <t>Not assessed</t>
        </is>
      </c>
      <c r="AR37" s="29" t="inlineStr">
        <is>
          <t>Not assessed</t>
        </is>
      </c>
      <c r="AS37" s="29" t="inlineStr">
        <is>
          <t>Not assessed</t>
        </is>
      </c>
      <c r="AT37" s="29" t="inlineStr">
        <is>
          <t>Not assessed</t>
        </is>
      </c>
      <c r="AU37" s="29" t="inlineStr">
        <is>
          <t>Not assessed</t>
        </is>
      </c>
      <c r="AV37" s="29" t="inlineStr">
        <is>
          <t>Not assessed</t>
        </is>
      </c>
      <c r="AW37" s="29" t="inlineStr">
        <is>
          <t>Not assessed</t>
        </is>
      </c>
      <c r="AX37" s="29" t="inlineStr">
        <is>
          <t>Not assessed</t>
        </is>
      </c>
      <c r="AY37" s="29" t="inlineStr">
        <is>
          <t>Not assessed</t>
        </is>
      </c>
      <c r="AZ37" s="29" t="inlineStr">
        <is>
          <t>Not assessed</t>
        </is>
      </c>
      <c r="BA37" s="29" t="inlineStr">
        <is>
          <t>Not assessed</t>
        </is>
      </c>
      <c r="BB37" s="29" t="inlineStr">
        <is>
          <t>Not assessed</t>
        </is>
      </c>
      <c r="BC37" s="29" t="inlineStr">
        <is>
          <t>Not assessed</t>
        </is>
      </c>
      <c r="BD37" s="29" t="inlineStr">
        <is>
          <t>Not assessed</t>
        </is>
      </c>
      <c r="BE37" s="29" t="inlineStr">
        <is>
          <t>Development required</t>
        </is>
      </c>
      <c r="BF37" s="29" t="inlineStr">
        <is>
          <t>Not assessed; Physical implementation is not complete against the stated requirement.; Searched for 'Team', 'application', 'apply' in source code, no relevant implementation found.</t>
        </is>
      </c>
      <c r="BG37" s="29" t="inlineStr">
        <is>
          <t>Not assessed</t>
        </is>
      </c>
      <c r="BH37" s="29" t="inlineStr"/>
      <c r="BI37" s="29" t="inlineStr"/>
      <c r="BJ37" s="29" t="inlineStr"/>
      <c r="BK37" s="29" t="inlineStr">
        <is>
          <t>Evidence reconciled against the reviewed source revision. No production approval is inferred from implementation or file presence.</t>
        </is>
      </c>
      <c r="BL37" s="29" t="inlineStr">
        <is>
          <t>2026-08-02</t>
        </is>
      </c>
    </row>
    <row r="38" ht="42" customHeight="1">
      <c r="A38" s="29" t="inlineStr">
        <is>
          <t>BLYP-02-005</t>
        </is>
      </c>
      <c r="B38" s="29" t="inlineStr"/>
      <c r="C38" s="29" t="inlineStr">
        <is>
          <t>Team applications</t>
        </is>
      </c>
      <c r="D38" s="29" t="n">
        <v>2</v>
      </c>
      <c r="E38" s="29" t="n">
        <v>5</v>
      </c>
      <c r="F38" s="29" t="inlineStr">
        <is>
          <t>Feature</t>
        </is>
      </c>
      <c r="G38" s="29" t="inlineStr">
        <is>
          <t>Send the application to the selected Team</t>
        </is>
      </c>
      <c r="H38" s="29" t="inlineStr">
        <is>
          <t>Send the application to the selected Team</t>
        </is>
      </c>
      <c r="I38" s="29" t="inlineStr">
        <is>
          <t>/home/ubuntu/blyp_product_requirements.md :: Section 2 — Team applications</t>
        </is>
      </c>
      <c r="J38" s="29" t="inlineStr">
        <is>
          <t>/home/ubuntu/BLYP_COMPLETE_FEATURE_LIST.md:57</t>
        </is>
      </c>
      <c r="K38" s="29" t="inlineStr">
        <is>
          <t>Required</t>
        </is>
      </c>
      <c r="L38" s="29" t="inlineStr">
        <is>
          <t>Applicable BLYP member</t>
        </is>
      </c>
      <c r="M38" s="29" t="inlineStr">
        <is>
          <t>BLYP mobile application and supporting production services</t>
        </is>
      </c>
      <c r="N38" s="29" t="inlineStr">
        <is>
          <t>Send the application to the selected Team</t>
        </is>
      </c>
      <c r="O38" s="29" t="inlineStr">
        <is>
          <t>Not explicitly defined in the product source; requires accountable product approval before production sign-off.</t>
        </is>
      </c>
      <c r="P38" s="29" t="inlineStr"/>
      <c r="Q38" s="29" t="inlineStr">
        <is>
          <t>Partial</t>
        </is>
      </c>
      <c r="R38" s="29" t="inlineStr"/>
      <c r="S38" s="29" t="inlineStr">
        <is>
          <t>Not found</t>
        </is>
      </c>
      <c r="T38" s="29" t="inlineStr">
        <is>
          <t>Not found</t>
        </is>
      </c>
      <c r="U38" s="29" t="inlineStr">
        <is>
          <t>Not found</t>
        </is>
      </c>
      <c r="V38" s="29" t="inlineStr">
        <is>
          <t>Not found</t>
        </is>
      </c>
      <c r="W38" s="29" t="inlineStr">
        <is>
          <t>Not found</t>
        </is>
      </c>
      <c r="X38" s="29" t="inlineStr">
        <is>
          <t>Not found</t>
        </is>
      </c>
      <c r="Y38" s="29" t="inlineStr">
        <is>
          <t>Not found</t>
        </is>
      </c>
      <c r="Z38" s="29" t="inlineStr">
        <is>
          <t>Not found</t>
        </is>
      </c>
      <c r="AA38" s="29" t="inlineStr">
        <is>
          <t>Not found</t>
        </is>
      </c>
      <c r="AB38" s="29" t="inlineStr">
        <is>
          <t>Not found</t>
        </is>
      </c>
      <c r="AC38" s="29" t="inlineStr"/>
      <c r="AD38" s="29" t="inlineStr">
        <is>
          <t>Not found</t>
        </is>
      </c>
      <c r="AE38" s="29" t="inlineStr">
        <is>
          <t>Unknown</t>
        </is>
      </c>
      <c r="AF38" s="29" t="inlineStr"/>
      <c r="AG38" s="29" t="inlineStr">
        <is>
          <t>Unknown</t>
        </is>
      </c>
      <c r="AH38" s="29" t="inlineStr">
        <is>
          <t>Unknown</t>
        </is>
      </c>
      <c r="AI38" s="29" t="inlineStr">
        <is>
          <t>Searched for 'Team', 'application', 'apply' in source code, no relevant implementation found.</t>
        </is>
      </c>
      <c r="AJ38" s="29" t="inlineStr">
        <is>
          <t>Not verified</t>
        </is>
      </c>
      <c r="AK38" s="29" t="inlineStr"/>
      <c r="AL38" s="29" t="inlineStr"/>
      <c r="AM38" s="29" t="inlineStr"/>
      <c r="AN38" s="29" t="inlineStr"/>
      <c r="AO38" s="29" t="inlineStr">
        <is>
          <t>8bc0dcb2a1da1b21368c5536aaeef829d587f316</t>
        </is>
      </c>
      <c r="AP38" s="29" t="inlineStr">
        <is>
          <t>Low</t>
        </is>
      </c>
      <c r="AQ38" s="29" t="inlineStr">
        <is>
          <t>Not assessed</t>
        </is>
      </c>
      <c r="AR38" s="29" t="inlineStr">
        <is>
          <t>Not assessed</t>
        </is>
      </c>
      <c r="AS38" s="29" t="inlineStr">
        <is>
          <t>Not assessed</t>
        </is>
      </c>
      <c r="AT38" s="29" t="inlineStr">
        <is>
          <t>Not assessed</t>
        </is>
      </c>
      <c r="AU38" s="29" t="inlineStr">
        <is>
          <t>Not assessed</t>
        </is>
      </c>
      <c r="AV38" s="29" t="inlineStr">
        <is>
          <t>Not assessed</t>
        </is>
      </c>
      <c r="AW38" s="29" t="inlineStr">
        <is>
          <t>Not assessed</t>
        </is>
      </c>
      <c r="AX38" s="29" t="inlineStr">
        <is>
          <t>Not assessed</t>
        </is>
      </c>
      <c r="AY38" s="29" t="inlineStr">
        <is>
          <t>Not assessed</t>
        </is>
      </c>
      <c r="AZ38" s="29" t="inlineStr">
        <is>
          <t>Not assessed</t>
        </is>
      </c>
      <c r="BA38" s="29" t="inlineStr">
        <is>
          <t>Not assessed</t>
        </is>
      </c>
      <c r="BB38" s="29" t="inlineStr">
        <is>
          <t>Not assessed</t>
        </is>
      </c>
      <c r="BC38" s="29" t="inlineStr">
        <is>
          <t>Not assessed</t>
        </is>
      </c>
      <c r="BD38" s="29" t="inlineStr">
        <is>
          <t>Not assessed</t>
        </is>
      </c>
      <c r="BE38" s="29" t="inlineStr">
        <is>
          <t>Development required</t>
        </is>
      </c>
      <c r="BF38" s="29" t="inlineStr">
        <is>
          <t>Not assessed; Physical implementation is not complete against the stated requirement.; Searched for 'Team', 'application', 'apply' in source code, no relevant implementation found.</t>
        </is>
      </c>
      <c r="BG38" s="29" t="inlineStr">
        <is>
          <t>Not assessed</t>
        </is>
      </c>
      <c r="BH38" s="29" t="inlineStr"/>
      <c r="BI38" s="29" t="inlineStr"/>
      <c r="BJ38" s="29" t="inlineStr"/>
      <c r="BK38" s="29" t="inlineStr">
        <is>
          <t>Evidence reconciled against the reviewed source revision. No production approval is inferred from implementation or file presence.</t>
        </is>
      </c>
      <c r="BL38" s="29" t="inlineStr">
        <is>
          <t>2026-08-02</t>
        </is>
      </c>
    </row>
    <row r="39" ht="42" customHeight="1">
      <c r="A39" s="29" t="inlineStr">
        <is>
          <t>BLYP-02-006</t>
        </is>
      </c>
      <c r="B39" s="29" t="inlineStr"/>
      <c r="C39" s="29" t="inlineStr">
        <is>
          <t>Team applications</t>
        </is>
      </c>
      <c r="D39" s="29" t="n">
        <v>2</v>
      </c>
      <c r="E39" s="29" t="n">
        <v>6</v>
      </c>
      <c r="F39" s="29" t="inlineStr">
        <is>
          <t>Rule</t>
        </is>
      </c>
      <c r="G39" s="29" t="inlineStr">
        <is>
          <t>Prevent duplicate Team applications</t>
        </is>
      </c>
      <c r="H39" s="29" t="inlineStr">
        <is>
          <t>Prevent duplicate Team applications</t>
        </is>
      </c>
      <c r="I39" s="29" t="inlineStr">
        <is>
          <t>/home/ubuntu/blyp_product_requirements.md :: Section 2 — Team applications</t>
        </is>
      </c>
      <c r="J39" s="29" t="inlineStr">
        <is>
          <t>/home/ubuntu/BLYP_COMPLETE_FEATURE_LIST.md:58</t>
        </is>
      </c>
      <c r="K39" s="29" t="inlineStr">
        <is>
          <t>Required</t>
        </is>
      </c>
      <c r="L39" s="29" t="inlineStr">
        <is>
          <t>Applicable BLYP member</t>
        </is>
      </c>
      <c r="M39" s="29" t="inlineStr">
        <is>
          <t>BLYP mobile application and supporting production services</t>
        </is>
      </c>
      <c r="N39" s="29" t="inlineStr">
        <is>
          <t>Prevent duplicate Team applications</t>
        </is>
      </c>
      <c r="O39" s="29" t="inlineStr">
        <is>
          <t>Not explicitly defined in the product source; requires accountable product approval before production sign-off.</t>
        </is>
      </c>
      <c r="P39" s="29" t="inlineStr"/>
      <c r="Q39" s="29" t="inlineStr">
        <is>
          <t>No evidence</t>
        </is>
      </c>
      <c r="R39" s="29" t="inlineStr"/>
      <c r="S39" s="29" t="inlineStr">
        <is>
          <t>Not found</t>
        </is>
      </c>
      <c r="T39" s="29" t="inlineStr">
        <is>
          <t>Not found</t>
        </is>
      </c>
      <c r="U39" s="29" t="inlineStr">
        <is>
          <t>Not found</t>
        </is>
      </c>
      <c r="V39" s="29" t="inlineStr">
        <is>
          <t>Not found</t>
        </is>
      </c>
      <c r="W39" s="29" t="inlineStr">
        <is>
          <t>Not found</t>
        </is>
      </c>
      <c r="X39" s="29" t="inlineStr">
        <is>
          <t>Not found</t>
        </is>
      </c>
      <c r="Y39" s="29" t="inlineStr">
        <is>
          <t>Not found</t>
        </is>
      </c>
      <c r="Z39" s="29" t="inlineStr">
        <is>
          <t>Not found</t>
        </is>
      </c>
      <c r="AA39" s="29" t="inlineStr">
        <is>
          <t>Not found</t>
        </is>
      </c>
      <c r="AB39" s="29" t="inlineStr">
        <is>
          <t>Not found</t>
        </is>
      </c>
      <c r="AC39" s="29" t="inlineStr"/>
      <c r="AD39" s="29" t="inlineStr">
        <is>
          <t>Not found</t>
        </is>
      </c>
      <c r="AE39" s="29" t="inlineStr">
        <is>
          <t>Unknown</t>
        </is>
      </c>
      <c r="AF39" s="29" t="inlineStr"/>
      <c r="AG39" s="29" t="inlineStr">
        <is>
          <t>Unknown</t>
        </is>
      </c>
      <c r="AH39" s="29" t="inlineStr">
        <is>
          <t>Unknown</t>
        </is>
      </c>
      <c r="AI39" s="29" t="inlineStr">
        <is>
          <t>Searched for 'Team', 'application', 'apply' in source code, no relevant implementation found.</t>
        </is>
      </c>
      <c r="AJ39" s="29" t="inlineStr">
        <is>
          <t>Not verified</t>
        </is>
      </c>
      <c r="AK39" s="29" t="inlineStr"/>
      <c r="AL39" s="29" t="inlineStr"/>
      <c r="AM39" s="29" t="inlineStr"/>
      <c r="AN39" s="29" t="inlineStr"/>
      <c r="AO39" s="29" t="inlineStr">
        <is>
          <t>8bc0dcb2a1da1b21368c5536aaeef829d587f316</t>
        </is>
      </c>
      <c r="AP39" s="29" t="inlineStr">
        <is>
          <t>Low</t>
        </is>
      </c>
      <c r="AQ39" s="29" t="inlineStr">
        <is>
          <t>Not assessed</t>
        </is>
      </c>
      <c r="AR39" s="29" t="inlineStr">
        <is>
          <t>Not assessed</t>
        </is>
      </c>
      <c r="AS39" s="29" t="inlineStr">
        <is>
          <t>Not assessed</t>
        </is>
      </c>
      <c r="AT39" s="29" t="inlineStr">
        <is>
          <t>Not assessed</t>
        </is>
      </c>
      <c r="AU39" s="29" t="inlineStr">
        <is>
          <t>Not assessed</t>
        </is>
      </c>
      <c r="AV39" s="29" t="inlineStr">
        <is>
          <t>Not assessed</t>
        </is>
      </c>
      <c r="AW39" s="29" t="inlineStr">
        <is>
          <t>Not assessed</t>
        </is>
      </c>
      <c r="AX39" s="29" t="inlineStr">
        <is>
          <t>Not assessed</t>
        </is>
      </c>
      <c r="AY39" s="29" t="inlineStr">
        <is>
          <t>Not assessed</t>
        </is>
      </c>
      <c r="AZ39" s="29" t="inlineStr">
        <is>
          <t>Not assessed</t>
        </is>
      </c>
      <c r="BA39" s="29" t="inlineStr">
        <is>
          <t>Not assessed</t>
        </is>
      </c>
      <c r="BB39" s="29" t="inlineStr">
        <is>
          <t>Not assessed</t>
        </is>
      </c>
      <c r="BC39" s="29" t="inlineStr">
        <is>
          <t>Not assessed</t>
        </is>
      </c>
      <c r="BD39" s="29" t="inlineStr">
        <is>
          <t>Not assessed</t>
        </is>
      </c>
      <c r="BE39" s="29" t="inlineStr">
        <is>
          <t>Development required</t>
        </is>
      </c>
      <c r="BF39" s="29" t="inlineStr">
        <is>
          <t>Not assessed; Physical implementation is not complete against the stated requirement.; Searched for 'Team', 'application', 'apply' in source code, no relevant implementation found.</t>
        </is>
      </c>
      <c r="BG39" s="29" t="inlineStr">
        <is>
          <t>Not assessed</t>
        </is>
      </c>
      <c r="BH39" s="29" t="inlineStr"/>
      <c r="BI39" s="29" t="inlineStr"/>
      <c r="BJ39" s="29" t="inlineStr"/>
      <c r="BK39" s="29" t="inlineStr">
        <is>
          <t>Evidence reconciled against the reviewed source revision. No production approval is inferred from implementation or file presence.</t>
        </is>
      </c>
      <c r="BL39" s="29" t="inlineStr">
        <is>
          <t>2026-08-02</t>
        </is>
      </c>
    </row>
    <row r="40" ht="42" customHeight="1">
      <c r="A40" s="29" t="inlineStr">
        <is>
          <t>BLYP-02-007</t>
        </is>
      </c>
      <c r="B40" s="29" t="inlineStr"/>
      <c r="C40" s="29" t="inlineStr">
        <is>
          <t>Team applications</t>
        </is>
      </c>
      <c r="D40" s="29" t="n">
        <v>2</v>
      </c>
      <c r="E40" s="29" t="n">
        <v>7</v>
      </c>
      <c r="F40" s="29" t="inlineStr">
        <is>
          <t>Feature</t>
        </is>
      </c>
      <c r="G40" s="29" t="inlineStr">
        <is>
          <t>Clear application success state</t>
        </is>
      </c>
      <c r="H40" s="29" t="inlineStr">
        <is>
          <t>Clear application success state</t>
        </is>
      </c>
      <c r="I40" s="29" t="inlineStr">
        <is>
          <t>/home/ubuntu/blyp_product_requirements.md :: Section 2 — Team applications</t>
        </is>
      </c>
      <c r="J40" s="29" t="inlineStr">
        <is>
          <t>/home/ubuntu/BLYP_COMPLETE_FEATURE_LIST.md:59</t>
        </is>
      </c>
      <c r="K40" s="29" t="inlineStr">
        <is>
          <t>Required</t>
        </is>
      </c>
      <c r="L40" s="29" t="inlineStr">
        <is>
          <t>Applicable BLYP member</t>
        </is>
      </c>
      <c r="M40" s="29" t="inlineStr">
        <is>
          <t>BLYP mobile application and supporting production services</t>
        </is>
      </c>
      <c r="N40" s="29" t="inlineStr">
        <is>
          <t>Clear application success state</t>
        </is>
      </c>
      <c r="O40" s="29" t="inlineStr">
        <is>
          <t>Not explicitly defined in the product source; requires accountable product approval before production sign-off.</t>
        </is>
      </c>
      <c r="P40" s="29" t="inlineStr"/>
      <c r="Q40" s="29" t="inlineStr">
        <is>
          <t>No evidence</t>
        </is>
      </c>
      <c r="R40" s="29" t="inlineStr"/>
      <c r="S40" s="29" t="inlineStr">
        <is>
          <t>Not found</t>
        </is>
      </c>
      <c r="T40" s="29" t="inlineStr">
        <is>
          <t>Not found</t>
        </is>
      </c>
      <c r="U40" s="29" t="inlineStr">
        <is>
          <t>Not found</t>
        </is>
      </c>
      <c r="V40" s="29" t="inlineStr">
        <is>
          <t>Not found</t>
        </is>
      </c>
      <c r="W40" s="29" t="inlineStr">
        <is>
          <t>Not found</t>
        </is>
      </c>
      <c r="X40" s="29" t="inlineStr">
        <is>
          <t>Not found</t>
        </is>
      </c>
      <c r="Y40" s="29" t="inlineStr">
        <is>
          <t>Not found</t>
        </is>
      </c>
      <c r="Z40" s="29" t="inlineStr">
        <is>
          <t>Not found</t>
        </is>
      </c>
      <c r="AA40" s="29" t="inlineStr">
        <is>
          <t>Not found</t>
        </is>
      </c>
      <c r="AB40" s="29" t="inlineStr">
        <is>
          <t>Not found</t>
        </is>
      </c>
      <c r="AC40" s="29" t="inlineStr"/>
      <c r="AD40" s="29" t="inlineStr">
        <is>
          <t>Not found</t>
        </is>
      </c>
      <c r="AE40" s="29" t="inlineStr">
        <is>
          <t>Unknown</t>
        </is>
      </c>
      <c r="AF40" s="29" t="inlineStr"/>
      <c r="AG40" s="29" t="inlineStr">
        <is>
          <t>Unknown</t>
        </is>
      </c>
      <c r="AH40" s="29" t="inlineStr">
        <is>
          <t>Unknown</t>
        </is>
      </c>
      <c r="AI40" s="29" t="inlineStr">
        <is>
          <t>Searched for 'Team', 'application', 'apply' in source code, no relevant implementation found.</t>
        </is>
      </c>
      <c r="AJ40" s="29" t="inlineStr">
        <is>
          <t>Not verified</t>
        </is>
      </c>
      <c r="AK40" s="29" t="inlineStr"/>
      <c r="AL40" s="29" t="inlineStr"/>
      <c r="AM40" s="29" t="inlineStr"/>
      <c r="AN40" s="29" t="inlineStr"/>
      <c r="AO40" s="29" t="inlineStr">
        <is>
          <t>8bc0dcb2a1da1b21368c5536aaeef829d587f316</t>
        </is>
      </c>
      <c r="AP40" s="29" t="inlineStr">
        <is>
          <t>Low</t>
        </is>
      </c>
      <c r="AQ40" s="29" t="inlineStr">
        <is>
          <t>Not assessed</t>
        </is>
      </c>
      <c r="AR40" s="29" t="inlineStr">
        <is>
          <t>Not assessed</t>
        </is>
      </c>
      <c r="AS40" s="29" t="inlineStr">
        <is>
          <t>Not assessed</t>
        </is>
      </c>
      <c r="AT40" s="29" t="inlineStr">
        <is>
          <t>Not assessed</t>
        </is>
      </c>
      <c r="AU40" s="29" t="inlineStr">
        <is>
          <t>Not assessed</t>
        </is>
      </c>
      <c r="AV40" s="29" t="inlineStr">
        <is>
          <t>Not assessed</t>
        </is>
      </c>
      <c r="AW40" s="29" t="inlineStr">
        <is>
          <t>Not assessed</t>
        </is>
      </c>
      <c r="AX40" s="29" t="inlineStr">
        <is>
          <t>Not assessed</t>
        </is>
      </c>
      <c r="AY40" s="29" t="inlineStr">
        <is>
          <t>Not assessed</t>
        </is>
      </c>
      <c r="AZ40" s="29" t="inlineStr">
        <is>
          <t>Not assessed</t>
        </is>
      </c>
      <c r="BA40" s="29" t="inlineStr">
        <is>
          <t>Not assessed</t>
        </is>
      </c>
      <c r="BB40" s="29" t="inlineStr">
        <is>
          <t>Not assessed</t>
        </is>
      </c>
      <c r="BC40" s="29" t="inlineStr">
        <is>
          <t>Not assessed</t>
        </is>
      </c>
      <c r="BD40" s="29" t="inlineStr">
        <is>
          <t>Not assessed</t>
        </is>
      </c>
      <c r="BE40" s="29" t="inlineStr">
        <is>
          <t>Development required</t>
        </is>
      </c>
      <c r="BF40" s="29" t="inlineStr">
        <is>
          <t>Not assessed; Physical implementation is not complete against the stated requirement.; Searched for 'Team', 'application', 'apply' in source code, no relevant implementation found.</t>
        </is>
      </c>
      <c r="BG40" s="29" t="inlineStr">
        <is>
          <t>Not assessed</t>
        </is>
      </c>
      <c r="BH40" s="29" t="inlineStr"/>
      <c r="BI40" s="29" t="inlineStr"/>
      <c r="BJ40" s="29" t="inlineStr"/>
      <c r="BK40" s="29" t="inlineStr">
        <is>
          <t>Evidence reconciled against the reviewed source revision. No production approval is inferred from implementation or file presence.</t>
        </is>
      </c>
      <c r="BL40" s="29" t="inlineStr">
        <is>
          <t>2026-08-02</t>
        </is>
      </c>
    </row>
    <row r="41" ht="42" customHeight="1">
      <c r="A41" s="29" t="inlineStr">
        <is>
          <t>BLYP-02-008</t>
        </is>
      </c>
      <c r="B41" s="29" t="inlineStr"/>
      <c r="C41" s="29" t="inlineStr">
        <is>
          <t>Team applications</t>
        </is>
      </c>
      <c r="D41" s="29" t="n">
        <v>2</v>
      </c>
      <c r="E41" s="29" t="n">
        <v>8</v>
      </c>
      <c r="F41" s="29" t="inlineStr">
        <is>
          <t>Feature</t>
        </is>
      </c>
      <c r="G41" s="29" t="inlineStr">
        <is>
          <t>Actionable application error messages</t>
        </is>
      </c>
      <c r="H41" s="29" t="inlineStr">
        <is>
          <t>Actionable application error messages</t>
        </is>
      </c>
      <c r="I41" s="29" t="inlineStr">
        <is>
          <t>/home/ubuntu/blyp_product_requirements.md :: Section 2 — Team applications</t>
        </is>
      </c>
      <c r="J41" s="29" t="inlineStr">
        <is>
          <t>/home/ubuntu/BLYP_COMPLETE_FEATURE_LIST.md:60</t>
        </is>
      </c>
      <c r="K41" s="29" t="inlineStr">
        <is>
          <t>Required</t>
        </is>
      </c>
      <c r="L41" s="29" t="inlineStr">
        <is>
          <t>Applicable BLYP member</t>
        </is>
      </c>
      <c r="M41" s="29" t="inlineStr">
        <is>
          <t>BLYP mobile application and supporting production services</t>
        </is>
      </c>
      <c r="N41" s="29" t="inlineStr">
        <is>
          <t>Actionable application error messages</t>
        </is>
      </c>
      <c r="O41" s="29" t="inlineStr">
        <is>
          <t>Not explicitly defined in the product source; requires accountable product approval before production sign-off.</t>
        </is>
      </c>
      <c r="P41" s="29" t="inlineStr"/>
      <c r="Q41" s="29" t="inlineStr">
        <is>
          <t>Partial</t>
        </is>
      </c>
      <c r="R41" s="29" t="inlineStr"/>
      <c r="S41" s="29" t="inlineStr">
        <is>
          <t>Not found</t>
        </is>
      </c>
      <c r="T41" s="29" t="inlineStr">
        <is>
          <t>Not found</t>
        </is>
      </c>
      <c r="U41" s="29" t="inlineStr">
        <is>
          <t>Not found</t>
        </is>
      </c>
      <c r="V41" s="29" t="inlineStr">
        <is>
          <t>Not found</t>
        </is>
      </c>
      <c r="W41" s="29" t="inlineStr">
        <is>
          <t>Not found</t>
        </is>
      </c>
      <c r="X41" s="29" t="inlineStr">
        <is>
          <t>Not found</t>
        </is>
      </c>
      <c r="Y41" s="29" t="inlineStr">
        <is>
          <t>Not found</t>
        </is>
      </c>
      <c r="Z41" s="29" t="inlineStr">
        <is>
          <t>Not found</t>
        </is>
      </c>
      <c r="AA41" s="29" t="inlineStr">
        <is>
          <t>Not found</t>
        </is>
      </c>
      <c r="AB41" s="29" t="inlineStr">
        <is>
          <t>Not found</t>
        </is>
      </c>
      <c r="AC41" s="29" t="inlineStr"/>
      <c r="AD41" s="29" t="inlineStr">
        <is>
          <t>Not found</t>
        </is>
      </c>
      <c r="AE41" s="29" t="inlineStr">
        <is>
          <t>Unknown</t>
        </is>
      </c>
      <c r="AF41" s="29" t="inlineStr"/>
      <c r="AG41" s="29" t="inlineStr">
        <is>
          <t>Unknown</t>
        </is>
      </c>
      <c r="AH41" s="29" t="inlineStr">
        <is>
          <t>Unknown</t>
        </is>
      </c>
      <c r="AI41" s="29" t="inlineStr">
        <is>
          <t>Searched for 'Team', 'application', 'apply' in source code, no relevant implementation found.</t>
        </is>
      </c>
      <c r="AJ41" s="29" t="inlineStr">
        <is>
          <t>Not verified</t>
        </is>
      </c>
      <c r="AK41" s="29" t="inlineStr"/>
      <c r="AL41" s="29" t="inlineStr"/>
      <c r="AM41" s="29" t="inlineStr"/>
      <c r="AN41" s="29" t="inlineStr"/>
      <c r="AO41" s="29" t="inlineStr">
        <is>
          <t>8bc0dcb2a1da1b21368c5536aaeef829d587f316</t>
        </is>
      </c>
      <c r="AP41" s="29" t="inlineStr">
        <is>
          <t>Low</t>
        </is>
      </c>
      <c r="AQ41" s="29" t="inlineStr">
        <is>
          <t>Not assessed</t>
        </is>
      </c>
      <c r="AR41" s="29" t="inlineStr">
        <is>
          <t>Not assessed</t>
        </is>
      </c>
      <c r="AS41" s="29" t="inlineStr">
        <is>
          <t>Not assessed</t>
        </is>
      </c>
      <c r="AT41" s="29" t="inlineStr">
        <is>
          <t>Not assessed</t>
        </is>
      </c>
      <c r="AU41" s="29" t="inlineStr">
        <is>
          <t>Not assessed</t>
        </is>
      </c>
      <c r="AV41" s="29" t="inlineStr">
        <is>
          <t>Not assessed</t>
        </is>
      </c>
      <c r="AW41" s="29" t="inlineStr">
        <is>
          <t>Not assessed</t>
        </is>
      </c>
      <c r="AX41" s="29" t="inlineStr">
        <is>
          <t>Not assessed</t>
        </is>
      </c>
      <c r="AY41" s="29" t="inlineStr">
        <is>
          <t>Not assessed</t>
        </is>
      </c>
      <c r="AZ41" s="29" t="inlineStr">
        <is>
          <t>Not assessed</t>
        </is>
      </c>
      <c r="BA41" s="29" t="inlineStr">
        <is>
          <t>Not assessed</t>
        </is>
      </c>
      <c r="BB41" s="29" t="inlineStr">
        <is>
          <t>Not assessed</t>
        </is>
      </c>
      <c r="BC41" s="29" t="inlineStr">
        <is>
          <t>Not assessed</t>
        </is>
      </c>
      <c r="BD41" s="29" t="inlineStr">
        <is>
          <t>Not assessed</t>
        </is>
      </c>
      <c r="BE41" s="29" t="inlineStr">
        <is>
          <t>Development required</t>
        </is>
      </c>
      <c r="BF41" s="29" t="inlineStr">
        <is>
          <t>Not assessed; Physical implementation is not complete against the stated requirement.; Searched for 'Team', 'application', 'apply' in source code, no relevant implementation found.</t>
        </is>
      </c>
      <c r="BG41" s="29" t="inlineStr">
        <is>
          <t>Not assessed</t>
        </is>
      </c>
      <c r="BH41" s="29" t="inlineStr"/>
      <c r="BI41" s="29" t="inlineStr"/>
      <c r="BJ41" s="29" t="inlineStr"/>
      <c r="BK41" s="29" t="inlineStr">
        <is>
          <t>Evidence reconciled against the reviewed source revision. No production approval is inferred from implementation or file presence.</t>
        </is>
      </c>
      <c r="BL41" s="29" t="inlineStr">
        <is>
          <t>2026-08-02</t>
        </is>
      </c>
    </row>
    <row r="42" ht="42" customHeight="1">
      <c r="A42" s="29" t="inlineStr">
        <is>
          <t>BLYP-02-009</t>
        </is>
      </c>
      <c r="B42" s="29" t="inlineStr"/>
      <c r="C42" s="29" t="inlineStr">
        <is>
          <t>Team applications</t>
        </is>
      </c>
      <c r="D42" s="29" t="n">
        <v>2</v>
      </c>
      <c r="E42" s="29" t="n">
        <v>9</v>
      </c>
      <c r="F42" s="29" t="inlineStr">
        <is>
          <t>Feature</t>
        </is>
      </c>
      <c r="G42" s="29" t="inlineStr">
        <is>
          <t>Team-application decision state</t>
        </is>
      </c>
      <c r="H42" s="29" t="inlineStr">
        <is>
          <t>Team-application decision state</t>
        </is>
      </c>
      <c r="I42" s="29" t="inlineStr">
        <is>
          <t>/home/ubuntu/blyp_product_requirements.md :: Section 2 — Team applications</t>
        </is>
      </c>
      <c r="J42" s="29" t="inlineStr">
        <is>
          <t>/home/ubuntu/BLYP_COMPLETE_FEATURE_LIST.md:61</t>
        </is>
      </c>
      <c r="K42" s="29" t="inlineStr">
        <is>
          <t>Required</t>
        </is>
      </c>
      <c r="L42" s="29" t="inlineStr">
        <is>
          <t>Applicable BLYP member</t>
        </is>
      </c>
      <c r="M42" s="29" t="inlineStr">
        <is>
          <t>BLYP mobile application and supporting production services</t>
        </is>
      </c>
      <c r="N42" s="29" t="inlineStr">
        <is>
          <t>Team-application decision state</t>
        </is>
      </c>
      <c r="O42" s="29" t="inlineStr">
        <is>
          <t>Not explicitly defined in the product source; requires accountable product approval before production sign-off.</t>
        </is>
      </c>
      <c r="P42" s="29" t="inlineStr"/>
      <c r="Q42" s="29" t="inlineStr">
        <is>
          <t>Scaffold only</t>
        </is>
      </c>
      <c r="R42" s="29" t="inlineStr"/>
      <c r="S42" s="29" t="inlineStr">
        <is>
          <t>Not found</t>
        </is>
      </c>
      <c r="T42" s="29" t="inlineStr">
        <is>
          <t>Not found</t>
        </is>
      </c>
      <c r="U42" s="29" t="inlineStr">
        <is>
          <t>Not found</t>
        </is>
      </c>
      <c r="V42" s="29" t="inlineStr">
        <is>
          <t>Not found</t>
        </is>
      </c>
      <c r="W42" s="29" t="inlineStr">
        <is>
          <t>Not found</t>
        </is>
      </c>
      <c r="X42" s="29" t="inlineStr">
        <is>
          <t>Not found</t>
        </is>
      </c>
      <c r="Y42" s="29" t="inlineStr">
        <is>
          <t>Not found</t>
        </is>
      </c>
      <c r="Z42" s="29" t="inlineStr">
        <is>
          <t>Not found</t>
        </is>
      </c>
      <c r="AA42" s="29" t="inlineStr">
        <is>
          <t>Not found</t>
        </is>
      </c>
      <c r="AB42" s="29" t="inlineStr">
        <is>
          <t>Not found</t>
        </is>
      </c>
      <c r="AC42" s="29" t="inlineStr"/>
      <c r="AD42" s="29" t="inlineStr">
        <is>
          <t>Not found</t>
        </is>
      </c>
      <c r="AE42" s="29" t="inlineStr">
        <is>
          <t>Unknown</t>
        </is>
      </c>
      <c r="AF42" s="29" t="inlineStr"/>
      <c r="AG42" s="29" t="inlineStr">
        <is>
          <t>Unknown</t>
        </is>
      </c>
      <c r="AH42" s="29" t="inlineStr">
        <is>
          <t>Unknown</t>
        </is>
      </c>
      <c r="AI42" s="29" t="inlineStr">
        <is>
          <t>Searched for 'Team', 'application', 'apply' in source code, no relevant implementation found.</t>
        </is>
      </c>
      <c r="AJ42" s="29" t="inlineStr">
        <is>
          <t>Not verified</t>
        </is>
      </c>
      <c r="AK42" s="29" t="inlineStr"/>
      <c r="AL42" s="29" t="inlineStr"/>
      <c r="AM42" s="29" t="inlineStr"/>
      <c r="AN42" s="29" t="inlineStr"/>
      <c r="AO42" s="29" t="inlineStr">
        <is>
          <t>8bc0dcb2a1da1b21368c5536aaeef829d587f316</t>
        </is>
      </c>
      <c r="AP42" s="29" t="inlineStr">
        <is>
          <t>Low</t>
        </is>
      </c>
      <c r="AQ42" s="29" t="inlineStr">
        <is>
          <t>Not assessed</t>
        </is>
      </c>
      <c r="AR42" s="29" t="inlineStr">
        <is>
          <t>Not assessed</t>
        </is>
      </c>
      <c r="AS42" s="29" t="inlineStr">
        <is>
          <t>Not assessed</t>
        </is>
      </c>
      <c r="AT42" s="29" t="inlineStr">
        <is>
          <t>Not assessed</t>
        </is>
      </c>
      <c r="AU42" s="29" t="inlineStr">
        <is>
          <t>Not assessed</t>
        </is>
      </c>
      <c r="AV42" s="29" t="inlineStr">
        <is>
          <t>Not assessed</t>
        </is>
      </c>
      <c r="AW42" s="29" t="inlineStr">
        <is>
          <t>Not assessed</t>
        </is>
      </c>
      <c r="AX42" s="29" t="inlineStr">
        <is>
          <t>Not assessed</t>
        </is>
      </c>
      <c r="AY42" s="29" t="inlineStr">
        <is>
          <t>Not assessed</t>
        </is>
      </c>
      <c r="AZ42" s="29" t="inlineStr">
        <is>
          <t>Not assessed</t>
        </is>
      </c>
      <c r="BA42" s="29" t="inlineStr">
        <is>
          <t>Not assessed</t>
        </is>
      </c>
      <c r="BB42" s="29" t="inlineStr">
        <is>
          <t>Not assessed</t>
        </is>
      </c>
      <c r="BC42" s="29" t="inlineStr">
        <is>
          <t>Not assessed</t>
        </is>
      </c>
      <c r="BD42" s="29" t="inlineStr">
        <is>
          <t>Not assessed</t>
        </is>
      </c>
      <c r="BE42" s="29" t="inlineStr">
        <is>
          <t>Development required</t>
        </is>
      </c>
      <c r="BF42" s="29" t="inlineStr">
        <is>
          <t>Not assessed; Physical implementation is not complete against the stated requirement.; Searched for 'Team', 'application', 'apply' in source code, no relevant implementation found.</t>
        </is>
      </c>
      <c r="BG42" s="29" t="inlineStr">
        <is>
          <t>Not assessed</t>
        </is>
      </c>
      <c r="BH42" s="29" t="inlineStr"/>
      <c r="BI42" s="29" t="inlineStr"/>
      <c r="BJ42" s="29" t="inlineStr"/>
      <c r="BK42" s="29" t="inlineStr">
        <is>
          <t>Evidence reconciled against the reviewed source revision. No production approval is inferred from implementation or file presence.</t>
        </is>
      </c>
      <c r="BL42" s="29" t="inlineStr">
        <is>
          <t>2026-08-02</t>
        </is>
      </c>
    </row>
    <row r="43" ht="42" customHeight="1">
      <c r="A43" s="29" t="inlineStr">
        <is>
          <t>BLYP-03-001</t>
        </is>
      </c>
      <c r="B43" s="29" t="inlineStr"/>
      <c r="C43" s="29" t="inlineStr">
        <is>
          <t>Interest hubs</t>
        </is>
      </c>
      <c r="D43" s="29" t="n">
        <v>3</v>
      </c>
      <c r="E43" s="29" t="n">
        <v>1</v>
      </c>
      <c r="F43" s="29" t="inlineStr">
        <is>
          <t>Feature</t>
        </is>
      </c>
      <c r="G43" s="29" t="inlineStr">
        <is>
          <t>Broad Interest catalogue</t>
        </is>
      </c>
      <c r="H43" s="29" t="inlineStr">
        <is>
          <t>Broad Interest catalogue</t>
        </is>
      </c>
      <c r="I43" s="29" t="inlineStr">
        <is>
          <t>/home/ubuntu/blyp_product_requirements.md :: Section 3 — Interest hubs</t>
        </is>
      </c>
      <c r="J43" s="29" t="inlineStr">
        <is>
          <t>/home/ubuntu/BLYP_COMPLETE_FEATURE_LIST.md:67</t>
        </is>
      </c>
      <c r="K43" s="29" t="inlineStr">
        <is>
          <t>Required</t>
        </is>
      </c>
      <c r="L43" s="29" t="inlineStr">
        <is>
          <t>Applicable BLYP member</t>
        </is>
      </c>
      <c r="M43" s="29" t="inlineStr">
        <is>
          <t>BLYP mobile application and supporting production services</t>
        </is>
      </c>
      <c r="N43" s="29" t="inlineStr">
        <is>
          <t>Broad Interest catalogue</t>
        </is>
      </c>
      <c r="O43" s="29" t="inlineStr">
        <is>
          <t>Not explicitly defined in the product source; requires accountable product approval before production sign-off.</t>
        </is>
      </c>
      <c r="P43" s="29" t="inlineStr"/>
      <c r="Q43" s="29" t="inlineStr">
        <is>
          <t>Partial</t>
        </is>
      </c>
      <c r="R43" s="29" t="inlineStr"/>
      <c r="S43" s="29" t="inlineStr">
        <is>
          <t>Not found</t>
        </is>
      </c>
      <c r="T43" s="29" t="inlineStr"/>
      <c r="U43" s="29" t="inlineStr"/>
      <c r="V43" s="29" t="inlineStr"/>
      <c r="W43" s="29" t="inlineStr"/>
      <c r="X43" s="29" t="inlineStr"/>
      <c r="Y43" s="29" t="inlineStr"/>
      <c r="Z43" s="29" t="inlineStr"/>
      <c r="AA43" s="29" t="inlineStr"/>
      <c r="AB43" s="29" t="inlineStr"/>
      <c r="AC43" s="29" t="inlineStr"/>
      <c r="AD43" s="29" t="inlineStr"/>
      <c r="AE43" s="29" t="inlineStr">
        <is>
          <t>Unknown</t>
        </is>
      </c>
      <c r="AF43" s="29" t="inlineStr"/>
      <c r="AG43" s="29" t="inlineStr">
        <is>
          <t>Unknown</t>
        </is>
      </c>
      <c r="AH43" s="29" t="inlineStr">
        <is>
          <t>Unknown</t>
        </is>
      </c>
      <c r="AI43" s="29" t="inlineStr">
        <is>
          <t>Searched for hub, interest, category, hashtag, football, formula 1, fixtures, empty state, invite, bot, fake. No concrete implementation found.</t>
        </is>
      </c>
      <c r="AJ43" s="29" t="inlineStr">
        <is>
          <t>Not verified</t>
        </is>
      </c>
      <c r="AK43" s="29" t="inlineStr"/>
      <c r="AL43" s="29" t="inlineStr"/>
      <c r="AM43" s="29" t="inlineStr"/>
      <c r="AN43" s="29" t="inlineStr"/>
      <c r="AO43" s="29" t="inlineStr">
        <is>
          <t>8bc0dcb2a1da1b21368c5536aaeef829d587f316</t>
        </is>
      </c>
      <c r="AP43" s="29" t="inlineStr">
        <is>
          <t>Low</t>
        </is>
      </c>
      <c r="AQ43" s="29" t="inlineStr">
        <is>
          <t>Not assessed</t>
        </is>
      </c>
      <c r="AR43" s="29" t="inlineStr">
        <is>
          <t>Not assessed</t>
        </is>
      </c>
      <c r="AS43" s="29" t="inlineStr">
        <is>
          <t>Not assessed</t>
        </is>
      </c>
      <c r="AT43" s="29" t="inlineStr">
        <is>
          <t>Not assessed</t>
        </is>
      </c>
      <c r="AU43" s="29" t="inlineStr">
        <is>
          <t>Not assessed</t>
        </is>
      </c>
      <c r="AV43" s="29" t="inlineStr">
        <is>
          <t>Not assessed</t>
        </is>
      </c>
      <c r="AW43" s="29" t="inlineStr">
        <is>
          <t>Not assessed</t>
        </is>
      </c>
      <c r="AX43" s="29" t="inlineStr">
        <is>
          <t>Not assessed</t>
        </is>
      </c>
      <c r="AY43" s="29" t="inlineStr">
        <is>
          <t>Not assessed</t>
        </is>
      </c>
      <c r="AZ43" s="29" t="inlineStr">
        <is>
          <t>Not assessed</t>
        </is>
      </c>
      <c r="BA43" s="29" t="inlineStr">
        <is>
          <t>Not assessed</t>
        </is>
      </c>
      <c r="BB43" s="29" t="inlineStr">
        <is>
          <t>Not assessed</t>
        </is>
      </c>
      <c r="BC43" s="29" t="inlineStr">
        <is>
          <t>Not assessed</t>
        </is>
      </c>
      <c r="BD43" s="29" t="inlineStr">
        <is>
          <t>Not assessed</t>
        </is>
      </c>
      <c r="BE43" s="29" t="inlineStr">
        <is>
          <t>Development required</t>
        </is>
      </c>
      <c r="BF43" s="29" t="inlineStr">
        <is>
          <t>Physical implementation is not complete against the stated requirement.; Searched for hub, interest, category, hashtag, football, formula 1, fixtures, empty state, invite, bot, fake. No concrete implementation found.</t>
        </is>
      </c>
      <c r="BG43" s="29" t="inlineStr"/>
      <c r="BH43" s="29" t="inlineStr"/>
      <c r="BI43" s="29" t="inlineStr"/>
      <c r="BJ43" s="29" t="inlineStr"/>
      <c r="BK43" s="29" t="inlineStr">
        <is>
          <t>Evidence reconciled against the reviewed source revision. No production approval is inferred from implementation or file presence.</t>
        </is>
      </c>
      <c r="BL43" s="29" t="inlineStr">
        <is>
          <t>2026-08-02</t>
        </is>
      </c>
    </row>
    <row r="44" ht="42" customHeight="1">
      <c r="A44" s="29" t="inlineStr">
        <is>
          <t>BLYP-03-002</t>
        </is>
      </c>
      <c r="B44" s="29" t="inlineStr"/>
      <c r="C44" s="29" t="inlineStr">
        <is>
          <t>Interest hubs</t>
        </is>
      </c>
      <c r="D44" s="29" t="n">
        <v>3</v>
      </c>
      <c r="E44" s="29" t="n">
        <v>2</v>
      </c>
      <c r="F44" s="29" t="inlineStr">
        <is>
          <t>Feature</t>
        </is>
      </c>
      <c r="G44" s="29" t="inlineStr">
        <is>
          <t>Categories/Interest browsing surface</t>
        </is>
      </c>
      <c r="H44" s="29" t="inlineStr">
        <is>
          <t>Categories/Interest browsing surface</t>
        </is>
      </c>
      <c r="I44" s="29" t="inlineStr">
        <is>
          <t>/home/ubuntu/blyp_product_requirements.md :: Section 3 — Interest hubs</t>
        </is>
      </c>
      <c r="J44" s="29" t="inlineStr">
        <is>
          <t>/home/ubuntu/BLYP_COMPLETE_FEATURE_LIST.md:68</t>
        </is>
      </c>
      <c r="K44" s="29" t="inlineStr">
        <is>
          <t>Required</t>
        </is>
      </c>
      <c r="L44" s="29" t="inlineStr">
        <is>
          <t>Applicable BLYP member</t>
        </is>
      </c>
      <c r="M44" s="29" t="inlineStr">
        <is>
          <t>BLYP mobile application and supporting production services</t>
        </is>
      </c>
      <c r="N44" s="29" t="inlineStr">
        <is>
          <t>Categories/Interest browsing surface</t>
        </is>
      </c>
      <c r="O44" s="29" t="inlineStr">
        <is>
          <t>Not explicitly defined in the product source; requires accountable product approval before production sign-off.</t>
        </is>
      </c>
      <c r="P44" s="29" t="inlineStr"/>
      <c r="Q44" s="29" t="inlineStr">
        <is>
          <t>Yes</t>
        </is>
      </c>
      <c r="R44" s="29" t="inlineStr"/>
      <c r="S44" s="29" t="inlineStr">
        <is>
          <t>Not found</t>
        </is>
      </c>
      <c r="T44" s="29" t="inlineStr"/>
      <c r="U44" s="29" t="inlineStr"/>
      <c r="V44" s="29" t="inlineStr"/>
      <c r="W44" s="29" t="inlineStr"/>
      <c r="X44" s="29" t="inlineStr"/>
      <c r="Y44" s="29" t="inlineStr"/>
      <c r="Z44" s="29" t="inlineStr"/>
      <c r="AA44" s="29" t="inlineStr"/>
      <c r="AB44" s="29" t="inlineStr"/>
      <c r="AC44" s="29" t="inlineStr"/>
      <c r="AD44" s="29" t="inlineStr"/>
      <c r="AE44" s="29" t="inlineStr">
        <is>
          <t>Unknown</t>
        </is>
      </c>
      <c r="AF44" s="29" t="inlineStr"/>
      <c r="AG44" s="29" t="inlineStr">
        <is>
          <t>Unknown</t>
        </is>
      </c>
      <c r="AH44" s="29" t="inlineStr">
        <is>
          <t>Unknown</t>
        </is>
      </c>
      <c r="AI44" s="29" t="inlineStr">
        <is>
          <t>Searched for hub, interest, category, hashtag, football, formula 1, fixtures, empty state, invite, bot, fake. No concrete implementation found.</t>
        </is>
      </c>
      <c r="AJ44" s="29" t="inlineStr">
        <is>
          <t>Not verified</t>
        </is>
      </c>
      <c r="AK44" s="29" t="inlineStr"/>
      <c r="AL44" s="29" t="inlineStr"/>
      <c r="AM44" s="29" t="inlineStr"/>
      <c r="AN44" s="29" t="inlineStr"/>
      <c r="AO44" s="29" t="inlineStr">
        <is>
          <t>8bc0dcb2a1da1b21368c5536aaeef829d587f316</t>
        </is>
      </c>
      <c r="AP44" s="29" t="inlineStr">
        <is>
          <t>Low</t>
        </is>
      </c>
      <c r="AQ44" s="29" t="inlineStr">
        <is>
          <t>Not assessed</t>
        </is>
      </c>
      <c r="AR44" s="29" t="inlineStr">
        <is>
          <t>Not assessed</t>
        </is>
      </c>
      <c r="AS44" s="29" t="inlineStr">
        <is>
          <t>Not assessed</t>
        </is>
      </c>
      <c r="AT44" s="29" t="inlineStr">
        <is>
          <t>Not assessed</t>
        </is>
      </c>
      <c r="AU44" s="29" t="inlineStr">
        <is>
          <t>Not assessed</t>
        </is>
      </c>
      <c r="AV44" s="29" t="inlineStr">
        <is>
          <t>Not assessed</t>
        </is>
      </c>
      <c r="AW44" s="29" t="inlineStr">
        <is>
          <t>Not assessed</t>
        </is>
      </c>
      <c r="AX44" s="29" t="inlineStr">
        <is>
          <t>Not assessed</t>
        </is>
      </c>
      <c r="AY44" s="29" t="inlineStr">
        <is>
          <t>Not assessed</t>
        </is>
      </c>
      <c r="AZ44" s="29" t="inlineStr">
        <is>
          <t>Not assessed</t>
        </is>
      </c>
      <c r="BA44" s="29" t="inlineStr">
        <is>
          <t>Not assessed</t>
        </is>
      </c>
      <c r="BB44" s="29" t="inlineStr">
        <is>
          <t>Not assessed</t>
        </is>
      </c>
      <c r="BC44" s="29" t="inlineStr">
        <is>
          <t>Not assessed</t>
        </is>
      </c>
      <c r="BD44" s="29" t="inlineStr">
        <is>
          <t>Not assessed</t>
        </is>
      </c>
      <c r="BE44" s="29" t="inlineStr">
        <is>
          <t>Development required</t>
        </is>
      </c>
      <c r="BF44" s="29" t="inlineStr">
        <is>
          <t>Physical implementation is not complete against the stated requirement.; Searched for hub, interest, category, hashtag, football, formula 1, fixtures, empty state, invite, bot, fake. No concrete implementation found.</t>
        </is>
      </c>
      <c r="BG44" s="29" t="inlineStr"/>
      <c r="BH44" s="29" t="inlineStr"/>
      <c r="BI44" s="29" t="inlineStr"/>
      <c r="BJ44" s="29" t="inlineStr"/>
      <c r="BK44" s="29" t="inlineStr">
        <is>
          <t>Evidence reconciled against the reviewed source revision. No production approval is inferred from implementation or file presence.</t>
        </is>
      </c>
      <c r="BL44" s="29" t="inlineStr">
        <is>
          <t>2026-08-02</t>
        </is>
      </c>
    </row>
    <row r="45" ht="42" customHeight="1">
      <c r="A45" s="29" t="inlineStr">
        <is>
          <t>BLYP-03-003</t>
        </is>
      </c>
      <c r="B45" s="29" t="inlineStr"/>
      <c r="C45" s="29" t="inlineStr">
        <is>
          <t>Interest hubs</t>
        </is>
      </c>
      <c r="D45" s="29" t="n">
        <v>3</v>
      </c>
      <c r="E45" s="29" t="n">
        <v>3</v>
      </c>
      <c r="F45" s="29" t="inlineStr">
        <is>
          <t>Feature</t>
        </is>
      </c>
      <c r="G45" s="29" t="inlineStr">
        <is>
          <t>Hashtag/topic browsing</t>
        </is>
      </c>
      <c r="H45" s="29" t="inlineStr">
        <is>
          <t>Hashtag/topic browsing</t>
        </is>
      </c>
      <c r="I45" s="29" t="inlineStr">
        <is>
          <t>/home/ubuntu/blyp_product_requirements.md :: Section 3 — Interest hubs</t>
        </is>
      </c>
      <c r="J45" s="29" t="inlineStr">
        <is>
          <t>/home/ubuntu/BLYP_COMPLETE_FEATURE_LIST.md:69</t>
        </is>
      </c>
      <c r="K45" s="29" t="inlineStr">
        <is>
          <t>Required</t>
        </is>
      </c>
      <c r="L45" s="29" t="inlineStr">
        <is>
          <t>Applicable BLYP member</t>
        </is>
      </c>
      <c r="M45" s="29" t="inlineStr">
        <is>
          <t>BLYP mobile application and supporting production services</t>
        </is>
      </c>
      <c r="N45" s="29" t="inlineStr">
        <is>
          <t>Hashtag/topic browsing</t>
        </is>
      </c>
      <c r="O45" s="29" t="inlineStr">
        <is>
          <t>Not explicitly defined in the product source; requires accountable product approval before production sign-off.</t>
        </is>
      </c>
      <c r="P45" s="29" t="inlineStr"/>
      <c r="Q45" s="29" t="inlineStr">
        <is>
          <t>Yes</t>
        </is>
      </c>
      <c r="R45" s="29" t="inlineStr"/>
      <c r="S45" s="29" t="inlineStr">
        <is>
          <t>Unknown</t>
        </is>
      </c>
      <c r="T45" s="29" t="inlineStr"/>
      <c r="U45" s="29" t="inlineStr"/>
      <c r="V45" s="29" t="inlineStr"/>
      <c r="W45" s="29" t="inlineStr"/>
      <c r="X45" s="29" t="inlineStr"/>
      <c r="Y45" s="29" t="inlineStr"/>
      <c r="Z45" s="29" t="inlineStr"/>
      <c r="AA45" s="29" t="inlineStr"/>
      <c r="AB45" s="29" t="inlineStr"/>
      <c r="AC45" s="29" t="inlineStr"/>
      <c r="AD45" s="29" t="inlineStr"/>
      <c r="AE45" s="29" t="inlineStr">
        <is>
          <t>Unknown</t>
        </is>
      </c>
      <c r="AF45" s="29" t="inlineStr">
        <is>
          <t>No exact feature-level physical path was resolved from the reviewed evidence.</t>
        </is>
      </c>
      <c r="AG45" s="29" t="inlineStr">
        <is>
          <t>Unknown</t>
        </is>
      </c>
      <c r="AH45" s="29" t="inlineStr">
        <is>
          <t>Unknown</t>
        </is>
      </c>
      <c r="AI45" s="29" t="inlineStr">
        <is>
          <t>Found smartListGenerator.js and searchService.js but no dedicated UI components for browsing.; A prior area review labelled this 'Partial', but did not supply a feature-level physical mapping; the authoritative state is therefore Unknown.</t>
        </is>
      </c>
      <c r="AJ45" s="29" t="inlineStr">
        <is>
          <t>Unknown</t>
        </is>
      </c>
      <c r="AK45" s="29" t="inlineStr">
        <is>
          <t>EV-03-0001</t>
        </is>
      </c>
      <c r="AL45" s="29" t="inlineStr"/>
      <c r="AM45" s="29" t="inlineStr"/>
      <c r="AN45" s="29" t="inlineStr"/>
      <c r="AO45" s="29" t="inlineStr">
        <is>
          <t>8bc0dcb2a1da1b21368c5536aaeef829d587f316</t>
        </is>
      </c>
      <c r="AP45" s="29" t="inlineStr">
        <is>
          <t>Low</t>
        </is>
      </c>
      <c r="AQ45" s="29" t="inlineStr">
        <is>
          <t>Not assessed</t>
        </is>
      </c>
      <c r="AR45" s="29" t="inlineStr">
        <is>
          <t>Not assessed</t>
        </is>
      </c>
      <c r="AS45" s="29" t="inlineStr">
        <is>
          <t>Not assessed</t>
        </is>
      </c>
      <c r="AT45" s="29" t="inlineStr">
        <is>
          <t>Not assessed</t>
        </is>
      </c>
      <c r="AU45" s="29" t="inlineStr">
        <is>
          <t>Not assessed</t>
        </is>
      </c>
      <c r="AV45" s="29" t="inlineStr">
        <is>
          <t>Not assessed</t>
        </is>
      </c>
      <c r="AW45" s="29" t="inlineStr">
        <is>
          <t>Not assessed</t>
        </is>
      </c>
      <c r="AX45" s="29" t="inlineStr">
        <is>
          <t>Not assessed</t>
        </is>
      </c>
      <c r="AY45" s="29" t="inlineStr">
        <is>
          <t>Not assessed</t>
        </is>
      </c>
      <c r="AZ45" s="29" t="inlineStr">
        <is>
          <t>Not assessed</t>
        </is>
      </c>
      <c r="BA45" s="29" t="inlineStr">
        <is>
          <t>Not assessed</t>
        </is>
      </c>
      <c r="BB45" s="29" t="inlineStr">
        <is>
          <t>Not assessed</t>
        </is>
      </c>
      <c r="BC45" s="29" t="inlineStr">
        <is>
          <t>Not assessed</t>
        </is>
      </c>
      <c r="BD45" s="29" t="inlineStr">
        <is>
          <t>Not assessed</t>
        </is>
      </c>
      <c r="BE45" s="29" t="inlineStr">
        <is>
          <t>Not assessed</t>
        </is>
      </c>
      <c r="BF45" s="29" t="inlineStr">
        <is>
          <t>Production readiness cannot be assessed until the exact physical implementation and runtime path are traced.</t>
        </is>
      </c>
      <c r="BG45" s="29" t="inlineStr">
        <is>
          <t>Map the feature to exact client, server, data, worker and configuration locations, then verify its runtime path.</t>
        </is>
      </c>
      <c r="BH45" s="29" t="inlineStr"/>
      <c r="BI45" s="29" t="inlineStr"/>
      <c r="BJ45" s="29" t="inlineStr"/>
      <c r="BK45" s="29" t="inlineStr">
        <is>
          <t>Evidence reconciled against the reviewed source revision. No production approval is inferred from implementation or file presence.</t>
        </is>
      </c>
      <c r="BL45" s="29" t="inlineStr">
        <is>
          <t>2026-08-02</t>
        </is>
      </c>
    </row>
    <row r="46" ht="42" customHeight="1">
      <c r="A46" s="29" t="inlineStr">
        <is>
          <t>BLYP-03-004</t>
        </is>
      </c>
      <c r="B46" s="29" t="inlineStr"/>
      <c r="C46" s="29" t="inlineStr">
        <is>
          <t>Interest hubs</t>
        </is>
      </c>
      <c r="D46" s="29" t="n">
        <v>3</v>
      </c>
      <c r="E46" s="29" t="n">
        <v>4</v>
      </c>
      <c r="F46" s="29" t="inlineStr">
        <is>
          <t>Feature</t>
        </is>
      </c>
      <c r="G46" s="29" t="inlineStr">
        <is>
          <t>Dedicated Interest hub pages</t>
        </is>
      </c>
      <c r="H46" s="29" t="inlineStr">
        <is>
          <t>Dedicated Interest hub pages</t>
        </is>
      </c>
      <c r="I46" s="29" t="inlineStr">
        <is>
          <t>/home/ubuntu/blyp_product_requirements.md :: Section 3 — Interest hubs</t>
        </is>
      </c>
      <c r="J46" s="29" t="inlineStr">
        <is>
          <t>/home/ubuntu/BLYP_COMPLETE_FEATURE_LIST.md:70</t>
        </is>
      </c>
      <c r="K46" s="29" t="inlineStr">
        <is>
          <t>Required</t>
        </is>
      </c>
      <c r="L46" s="29" t="inlineStr">
        <is>
          <t>Applicable BLYP member</t>
        </is>
      </c>
      <c r="M46" s="29" t="inlineStr">
        <is>
          <t>BLYP mobile application and supporting production services</t>
        </is>
      </c>
      <c r="N46" s="29" t="inlineStr">
        <is>
          <t>Dedicated Interest hub pages</t>
        </is>
      </c>
      <c r="O46" s="29" t="inlineStr">
        <is>
          <t>Not explicitly defined in the product source; requires accountable product approval before production sign-off.</t>
        </is>
      </c>
      <c r="P46" s="29" t="inlineStr"/>
      <c r="Q46" s="29" t="inlineStr">
        <is>
          <t>Partial</t>
        </is>
      </c>
      <c r="R46" s="29" t="inlineStr"/>
      <c r="S46" s="29" t="inlineStr">
        <is>
          <t>Not found</t>
        </is>
      </c>
      <c r="T46" s="29" t="inlineStr"/>
      <c r="U46" s="29" t="inlineStr"/>
      <c r="V46" s="29" t="inlineStr"/>
      <c r="W46" s="29" t="inlineStr"/>
      <c r="X46" s="29" t="inlineStr"/>
      <c r="Y46" s="29" t="inlineStr"/>
      <c r="Z46" s="29" t="inlineStr"/>
      <c r="AA46" s="29" t="inlineStr"/>
      <c r="AB46" s="29" t="inlineStr"/>
      <c r="AC46" s="29" t="inlineStr"/>
      <c r="AD46" s="29" t="inlineStr"/>
      <c r="AE46" s="29" t="inlineStr">
        <is>
          <t>Unknown</t>
        </is>
      </c>
      <c r="AF46" s="29" t="inlineStr"/>
      <c r="AG46" s="29" t="inlineStr">
        <is>
          <t>Unknown</t>
        </is>
      </c>
      <c r="AH46" s="29" t="inlineStr">
        <is>
          <t>Unknown</t>
        </is>
      </c>
      <c r="AI46" s="29" t="inlineStr">
        <is>
          <t>Searched for hub, interest, category, hashtag, football, formula 1, fixtures, empty state, invite, bot, fake. No concrete implementation found.</t>
        </is>
      </c>
      <c r="AJ46" s="29" t="inlineStr">
        <is>
          <t>Not verified</t>
        </is>
      </c>
      <c r="AK46" s="29" t="inlineStr"/>
      <c r="AL46" s="29" t="inlineStr"/>
      <c r="AM46" s="29" t="inlineStr"/>
      <c r="AN46" s="29" t="inlineStr"/>
      <c r="AO46" s="29" t="inlineStr">
        <is>
          <t>8bc0dcb2a1da1b21368c5536aaeef829d587f316</t>
        </is>
      </c>
      <c r="AP46" s="29" t="inlineStr">
        <is>
          <t>Low</t>
        </is>
      </c>
      <c r="AQ46" s="29" t="inlineStr">
        <is>
          <t>Not assessed</t>
        </is>
      </c>
      <c r="AR46" s="29" t="inlineStr">
        <is>
          <t>Not assessed</t>
        </is>
      </c>
      <c r="AS46" s="29" t="inlineStr">
        <is>
          <t>Not assessed</t>
        </is>
      </c>
      <c r="AT46" s="29" t="inlineStr">
        <is>
          <t>Not assessed</t>
        </is>
      </c>
      <c r="AU46" s="29" t="inlineStr">
        <is>
          <t>Not assessed</t>
        </is>
      </c>
      <c r="AV46" s="29" t="inlineStr">
        <is>
          <t>Not assessed</t>
        </is>
      </c>
      <c r="AW46" s="29" t="inlineStr">
        <is>
          <t>Not assessed</t>
        </is>
      </c>
      <c r="AX46" s="29" t="inlineStr">
        <is>
          <t>Not assessed</t>
        </is>
      </c>
      <c r="AY46" s="29" t="inlineStr">
        <is>
          <t>Not assessed</t>
        </is>
      </c>
      <c r="AZ46" s="29" t="inlineStr">
        <is>
          <t>Not assessed</t>
        </is>
      </c>
      <c r="BA46" s="29" t="inlineStr">
        <is>
          <t>Not assessed</t>
        </is>
      </c>
      <c r="BB46" s="29" t="inlineStr">
        <is>
          <t>Not assessed</t>
        </is>
      </c>
      <c r="BC46" s="29" t="inlineStr">
        <is>
          <t>Not assessed</t>
        </is>
      </c>
      <c r="BD46" s="29" t="inlineStr">
        <is>
          <t>Not assessed</t>
        </is>
      </c>
      <c r="BE46" s="29" t="inlineStr">
        <is>
          <t>Development required</t>
        </is>
      </c>
      <c r="BF46" s="29" t="inlineStr">
        <is>
          <t>Physical implementation is not complete against the stated requirement.; Searched for hub, interest, category, hashtag, football, formula 1, fixtures, empty state, invite, bot, fake. No concrete implementation found.</t>
        </is>
      </c>
      <c r="BG46" s="29" t="inlineStr"/>
      <c r="BH46" s="29" t="inlineStr"/>
      <c r="BI46" s="29" t="inlineStr"/>
      <c r="BJ46" s="29" t="inlineStr"/>
      <c r="BK46" s="29" t="inlineStr">
        <is>
          <t>Evidence reconciled against the reviewed source revision. No production approval is inferred from implementation or file presence.</t>
        </is>
      </c>
      <c r="BL46" s="29" t="inlineStr">
        <is>
          <t>2026-08-02</t>
        </is>
      </c>
    </row>
    <row r="47" ht="42" customHeight="1">
      <c r="A47" s="29" t="inlineStr">
        <is>
          <t>BLYP-03-005</t>
        </is>
      </c>
      <c r="B47" s="29" t="inlineStr"/>
      <c r="C47" s="29" t="inlineStr">
        <is>
          <t>Interest hubs</t>
        </is>
      </c>
      <c r="D47" s="29" t="n">
        <v>3</v>
      </c>
      <c r="E47" s="29" t="n">
        <v>5</v>
      </c>
      <c r="F47" s="29" t="inlineStr">
        <is>
          <t>Feature</t>
        </is>
      </c>
      <c r="G47" s="29" t="inlineStr">
        <is>
          <t>Football hub</t>
        </is>
      </c>
      <c r="H47" s="29" t="inlineStr">
        <is>
          <t>Football hub</t>
        </is>
      </c>
      <c r="I47" s="29" t="inlineStr">
        <is>
          <t>/home/ubuntu/blyp_product_requirements.md :: Section 3 — Interest hubs</t>
        </is>
      </c>
      <c r="J47" s="29" t="inlineStr">
        <is>
          <t>/home/ubuntu/BLYP_COMPLETE_FEATURE_LIST.md:71</t>
        </is>
      </c>
      <c r="K47" s="29" t="inlineStr">
        <is>
          <t>Required</t>
        </is>
      </c>
      <c r="L47" s="29" t="inlineStr">
        <is>
          <t>Applicable BLYP member</t>
        </is>
      </c>
      <c r="M47" s="29" t="inlineStr">
        <is>
          <t>BLYP mobile application and supporting production services</t>
        </is>
      </c>
      <c r="N47" s="29" t="inlineStr">
        <is>
          <t>Football hub</t>
        </is>
      </c>
      <c r="O47" s="29" t="inlineStr">
        <is>
          <t>Not explicitly defined in the product source; requires accountable product approval before production sign-off.</t>
        </is>
      </c>
      <c r="P47" s="29" t="inlineStr"/>
      <c r="Q47" s="29" t="inlineStr">
        <is>
          <t>Needs verification</t>
        </is>
      </c>
      <c r="R47" s="29" t="inlineStr"/>
      <c r="S47" s="29" t="inlineStr">
        <is>
          <t>Not found</t>
        </is>
      </c>
      <c r="T47" s="29" t="inlineStr"/>
      <c r="U47" s="29" t="inlineStr"/>
      <c r="V47" s="29" t="inlineStr"/>
      <c r="W47" s="29" t="inlineStr"/>
      <c r="X47" s="29" t="inlineStr"/>
      <c r="Y47" s="29" t="inlineStr"/>
      <c r="Z47" s="29" t="inlineStr"/>
      <c r="AA47" s="29" t="inlineStr"/>
      <c r="AB47" s="29" t="inlineStr"/>
      <c r="AC47" s="29" t="inlineStr"/>
      <c r="AD47" s="29" t="inlineStr"/>
      <c r="AE47" s="29" t="inlineStr">
        <is>
          <t>Unknown</t>
        </is>
      </c>
      <c r="AF47" s="29" t="inlineStr"/>
      <c r="AG47" s="29" t="inlineStr">
        <is>
          <t>Unknown</t>
        </is>
      </c>
      <c r="AH47" s="29" t="inlineStr">
        <is>
          <t>Unknown</t>
        </is>
      </c>
      <c r="AI47" s="29" t="inlineStr">
        <is>
          <t>Searched for hub, interest, category, hashtag, football, formula 1, fixtures, empty state, invite, bot, fake. No concrete implementation found.</t>
        </is>
      </c>
      <c r="AJ47" s="29" t="inlineStr">
        <is>
          <t>Not verified</t>
        </is>
      </c>
      <c r="AK47" s="29" t="inlineStr"/>
      <c r="AL47" s="29" t="inlineStr"/>
      <c r="AM47" s="29" t="inlineStr"/>
      <c r="AN47" s="29" t="inlineStr"/>
      <c r="AO47" s="29" t="inlineStr">
        <is>
          <t>8bc0dcb2a1da1b21368c5536aaeef829d587f316</t>
        </is>
      </c>
      <c r="AP47" s="29" t="inlineStr">
        <is>
          <t>Low</t>
        </is>
      </c>
      <c r="AQ47" s="29" t="inlineStr">
        <is>
          <t>Not assessed</t>
        </is>
      </c>
      <c r="AR47" s="29" t="inlineStr">
        <is>
          <t>Not assessed</t>
        </is>
      </c>
      <c r="AS47" s="29" t="inlineStr">
        <is>
          <t>Not assessed</t>
        </is>
      </c>
      <c r="AT47" s="29" t="inlineStr">
        <is>
          <t>Not assessed</t>
        </is>
      </c>
      <c r="AU47" s="29" t="inlineStr">
        <is>
          <t>Not assessed</t>
        </is>
      </c>
      <c r="AV47" s="29" t="inlineStr">
        <is>
          <t>Not assessed</t>
        </is>
      </c>
      <c r="AW47" s="29" t="inlineStr">
        <is>
          <t>Not assessed</t>
        </is>
      </c>
      <c r="AX47" s="29" t="inlineStr">
        <is>
          <t>Not assessed</t>
        </is>
      </c>
      <c r="AY47" s="29" t="inlineStr">
        <is>
          <t>Not assessed</t>
        </is>
      </c>
      <c r="AZ47" s="29" t="inlineStr">
        <is>
          <t>Not assessed</t>
        </is>
      </c>
      <c r="BA47" s="29" t="inlineStr">
        <is>
          <t>Not assessed</t>
        </is>
      </c>
      <c r="BB47" s="29" t="inlineStr">
        <is>
          <t>Not assessed</t>
        </is>
      </c>
      <c r="BC47" s="29" t="inlineStr">
        <is>
          <t>Not assessed</t>
        </is>
      </c>
      <c r="BD47" s="29" t="inlineStr">
        <is>
          <t>Not assessed</t>
        </is>
      </c>
      <c r="BE47" s="29" t="inlineStr">
        <is>
          <t>Development required</t>
        </is>
      </c>
      <c r="BF47" s="29" t="inlineStr">
        <is>
          <t>Physical implementation is not complete against the stated requirement.; Searched for hub, interest, category, hashtag, football, formula 1, fixtures, empty state, invite, bot, fake. No concrete implementation found.</t>
        </is>
      </c>
      <c r="BG47" s="29" t="inlineStr"/>
      <c r="BH47" s="29" t="inlineStr"/>
      <c r="BI47" s="29" t="inlineStr"/>
      <c r="BJ47" s="29" t="inlineStr"/>
      <c r="BK47" s="29" t="inlineStr">
        <is>
          <t>Evidence reconciled against the reviewed source revision. No production approval is inferred from implementation or file presence.</t>
        </is>
      </c>
      <c r="BL47" s="29" t="inlineStr">
        <is>
          <t>2026-08-02</t>
        </is>
      </c>
    </row>
    <row r="48" ht="42" customHeight="1">
      <c r="A48" s="29" t="inlineStr">
        <is>
          <t>BLYP-03-006</t>
        </is>
      </c>
      <c r="B48" s="29" t="inlineStr"/>
      <c r="C48" s="29" t="inlineStr">
        <is>
          <t>Interest hubs</t>
        </is>
      </c>
      <c r="D48" s="29" t="n">
        <v>3</v>
      </c>
      <c r="E48" s="29" t="n">
        <v>6</v>
      </c>
      <c r="F48" s="29" t="inlineStr">
        <is>
          <t>Feature</t>
        </is>
      </c>
      <c r="G48" s="29" t="inlineStr">
        <is>
          <t>Formula 1 hub</t>
        </is>
      </c>
      <c r="H48" s="29" t="inlineStr">
        <is>
          <t>Formula 1 hub</t>
        </is>
      </c>
      <c r="I48" s="29" t="inlineStr">
        <is>
          <t>/home/ubuntu/blyp_product_requirements.md :: Section 3 — Interest hubs</t>
        </is>
      </c>
      <c r="J48" s="29" t="inlineStr">
        <is>
          <t>/home/ubuntu/BLYP_COMPLETE_FEATURE_LIST.md:72</t>
        </is>
      </c>
      <c r="K48" s="29" t="inlineStr">
        <is>
          <t>Required</t>
        </is>
      </c>
      <c r="L48" s="29" t="inlineStr">
        <is>
          <t>Applicable BLYP member</t>
        </is>
      </c>
      <c r="M48" s="29" t="inlineStr">
        <is>
          <t>BLYP mobile application and supporting production services</t>
        </is>
      </c>
      <c r="N48" s="29" t="inlineStr">
        <is>
          <t>Formula 1 hub</t>
        </is>
      </c>
      <c r="O48" s="29" t="inlineStr">
        <is>
          <t>Not explicitly defined in the product source; requires accountable product approval before production sign-off.</t>
        </is>
      </c>
      <c r="P48" s="29" t="inlineStr"/>
      <c r="Q48" s="29" t="inlineStr">
        <is>
          <t>Needs verification</t>
        </is>
      </c>
      <c r="R48" s="29" t="inlineStr"/>
      <c r="S48" s="29" t="inlineStr">
        <is>
          <t>Not found</t>
        </is>
      </c>
      <c r="T48" s="29" t="inlineStr"/>
      <c r="U48" s="29" t="inlineStr"/>
      <c r="V48" s="29" t="inlineStr"/>
      <c r="W48" s="29" t="inlineStr"/>
      <c r="X48" s="29" t="inlineStr"/>
      <c r="Y48" s="29" t="inlineStr"/>
      <c r="Z48" s="29" t="inlineStr"/>
      <c r="AA48" s="29" t="inlineStr"/>
      <c r="AB48" s="29" t="inlineStr"/>
      <c r="AC48" s="29" t="inlineStr"/>
      <c r="AD48" s="29" t="inlineStr"/>
      <c r="AE48" s="29" t="inlineStr">
        <is>
          <t>Unknown</t>
        </is>
      </c>
      <c r="AF48" s="29" t="inlineStr"/>
      <c r="AG48" s="29" t="inlineStr">
        <is>
          <t>Unknown</t>
        </is>
      </c>
      <c r="AH48" s="29" t="inlineStr">
        <is>
          <t>Unknown</t>
        </is>
      </c>
      <c r="AI48" s="29" t="inlineStr">
        <is>
          <t>Searched for hub, interest, category, hashtag, football, formula 1, fixtures, empty state, invite, bot, fake. No concrete implementation found.</t>
        </is>
      </c>
      <c r="AJ48" s="29" t="inlineStr">
        <is>
          <t>Not verified</t>
        </is>
      </c>
      <c r="AK48" s="29" t="inlineStr"/>
      <c r="AL48" s="29" t="inlineStr"/>
      <c r="AM48" s="29" t="inlineStr"/>
      <c r="AN48" s="29" t="inlineStr"/>
      <c r="AO48" s="29" t="inlineStr">
        <is>
          <t>8bc0dcb2a1da1b21368c5536aaeef829d587f316</t>
        </is>
      </c>
      <c r="AP48" s="29" t="inlineStr">
        <is>
          <t>Low</t>
        </is>
      </c>
      <c r="AQ48" s="29" t="inlineStr">
        <is>
          <t>Not assessed</t>
        </is>
      </c>
      <c r="AR48" s="29" t="inlineStr">
        <is>
          <t>Not assessed</t>
        </is>
      </c>
      <c r="AS48" s="29" t="inlineStr">
        <is>
          <t>Not assessed</t>
        </is>
      </c>
      <c r="AT48" s="29" t="inlineStr">
        <is>
          <t>Not assessed</t>
        </is>
      </c>
      <c r="AU48" s="29" t="inlineStr">
        <is>
          <t>Not assessed</t>
        </is>
      </c>
      <c r="AV48" s="29" t="inlineStr">
        <is>
          <t>Not assessed</t>
        </is>
      </c>
      <c r="AW48" s="29" t="inlineStr">
        <is>
          <t>Not assessed</t>
        </is>
      </c>
      <c r="AX48" s="29" t="inlineStr">
        <is>
          <t>Not assessed</t>
        </is>
      </c>
      <c r="AY48" s="29" t="inlineStr">
        <is>
          <t>Not assessed</t>
        </is>
      </c>
      <c r="AZ48" s="29" t="inlineStr">
        <is>
          <t>Not assessed</t>
        </is>
      </c>
      <c r="BA48" s="29" t="inlineStr">
        <is>
          <t>Not assessed</t>
        </is>
      </c>
      <c r="BB48" s="29" t="inlineStr">
        <is>
          <t>Not assessed</t>
        </is>
      </c>
      <c r="BC48" s="29" t="inlineStr">
        <is>
          <t>Not assessed</t>
        </is>
      </c>
      <c r="BD48" s="29" t="inlineStr">
        <is>
          <t>Not assessed</t>
        </is>
      </c>
      <c r="BE48" s="29" t="inlineStr">
        <is>
          <t>Development required</t>
        </is>
      </c>
      <c r="BF48" s="29" t="inlineStr">
        <is>
          <t>Physical implementation is not complete against the stated requirement.; Searched for hub, interest, category, hashtag, football, formula 1, fixtures, empty state, invite, bot, fake. No concrete implementation found.</t>
        </is>
      </c>
      <c r="BG48" s="29" t="inlineStr"/>
      <c r="BH48" s="29" t="inlineStr"/>
      <c r="BI48" s="29" t="inlineStr"/>
      <c r="BJ48" s="29" t="inlineStr"/>
      <c r="BK48" s="29" t="inlineStr">
        <is>
          <t>Evidence reconciled against the reviewed source revision. No production approval is inferred from implementation or file presence.</t>
        </is>
      </c>
      <c r="BL48" s="29" t="inlineStr">
        <is>
          <t>2026-08-02</t>
        </is>
      </c>
    </row>
    <row r="49" ht="42" customHeight="1">
      <c r="A49" s="29" t="inlineStr">
        <is>
          <t>BLYP-03-007</t>
        </is>
      </c>
      <c r="B49" s="29" t="inlineStr"/>
      <c r="C49" s="29" t="inlineStr">
        <is>
          <t>Interest hubs</t>
        </is>
      </c>
      <c r="D49" s="29" t="n">
        <v>3</v>
      </c>
      <c r="E49" s="29" t="n">
        <v>7</v>
      </c>
      <c r="F49" s="29" t="inlineStr">
        <is>
          <t>Feature</t>
        </is>
      </c>
      <c r="G49" s="29" t="inlineStr">
        <is>
          <t>Relevant posts inside an Interest</t>
        </is>
      </c>
      <c r="H49" s="29" t="inlineStr">
        <is>
          <t>Relevant posts inside an Interest</t>
        </is>
      </c>
      <c r="I49" s="29" t="inlineStr">
        <is>
          <t>/home/ubuntu/blyp_product_requirements.md :: Section 3 — Interest hubs</t>
        </is>
      </c>
      <c r="J49" s="29" t="inlineStr">
        <is>
          <t>/home/ubuntu/BLYP_COMPLETE_FEATURE_LIST.md:73</t>
        </is>
      </c>
      <c r="K49" s="29" t="inlineStr">
        <is>
          <t>Required</t>
        </is>
      </c>
      <c r="L49" s="29" t="inlineStr">
        <is>
          <t>Applicable BLYP member</t>
        </is>
      </c>
      <c r="M49" s="29" t="inlineStr">
        <is>
          <t>BLYP mobile application and supporting production services</t>
        </is>
      </c>
      <c r="N49" s="29" t="inlineStr">
        <is>
          <t>Relevant posts inside an Interest</t>
        </is>
      </c>
      <c r="O49" s="29" t="inlineStr">
        <is>
          <t>Not explicitly defined in the product source; requires accountable product approval before production sign-off.</t>
        </is>
      </c>
      <c r="P49" s="29" t="inlineStr"/>
      <c r="Q49" s="29" t="inlineStr">
        <is>
          <t>Partial</t>
        </is>
      </c>
      <c r="R49" s="29" t="inlineStr"/>
      <c r="S49" s="29" t="inlineStr">
        <is>
          <t>Not found</t>
        </is>
      </c>
      <c r="T49" s="29" t="inlineStr"/>
      <c r="U49" s="29" t="inlineStr"/>
      <c r="V49" s="29" t="inlineStr"/>
      <c r="W49" s="29" t="inlineStr"/>
      <c r="X49" s="29" t="inlineStr"/>
      <c r="Y49" s="29" t="inlineStr"/>
      <c r="Z49" s="29" t="inlineStr"/>
      <c r="AA49" s="29" t="inlineStr"/>
      <c r="AB49" s="29" t="inlineStr"/>
      <c r="AC49" s="29" t="inlineStr"/>
      <c r="AD49" s="29" t="inlineStr"/>
      <c r="AE49" s="29" t="inlineStr">
        <is>
          <t>Unknown</t>
        </is>
      </c>
      <c r="AF49" s="29" t="inlineStr"/>
      <c r="AG49" s="29" t="inlineStr">
        <is>
          <t>Unknown</t>
        </is>
      </c>
      <c r="AH49" s="29" t="inlineStr">
        <is>
          <t>Unknown</t>
        </is>
      </c>
      <c r="AI49" s="29" t="inlineStr">
        <is>
          <t>Searched for hub, interest, category, hashtag, football, formula 1, fixtures, empty state, invite, bot, fake. No concrete implementation found.</t>
        </is>
      </c>
      <c r="AJ49" s="29" t="inlineStr">
        <is>
          <t>Not verified</t>
        </is>
      </c>
      <c r="AK49" s="29" t="inlineStr"/>
      <c r="AL49" s="29" t="inlineStr"/>
      <c r="AM49" s="29" t="inlineStr"/>
      <c r="AN49" s="29" t="inlineStr"/>
      <c r="AO49" s="29" t="inlineStr">
        <is>
          <t>8bc0dcb2a1da1b21368c5536aaeef829d587f316</t>
        </is>
      </c>
      <c r="AP49" s="29" t="inlineStr">
        <is>
          <t>Low</t>
        </is>
      </c>
      <c r="AQ49" s="29" t="inlineStr">
        <is>
          <t>Not assessed</t>
        </is>
      </c>
      <c r="AR49" s="29" t="inlineStr">
        <is>
          <t>Not assessed</t>
        </is>
      </c>
      <c r="AS49" s="29" t="inlineStr">
        <is>
          <t>Not assessed</t>
        </is>
      </c>
      <c r="AT49" s="29" t="inlineStr">
        <is>
          <t>Not assessed</t>
        </is>
      </c>
      <c r="AU49" s="29" t="inlineStr">
        <is>
          <t>Not assessed</t>
        </is>
      </c>
      <c r="AV49" s="29" t="inlineStr">
        <is>
          <t>Not assessed</t>
        </is>
      </c>
      <c r="AW49" s="29" t="inlineStr">
        <is>
          <t>Not assessed</t>
        </is>
      </c>
      <c r="AX49" s="29" t="inlineStr">
        <is>
          <t>Not assessed</t>
        </is>
      </c>
      <c r="AY49" s="29" t="inlineStr">
        <is>
          <t>Not assessed</t>
        </is>
      </c>
      <c r="AZ49" s="29" t="inlineStr">
        <is>
          <t>Not assessed</t>
        </is>
      </c>
      <c r="BA49" s="29" t="inlineStr">
        <is>
          <t>Not assessed</t>
        </is>
      </c>
      <c r="BB49" s="29" t="inlineStr">
        <is>
          <t>Not assessed</t>
        </is>
      </c>
      <c r="BC49" s="29" t="inlineStr">
        <is>
          <t>Not assessed</t>
        </is>
      </c>
      <c r="BD49" s="29" t="inlineStr">
        <is>
          <t>Not assessed</t>
        </is>
      </c>
      <c r="BE49" s="29" t="inlineStr">
        <is>
          <t>Development required</t>
        </is>
      </c>
      <c r="BF49" s="29" t="inlineStr">
        <is>
          <t>Physical implementation is not complete against the stated requirement.; Searched for hub, interest, category, hashtag, football, formula 1, fixtures, empty state, invite, bot, fake. No concrete implementation found.</t>
        </is>
      </c>
      <c r="BG49" s="29" t="inlineStr"/>
      <c r="BH49" s="29" t="inlineStr"/>
      <c r="BI49" s="29" t="inlineStr"/>
      <c r="BJ49" s="29" t="inlineStr"/>
      <c r="BK49" s="29" t="inlineStr">
        <is>
          <t>Evidence reconciled against the reviewed source revision. No production approval is inferred from implementation or file presence.</t>
        </is>
      </c>
      <c r="BL49" s="29" t="inlineStr">
        <is>
          <t>2026-08-02</t>
        </is>
      </c>
    </row>
    <row r="50" ht="42" customHeight="1">
      <c r="A50" s="29" t="inlineStr">
        <is>
          <t>BLYP-03-008</t>
        </is>
      </c>
      <c r="B50" s="29" t="inlineStr"/>
      <c r="C50" s="29" t="inlineStr">
        <is>
          <t>Interest hubs</t>
        </is>
      </c>
      <c r="D50" s="29" t="n">
        <v>3</v>
      </c>
      <c r="E50" s="29" t="n">
        <v>8</v>
      </c>
      <c r="F50" s="29" t="inlineStr">
        <is>
          <t>Feature</t>
        </is>
      </c>
      <c r="G50" s="29" t="inlineStr">
        <is>
          <t>Relevant videos inside an Interest</t>
        </is>
      </c>
      <c r="H50" s="29" t="inlineStr">
        <is>
          <t>Relevant videos inside an Interest</t>
        </is>
      </c>
      <c r="I50" s="29" t="inlineStr">
        <is>
          <t>/home/ubuntu/blyp_product_requirements.md :: Section 3 — Interest hubs</t>
        </is>
      </c>
      <c r="J50" s="29" t="inlineStr">
        <is>
          <t>/home/ubuntu/BLYP_COMPLETE_FEATURE_LIST.md:74</t>
        </is>
      </c>
      <c r="K50" s="29" t="inlineStr">
        <is>
          <t>Required</t>
        </is>
      </c>
      <c r="L50" s="29" t="inlineStr">
        <is>
          <t>Applicable BLYP member</t>
        </is>
      </c>
      <c r="M50" s="29" t="inlineStr">
        <is>
          <t>BLYP mobile application and supporting production services</t>
        </is>
      </c>
      <c r="N50" s="29" t="inlineStr">
        <is>
          <t>Relevant videos inside an Interest</t>
        </is>
      </c>
      <c r="O50" s="29" t="inlineStr">
        <is>
          <t>Not explicitly defined in the product source; requires accountable product approval before production sign-off.</t>
        </is>
      </c>
      <c r="P50" s="29" t="inlineStr"/>
      <c r="Q50" s="29" t="inlineStr">
        <is>
          <t>Partial</t>
        </is>
      </c>
      <c r="R50" s="29" t="inlineStr"/>
      <c r="S50" s="29" t="inlineStr">
        <is>
          <t>Not found</t>
        </is>
      </c>
      <c r="T50" s="29" t="inlineStr"/>
      <c r="U50" s="29" t="inlineStr"/>
      <c r="V50" s="29" t="inlineStr"/>
      <c r="W50" s="29" t="inlineStr"/>
      <c r="X50" s="29" t="inlineStr"/>
      <c r="Y50" s="29" t="inlineStr"/>
      <c r="Z50" s="29" t="inlineStr"/>
      <c r="AA50" s="29" t="inlineStr"/>
      <c r="AB50" s="29" t="inlineStr"/>
      <c r="AC50" s="29" t="inlineStr"/>
      <c r="AD50" s="29" t="inlineStr"/>
      <c r="AE50" s="29" t="inlineStr">
        <is>
          <t>Unknown</t>
        </is>
      </c>
      <c r="AF50" s="29" t="inlineStr"/>
      <c r="AG50" s="29" t="inlineStr">
        <is>
          <t>Unknown</t>
        </is>
      </c>
      <c r="AH50" s="29" t="inlineStr">
        <is>
          <t>Unknown</t>
        </is>
      </c>
      <c r="AI50" s="29" t="inlineStr">
        <is>
          <t>Searched for hub, interest, category, hashtag, football, formula 1, fixtures, empty state, invite, bot, fake. No concrete implementation found.</t>
        </is>
      </c>
      <c r="AJ50" s="29" t="inlineStr">
        <is>
          <t>Not verified</t>
        </is>
      </c>
      <c r="AK50" s="29" t="inlineStr"/>
      <c r="AL50" s="29" t="inlineStr"/>
      <c r="AM50" s="29" t="inlineStr"/>
      <c r="AN50" s="29" t="inlineStr"/>
      <c r="AO50" s="29" t="inlineStr">
        <is>
          <t>8bc0dcb2a1da1b21368c5536aaeef829d587f316</t>
        </is>
      </c>
      <c r="AP50" s="29" t="inlineStr">
        <is>
          <t>Low</t>
        </is>
      </c>
      <c r="AQ50" s="29" t="inlineStr">
        <is>
          <t>Not assessed</t>
        </is>
      </c>
      <c r="AR50" s="29" t="inlineStr">
        <is>
          <t>Not assessed</t>
        </is>
      </c>
      <c r="AS50" s="29" t="inlineStr">
        <is>
          <t>Not assessed</t>
        </is>
      </c>
      <c r="AT50" s="29" t="inlineStr">
        <is>
          <t>Not assessed</t>
        </is>
      </c>
      <c r="AU50" s="29" t="inlineStr">
        <is>
          <t>Not assessed</t>
        </is>
      </c>
      <c r="AV50" s="29" t="inlineStr">
        <is>
          <t>Not assessed</t>
        </is>
      </c>
      <c r="AW50" s="29" t="inlineStr">
        <is>
          <t>Not assessed</t>
        </is>
      </c>
      <c r="AX50" s="29" t="inlineStr">
        <is>
          <t>Not assessed</t>
        </is>
      </c>
      <c r="AY50" s="29" t="inlineStr">
        <is>
          <t>Not assessed</t>
        </is>
      </c>
      <c r="AZ50" s="29" t="inlineStr">
        <is>
          <t>Not assessed</t>
        </is>
      </c>
      <c r="BA50" s="29" t="inlineStr">
        <is>
          <t>Not assessed</t>
        </is>
      </c>
      <c r="BB50" s="29" t="inlineStr">
        <is>
          <t>Not assessed</t>
        </is>
      </c>
      <c r="BC50" s="29" t="inlineStr">
        <is>
          <t>Not assessed</t>
        </is>
      </c>
      <c r="BD50" s="29" t="inlineStr">
        <is>
          <t>Not assessed</t>
        </is>
      </c>
      <c r="BE50" s="29" t="inlineStr">
        <is>
          <t>Development required</t>
        </is>
      </c>
      <c r="BF50" s="29" t="inlineStr">
        <is>
          <t>Physical implementation is not complete against the stated requirement.; Searched for hub, interest, category, hashtag, football, formula 1, fixtures, empty state, invite, bot, fake. No concrete implementation found.</t>
        </is>
      </c>
      <c r="BG50" s="29" t="inlineStr"/>
      <c r="BH50" s="29" t="inlineStr"/>
      <c r="BI50" s="29" t="inlineStr"/>
      <c r="BJ50" s="29" t="inlineStr"/>
      <c r="BK50" s="29" t="inlineStr">
        <is>
          <t>Evidence reconciled against the reviewed source revision. No production approval is inferred from implementation or file presence.</t>
        </is>
      </c>
      <c r="BL50" s="29" t="inlineStr">
        <is>
          <t>2026-08-02</t>
        </is>
      </c>
    </row>
    <row r="51" ht="42" customHeight="1">
      <c r="A51" s="29" t="inlineStr">
        <is>
          <t>BLYP-03-009</t>
        </is>
      </c>
      <c r="B51" s="29" t="inlineStr"/>
      <c r="C51" s="29" t="inlineStr">
        <is>
          <t>Interest hubs</t>
        </is>
      </c>
      <c r="D51" s="29" t="n">
        <v>3</v>
      </c>
      <c r="E51" s="29" t="n">
        <v>9</v>
      </c>
      <c r="F51" s="29" t="inlineStr">
        <is>
          <t>Feature</t>
        </is>
      </c>
      <c r="G51" s="29" t="inlineStr">
        <is>
          <t>Relevant creators inside an Interest</t>
        </is>
      </c>
      <c r="H51" s="29" t="inlineStr">
        <is>
          <t>Relevant creators inside an Interest</t>
        </is>
      </c>
      <c r="I51" s="29" t="inlineStr">
        <is>
          <t>/home/ubuntu/blyp_product_requirements.md :: Section 3 — Interest hubs</t>
        </is>
      </c>
      <c r="J51" s="29" t="inlineStr">
        <is>
          <t>/home/ubuntu/BLYP_COMPLETE_FEATURE_LIST.md:75</t>
        </is>
      </c>
      <c r="K51" s="29" t="inlineStr">
        <is>
          <t>Required</t>
        </is>
      </c>
      <c r="L51" s="29" t="inlineStr">
        <is>
          <t>Authenticated creator or host</t>
        </is>
      </c>
      <c r="M51" s="29" t="inlineStr">
        <is>
          <t>BLYP mobile application and supporting production services</t>
        </is>
      </c>
      <c r="N51" s="29" t="inlineStr">
        <is>
          <t>Relevant creators inside an Interest</t>
        </is>
      </c>
      <c r="O51" s="29" t="inlineStr">
        <is>
          <t>Not explicitly defined in the product source; requires accountable product approval before production sign-off.</t>
        </is>
      </c>
      <c r="P51" s="29" t="inlineStr"/>
      <c r="Q51" s="29" t="inlineStr">
        <is>
          <t>Partial</t>
        </is>
      </c>
      <c r="R51" s="29" t="inlineStr"/>
      <c r="S51" s="29" t="inlineStr">
        <is>
          <t>Not found</t>
        </is>
      </c>
      <c r="T51" s="29" t="inlineStr"/>
      <c r="U51" s="29" t="inlineStr"/>
      <c r="V51" s="29" t="inlineStr"/>
      <c r="W51" s="29" t="inlineStr"/>
      <c r="X51" s="29" t="inlineStr"/>
      <c r="Y51" s="29" t="inlineStr"/>
      <c r="Z51" s="29" t="inlineStr"/>
      <c r="AA51" s="29" t="inlineStr"/>
      <c r="AB51" s="29" t="inlineStr"/>
      <c r="AC51" s="29" t="inlineStr"/>
      <c r="AD51" s="29" t="inlineStr"/>
      <c r="AE51" s="29" t="inlineStr">
        <is>
          <t>Unknown</t>
        </is>
      </c>
      <c r="AF51" s="29" t="inlineStr"/>
      <c r="AG51" s="29" t="inlineStr">
        <is>
          <t>Unknown</t>
        </is>
      </c>
      <c r="AH51" s="29" t="inlineStr">
        <is>
          <t>Unknown</t>
        </is>
      </c>
      <c r="AI51" s="29" t="inlineStr">
        <is>
          <t>Searched for hub, interest, category, hashtag, football, formula 1, fixtures, empty state, invite, bot, fake. No concrete implementation found.</t>
        </is>
      </c>
      <c r="AJ51" s="29" t="inlineStr">
        <is>
          <t>Not verified</t>
        </is>
      </c>
      <c r="AK51" s="29" t="inlineStr"/>
      <c r="AL51" s="29" t="inlineStr"/>
      <c r="AM51" s="29" t="inlineStr"/>
      <c r="AN51" s="29" t="inlineStr"/>
      <c r="AO51" s="29" t="inlineStr">
        <is>
          <t>8bc0dcb2a1da1b21368c5536aaeef829d587f316</t>
        </is>
      </c>
      <c r="AP51" s="29" t="inlineStr">
        <is>
          <t>Low</t>
        </is>
      </c>
      <c r="AQ51" s="29" t="inlineStr">
        <is>
          <t>Not assessed</t>
        </is>
      </c>
      <c r="AR51" s="29" t="inlineStr">
        <is>
          <t>Not assessed</t>
        </is>
      </c>
      <c r="AS51" s="29" t="inlineStr">
        <is>
          <t>Not assessed</t>
        </is>
      </c>
      <c r="AT51" s="29" t="inlineStr">
        <is>
          <t>Not assessed</t>
        </is>
      </c>
      <c r="AU51" s="29" t="inlineStr">
        <is>
          <t>Not assessed</t>
        </is>
      </c>
      <c r="AV51" s="29" t="inlineStr">
        <is>
          <t>Not assessed</t>
        </is>
      </c>
      <c r="AW51" s="29" t="inlineStr">
        <is>
          <t>Not assessed</t>
        </is>
      </c>
      <c r="AX51" s="29" t="inlineStr">
        <is>
          <t>Not assessed</t>
        </is>
      </c>
      <c r="AY51" s="29" t="inlineStr">
        <is>
          <t>Not assessed</t>
        </is>
      </c>
      <c r="AZ51" s="29" t="inlineStr">
        <is>
          <t>Not assessed</t>
        </is>
      </c>
      <c r="BA51" s="29" t="inlineStr">
        <is>
          <t>Not assessed</t>
        </is>
      </c>
      <c r="BB51" s="29" t="inlineStr">
        <is>
          <t>Not assessed</t>
        </is>
      </c>
      <c r="BC51" s="29" t="inlineStr">
        <is>
          <t>Not assessed</t>
        </is>
      </c>
      <c r="BD51" s="29" t="inlineStr">
        <is>
          <t>Not assessed</t>
        </is>
      </c>
      <c r="BE51" s="29" t="inlineStr">
        <is>
          <t>Development required</t>
        </is>
      </c>
      <c r="BF51" s="29" t="inlineStr">
        <is>
          <t>Physical implementation is not complete against the stated requirement.; Searched for hub, interest, category, hashtag, football, formula 1, fixtures, empty state, invite, bot, fake. No concrete implementation found.</t>
        </is>
      </c>
      <c r="BG51" s="29" t="inlineStr"/>
      <c r="BH51" s="29" t="inlineStr"/>
      <c r="BI51" s="29" t="inlineStr"/>
      <c r="BJ51" s="29" t="inlineStr"/>
      <c r="BK51" s="29" t="inlineStr">
        <is>
          <t>Evidence reconciled against the reviewed source revision. No production approval is inferred from implementation or file presence.</t>
        </is>
      </c>
      <c r="BL51" s="29" t="inlineStr">
        <is>
          <t>2026-08-02</t>
        </is>
      </c>
    </row>
    <row r="52" ht="42" customHeight="1">
      <c r="A52" s="29" t="inlineStr">
        <is>
          <t>BLYP-03-010</t>
        </is>
      </c>
      <c r="B52" s="29" t="inlineStr"/>
      <c r="C52" s="29" t="inlineStr">
        <is>
          <t>Interest hubs</t>
        </is>
      </c>
      <c r="D52" s="29" t="n">
        <v>3</v>
      </c>
      <c r="E52" s="29" t="n">
        <v>10</v>
      </c>
      <c r="F52" s="29" t="inlineStr">
        <is>
          <t>Feature</t>
        </is>
      </c>
      <c r="G52" s="29" t="inlineStr">
        <is>
          <t>Relevant live streams inside an Interest</t>
        </is>
      </c>
      <c r="H52" s="29" t="inlineStr">
        <is>
          <t>Relevant live streams inside an Interest</t>
        </is>
      </c>
      <c r="I52" s="29" t="inlineStr">
        <is>
          <t>/home/ubuntu/blyp_product_requirements.md :: Section 3 — Interest hubs</t>
        </is>
      </c>
      <c r="J52" s="29" t="inlineStr">
        <is>
          <t>/home/ubuntu/BLYP_COMPLETE_FEATURE_LIST.md:76</t>
        </is>
      </c>
      <c r="K52" s="29" t="inlineStr">
        <is>
          <t>Required</t>
        </is>
      </c>
      <c r="L52" s="29" t="inlineStr">
        <is>
          <t>Applicable BLYP member</t>
        </is>
      </c>
      <c r="M52" s="29" t="inlineStr">
        <is>
          <t>BLYP mobile application and supporting production services</t>
        </is>
      </c>
      <c r="N52" s="29" t="inlineStr">
        <is>
          <t>Relevant live streams inside an Interest</t>
        </is>
      </c>
      <c r="O52" s="29" t="inlineStr">
        <is>
          <t>Not explicitly defined in the product source; requires accountable product approval before production sign-off.</t>
        </is>
      </c>
      <c r="P52" s="29" t="inlineStr"/>
      <c r="Q52" s="29" t="inlineStr">
        <is>
          <t>Partial</t>
        </is>
      </c>
      <c r="R52" s="29" t="inlineStr"/>
      <c r="S52" s="29" t="inlineStr">
        <is>
          <t>Not found</t>
        </is>
      </c>
      <c r="T52" s="29" t="inlineStr"/>
      <c r="U52" s="29" t="inlineStr"/>
      <c r="V52" s="29" t="inlineStr"/>
      <c r="W52" s="29" t="inlineStr"/>
      <c r="X52" s="29" t="inlineStr"/>
      <c r="Y52" s="29" t="inlineStr"/>
      <c r="Z52" s="29" t="inlineStr"/>
      <c r="AA52" s="29" t="inlineStr"/>
      <c r="AB52" s="29" t="inlineStr"/>
      <c r="AC52" s="29" t="inlineStr"/>
      <c r="AD52" s="29" t="inlineStr"/>
      <c r="AE52" s="29" t="inlineStr">
        <is>
          <t>Unknown</t>
        </is>
      </c>
      <c r="AF52" s="29" t="inlineStr"/>
      <c r="AG52" s="29" t="inlineStr">
        <is>
          <t>Unknown</t>
        </is>
      </c>
      <c r="AH52" s="29" t="inlineStr">
        <is>
          <t>Unknown</t>
        </is>
      </c>
      <c r="AI52" s="29" t="inlineStr">
        <is>
          <t>Searched for hub, interest, category, hashtag, football, formula 1, fixtures, empty state, invite, bot, fake. No concrete implementation found.</t>
        </is>
      </c>
      <c r="AJ52" s="29" t="inlineStr">
        <is>
          <t>Not verified</t>
        </is>
      </c>
      <c r="AK52" s="29" t="inlineStr"/>
      <c r="AL52" s="29" t="inlineStr"/>
      <c r="AM52" s="29" t="inlineStr"/>
      <c r="AN52" s="29" t="inlineStr"/>
      <c r="AO52" s="29" t="inlineStr">
        <is>
          <t>8bc0dcb2a1da1b21368c5536aaeef829d587f316</t>
        </is>
      </c>
      <c r="AP52" s="29" t="inlineStr">
        <is>
          <t>Low</t>
        </is>
      </c>
      <c r="AQ52" s="29" t="inlineStr">
        <is>
          <t>Not assessed</t>
        </is>
      </c>
      <c r="AR52" s="29" t="inlineStr">
        <is>
          <t>Not assessed</t>
        </is>
      </c>
      <c r="AS52" s="29" t="inlineStr">
        <is>
          <t>Not assessed</t>
        </is>
      </c>
      <c r="AT52" s="29" t="inlineStr">
        <is>
          <t>Not assessed</t>
        </is>
      </c>
      <c r="AU52" s="29" t="inlineStr">
        <is>
          <t>Not assessed</t>
        </is>
      </c>
      <c r="AV52" s="29" t="inlineStr">
        <is>
          <t>Not assessed</t>
        </is>
      </c>
      <c r="AW52" s="29" t="inlineStr">
        <is>
          <t>Not assessed</t>
        </is>
      </c>
      <c r="AX52" s="29" t="inlineStr">
        <is>
          <t>Not assessed</t>
        </is>
      </c>
      <c r="AY52" s="29" t="inlineStr">
        <is>
          <t>Not assessed</t>
        </is>
      </c>
      <c r="AZ52" s="29" t="inlineStr">
        <is>
          <t>Not assessed</t>
        </is>
      </c>
      <c r="BA52" s="29" t="inlineStr">
        <is>
          <t>Not assessed</t>
        </is>
      </c>
      <c r="BB52" s="29" t="inlineStr">
        <is>
          <t>Not assessed</t>
        </is>
      </c>
      <c r="BC52" s="29" t="inlineStr">
        <is>
          <t>Not assessed</t>
        </is>
      </c>
      <c r="BD52" s="29" t="inlineStr">
        <is>
          <t>Not assessed</t>
        </is>
      </c>
      <c r="BE52" s="29" t="inlineStr">
        <is>
          <t>Development required</t>
        </is>
      </c>
      <c r="BF52" s="29" t="inlineStr">
        <is>
          <t>Physical implementation is not complete against the stated requirement.; Searched for hub, interest, category, hashtag, football, formula 1, fixtures, empty state, invite, bot, fake. No concrete implementation found.</t>
        </is>
      </c>
      <c r="BG52" s="29" t="inlineStr"/>
      <c r="BH52" s="29" t="inlineStr"/>
      <c r="BI52" s="29" t="inlineStr"/>
      <c r="BJ52" s="29" t="inlineStr"/>
      <c r="BK52" s="29" t="inlineStr">
        <is>
          <t>Evidence reconciled against the reviewed source revision. No production approval is inferred from implementation or file presence.</t>
        </is>
      </c>
      <c r="BL52" s="29" t="inlineStr">
        <is>
          <t>2026-08-02</t>
        </is>
      </c>
    </row>
    <row r="53" ht="42" customHeight="1">
      <c r="A53" s="29" t="inlineStr">
        <is>
          <t>BLYP-03-011</t>
        </is>
      </c>
      <c r="B53" s="29" t="inlineStr"/>
      <c r="C53" s="29" t="inlineStr">
        <is>
          <t>Interest hubs</t>
        </is>
      </c>
      <c r="D53" s="29" t="n">
        <v>3</v>
      </c>
      <c r="E53" s="29" t="n">
        <v>11</v>
      </c>
      <c r="F53" s="29" t="inlineStr">
        <is>
          <t>Feature</t>
        </is>
      </c>
      <c r="G53" s="29" t="inlineStr">
        <is>
          <t>Communal live rooms inside an Interest</t>
        </is>
      </c>
      <c r="H53" s="29" t="inlineStr">
        <is>
          <t>Communal live rooms inside an Interest</t>
        </is>
      </c>
      <c r="I53" s="29" t="inlineStr">
        <is>
          <t>/home/ubuntu/blyp_product_requirements.md :: Section 3 — Interest hubs</t>
        </is>
      </c>
      <c r="J53" s="29" t="inlineStr">
        <is>
          <t>/home/ubuntu/BLYP_COMPLETE_FEATURE_LIST.md:77</t>
        </is>
      </c>
      <c r="K53" s="29" t="inlineStr">
        <is>
          <t>Required</t>
        </is>
      </c>
      <c r="L53" s="29" t="inlineStr">
        <is>
          <t>Applicable BLYP member</t>
        </is>
      </c>
      <c r="M53" s="29" t="inlineStr">
        <is>
          <t>BLYP mobile application and supporting production services</t>
        </is>
      </c>
      <c r="N53" s="29" t="inlineStr">
        <is>
          <t>Communal live rooms inside an Interest</t>
        </is>
      </c>
      <c r="O53" s="29" t="inlineStr">
        <is>
          <t>Not explicitly defined in the product source; requires accountable product approval before production sign-off.</t>
        </is>
      </c>
      <c r="P53" s="29" t="inlineStr"/>
      <c r="Q53" s="29" t="inlineStr">
        <is>
          <t>No evidence</t>
        </is>
      </c>
      <c r="R53" s="29" t="inlineStr"/>
      <c r="S53" s="29" t="inlineStr">
        <is>
          <t>Not found</t>
        </is>
      </c>
      <c r="T53" s="29" t="inlineStr"/>
      <c r="U53" s="29" t="inlineStr"/>
      <c r="V53" s="29" t="inlineStr"/>
      <c r="W53" s="29" t="inlineStr"/>
      <c r="X53" s="29" t="inlineStr"/>
      <c r="Y53" s="29" t="inlineStr"/>
      <c r="Z53" s="29" t="inlineStr"/>
      <c r="AA53" s="29" t="inlineStr"/>
      <c r="AB53" s="29" t="inlineStr"/>
      <c r="AC53" s="29" t="inlineStr"/>
      <c r="AD53" s="29" t="inlineStr"/>
      <c r="AE53" s="29" t="inlineStr">
        <is>
          <t>Unknown</t>
        </is>
      </c>
      <c r="AF53" s="29" t="inlineStr"/>
      <c r="AG53" s="29" t="inlineStr">
        <is>
          <t>Unknown</t>
        </is>
      </c>
      <c r="AH53" s="29" t="inlineStr">
        <is>
          <t>Unknown</t>
        </is>
      </c>
      <c r="AI53" s="29" t="inlineStr">
        <is>
          <t>Searched for hub, interest, category, hashtag, football, formula 1, fixtures, empty state, invite, bot, fake. No concrete implementation found.</t>
        </is>
      </c>
      <c r="AJ53" s="29" t="inlineStr">
        <is>
          <t>Not verified</t>
        </is>
      </c>
      <c r="AK53" s="29" t="inlineStr"/>
      <c r="AL53" s="29" t="inlineStr"/>
      <c r="AM53" s="29" t="inlineStr"/>
      <c r="AN53" s="29" t="inlineStr"/>
      <c r="AO53" s="29" t="inlineStr">
        <is>
          <t>8bc0dcb2a1da1b21368c5536aaeef829d587f316</t>
        </is>
      </c>
      <c r="AP53" s="29" t="inlineStr">
        <is>
          <t>Low</t>
        </is>
      </c>
      <c r="AQ53" s="29" t="inlineStr">
        <is>
          <t>Not assessed</t>
        </is>
      </c>
      <c r="AR53" s="29" t="inlineStr">
        <is>
          <t>Not assessed</t>
        </is>
      </c>
      <c r="AS53" s="29" t="inlineStr">
        <is>
          <t>Not assessed</t>
        </is>
      </c>
      <c r="AT53" s="29" t="inlineStr">
        <is>
          <t>Not assessed</t>
        </is>
      </c>
      <c r="AU53" s="29" t="inlineStr">
        <is>
          <t>Not assessed</t>
        </is>
      </c>
      <c r="AV53" s="29" t="inlineStr">
        <is>
          <t>Not assessed</t>
        </is>
      </c>
      <c r="AW53" s="29" t="inlineStr">
        <is>
          <t>Not assessed</t>
        </is>
      </c>
      <c r="AX53" s="29" t="inlineStr">
        <is>
          <t>Not assessed</t>
        </is>
      </c>
      <c r="AY53" s="29" t="inlineStr">
        <is>
          <t>Not assessed</t>
        </is>
      </c>
      <c r="AZ53" s="29" t="inlineStr">
        <is>
          <t>Not assessed</t>
        </is>
      </c>
      <c r="BA53" s="29" t="inlineStr">
        <is>
          <t>Not assessed</t>
        </is>
      </c>
      <c r="BB53" s="29" t="inlineStr">
        <is>
          <t>Not assessed</t>
        </is>
      </c>
      <c r="BC53" s="29" t="inlineStr">
        <is>
          <t>Not assessed</t>
        </is>
      </c>
      <c r="BD53" s="29" t="inlineStr">
        <is>
          <t>Not assessed</t>
        </is>
      </c>
      <c r="BE53" s="29" t="inlineStr">
        <is>
          <t>Development required</t>
        </is>
      </c>
      <c r="BF53" s="29" t="inlineStr">
        <is>
          <t>Physical implementation is not complete against the stated requirement.; Searched for hub, interest, category, hashtag, football, formula 1, fixtures, empty state, invite, bot, fake. No concrete implementation found.</t>
        </is>
      </c>
      <c r="BG53" s="29" t="inlineStr"/>
      <c r="BH53" s="29" t="inlineStr"/>
      <c r="BI53" s="29" t="inlineStr"/>
      <c r="BJ53" s="29" t="inlineStr"/>
      <c r="BK53" s="29" t="inlineStr">
        <is>
          <t>Evidence reconciled against the reviewed source revision. No production approval is inferred from implementation or file presence.</t>
        </is>
      </c>
      <c r="BL53" s="29" t="inlineStr">
        <is>
          <t>2026-08-02</t>
        </is>
      </c>
    </row>
    <row r="54" ht="42" customHeight="1">
      <c r="A54" s="29" t="inlineStr">
        <is>
          <t>BLYP-03-012</t>
        </is>
      </c>
      <c r="B54" s="29" t="inlineStr"/>
      <c r="C54" s="29" t="inlineStr">
        <is>
          <t>Interest hubs</t>
        </is>
      </c>
      <c r="D54" s="29" t="n">
        <v>3</v>
      </c>
      <c r="E54" s="29" t="n">
        <v>12</v>
      </c>
      <c r="F54" s="29" t="inlineStr">
        <is>
          <t>Feature</t>
        </is>
      </c>
      <c r="G54" s="29" t="inlineStr">
        <is>
          <t>Persistent topic conversation</t>
        </is>
      </c>
      <c r="H54" s="29" t="inlineStr">
        <is>
          <t>Persistent topic conversation</t>
        </is>
      </c>
      <c r="I54" s="29" t="inlineStr">
        <is>
          <t>/home/ubuntu/blyp_product_requirements.md :: Section 3 — Interest hubs</t>
        </is>
      </c>
      <c r="J54" s="29" t="inlineStr">
        <is>
          <t>/home/ubuntu/BLYP_COMPLETE_FEATURE_LIST.md:78</t>
        </is>
      </c>
      <c r="K54" s="29" t="inlineStr">
        <is>
          <t>Required</t>
        </is>
      </c>
      <c r="L54" s="29" t="inlineStr">
        <is>
          <t>Applicable BLYP member</t>
        </is>
      </c>
      <c r="M54" s="29" t="inlineStr">
        <is>
          <t>BLYP mobile application and supporting production services</t>
        </is>
      </c>
      <c r="N54" s="29" t="inlineStr">
        <is>
          <t>Persistent topic conversation</t>
        </is>
      </c>
      <c r="O54" s="29" t="inlineStr">
        <is>
          <t>Not explicitly defined in the product source; requires accountable product approval before production sign-off.</t>
        </is>
      </c>
      <c r="P54" s="29" t="inlineStr"/>
      <c r="Q54" s="29" t="inlineStr">
        <is>
          <t>Yes</t>
        </is>
      </c>
      <c r="R54" s="29" t="inlineStr">
        <is>
          <t>text chat-room foundations exist.</t>
        </is>
      </c>
      <c r="S54" s="29" t="inlineStr">
        <is>
          <t>Not found</t>
        </is>
      </c>
      <c r="T54" s="29" t="inlineStr"/>
      <c r="U54" s="29" t="inlineStr"/>
      <c r="V54" s="29" t="inlineStr"/>
      <c r="W54" s="29" t="inlineStr"/>
      <c r="X54" s="29" t="inlineStr"/>
      <c r="Y54" s="29" t="inlineStr"/>
      <c r="Z54" s="29" t="inlineStr"/>
      <c r="AA54" s="29" t="inlineStr"/>
      <c r="AB54" s="29" t="inlineStr"/>
      <c r="AC54" s="29" t="inlineStr"/>
      <c r="AD54" s="29" t="inlineStr"/>
      <c r="AE54" s="29" t="inlineStr">
        <is>
          <t>Unknown</t>
        </is>
      </c>
      <c r="AF54" s="29" t="inlineStr"/>
      <c r="AG54" s="29" t="inlineStr">
        <is>
          <t>Unknown</t>
        </is>
      </c>
      <c r="AH54" s="29" t="inlineStr">
        <is>
          <t>Unknown</t>
        </is>
      </c>
      <c r="AI54" s="29" t="inlineStr">
        <is>
          <t>Searched for hub, interest, category, hashtag, football, formula 1, fixtures, empty state, invite, bot, fake. No concrete implementation found.</t>
        </is>
      </c>
      <c r="AJ54" s="29" t="inlineStr">
        <is>
          <t>Not verified</t>
        </is>
      </c>
      <c r="AK54" s="29" t="inlineStr"/>
      <c r="AL54" s="29" t="inlineStr"/>
      <c r="AM54" s="29" t="inlineStr"/>
      <c r="AN54" s="29" t="inlineStr"/>
      <c r="AO54" s="29" t="inlineStr">
        <is>
          <t>8bc0dcb2a1da1b21368c5536aaeef829d587f316</t>
        </is>
      </c>
      <c r="AP54" s="29" t="inlineStr">
        <is>
          <t>Low</t>
        </is>
      </c>
      <c r="AQ54" s="29" t="inlineStr">
        <is>
          <t>Not assessed</t>
        </is>
      </c>
      <c r="AR54" s="29" t="inlineStr">
        <is>
          <t>Not assessed</t>
        </is>
      </c>
      <c r="AS54" s="29" t="inlineStr">
        <is>
          <t>Not assessed</t>
        </is>
      </c>
      <c r="AT54" s="29" t="inlineStr">
        <is>
          <t>Not assessed</t>
        </is>
      </c>
      <c r="AU54" s="29" t="inlineStr">
        <is>
          <t>Not assessed</t>
        </is>
      </c>
      <c r="AV54" s="29" t="inlineStr">
        <is>
          <t>Not assessed</t>
        </is>
      </c>
      <c r="AW54" s="29" t="inlineStr">
        <is>
          <t>Not assessed</t>
        </is>
      </c>
      <c r="AX54" s="29" t="inlineStr">
        <is>
          <t>Not assessed</t>
        </is>
      </c>
      <c r="AY54" s="29" t="inlineStr">
        <is>
          <t>Not assessed</t>
        </is>
      </c>
      <c r="AZ54" s="29" t="inlineStr">
        <is>
          <t>Not assessed</t>
        </is>
      </c>
      <c r="BA54" s="29" t="inlineStr">
        <is>
          <t>Not assessed</t>
        </is>
      </c>
      <c r="BB54" s="29" t="inlineStr">
        <is>
          <t>Not assessed</t>
        </is>
      </c>
      <c r="BC54" s="29" t="inlineStr">
        <is>
          <t>Not assessed</t>
        </is>
      </c>
      <c r="BD54" s="29" t="inlineStr">
        <is>
          <t>Not assessed</t>
        </is>
      </c>
      <c r="BE54" s="29" t="inlineStr">
        <is>
          <t>Development required</t>
        </is>
      </c>
      <c r="BF54" s="29" t="inlineStr">
        <is>
          <t>Physical implementation is not complete against the stated requirement.; Searched for hub, interest, category, hashtag, football, formula 1, fixtures, empty state, invite, bot, fake. No concrete implementation found.</t>
        </is>
      </c>
      <c r="BG54" s="29" t="inlineStr"/>
      <c r="BH54" s="29" t="inlineStr"/>
      <c r="BI54" s="29" t="inlineStr"/>
      <c r="BJ54" s="29" t="inlineStr"/>
      <c r="BK54" s="29" t="inlineStr">
        <is>
          <t>Evidence reconciled against the reviewed source revision. No production approval is inferred from implementation or file presence.</t>
        </is>
      </c>
      <c r="BL54" s="29" t="inlineStr">
        <is>
          <t>2026-08-02</t>
        </is>
      </c>
    </row>
    <row r="55" ht="42" customHeight="1">
      <c r="A55" s="29" t="inlineStr">
        <is>
          <t>BLYP-03-013</t>
        </is>
      </c>
      <c r="B55" s="29" t="inlineStr"/>
      <c r="C55" s="29" t="inlineStr">
        <is>
          <t>Interest hubs</t>
        </is>
      </c>
      <c r="D55" s="29" t="n">
        <v>3</v>
      </c>
      <c r="E55" s="29" t="n">
        <v>13</v>
      </c>
      <c r="F55" s="29" t="inlineStr">
        <is>
          <t>Feature</t>
        </is>
      </c>
      <c r="G55" s="29" t="inlineStr">
        <is>
          <t>Follow an Interest</t>
        </is>
      </c>
      <c r="H55" s="29" t="inlineStr">
        <is>
          <t>Follow an Interest</t>
        </is>
      </c>
      <c r="I55" s="29" t="inlineStr">
        <is>
          <t>/home/ubuntu/blyp_product_requirements.md :: Section 3 — Interest hubs</t>
        </is>
      </c>
      <c r="J55" s="29" t="inlineStr">
        <is>
          <t>/home/ubuntu/BLYP_COMPLETE_FEATURE_LIST.md:79</t>
        </is>
      </c>
      <c r="K55" s="29" t="inlineStr">
        <is>
          <t>Required</t>
        </is>
      </c>
      <c r="L55" s="29" t="inlineStr">
        <is>
          <t>Applicable BLYP member</t>
        </is>
      </c>
      <c r="M55" s="29" t="inlineStr">
        <is>
          <t>BLYP mobile application and supporting production services</t>
        </is>
      </c>
      <c r="N55" s="29" t="inlineStr">
        <is>
          <t>Follow an Interest</t>
        </is>
      </c>
      <c r="O55" s="29" t="inlineStr">
        <is>
          <t>Not explicitly defined in the product source; requires accountable product approval before production sign-off.</t>
        </is>
      </c>
      <c r="P55" s="29" t="inlineStr"/>
      <c r="Q55" s="29" t="inlineStr">
        <is>
          <t>Partial</t>
        </is>
      </c>
      <c r="R55" s="29" t="inlineStr"/>
      <c r="S55" s="29" t="inlineStr">
        <is>
          <t>Not found</t>
        </is>
      </c>
      <c r="T55" s="29" t="inlineStr"/>
      <c r="U55" s="29" t="inlineStr"/>
      <c r="V55" s="29" t="inlineStr"/>
      <c r="W55" s="29" t="inlineStr"/>
      <c r="X55" s="29" t="inlineStr"/>
      <c r="Y55" s="29" t="inlineStr"/>
      <c r="Z55" s="29" t="inlineStr"/>
      <c r="AA55" s="29" t="inlineStr"/>
      <c r="AB55" s="29" t="inlineStr"/>
      <c r="AC55" s="29" t="inlineStr"/>
      <c r="AD55" s="29" t="inlineStr"/>
      <c r="AE55" s="29" t="inlineStr">
        <is>
          <t>Unknown</t>
        </is>
      </c>
      <c r="AF55" s="29" t="inlineStr"/>
      <c r="AG55" s="29" t="inlineStr">
        <is>
          <t>Unknown</t>
        </is>
      </c>
      <c r="AH55" s="29" t="inlineStr">
        <is>
          <t>Unknown</t>
        </is>
      </c>
      <c r="AI55" s="29" t="inlineStr">
        <is>
          <t>Searched for hub, interest, category, hashtag, football, formula 1, fixtures, empty state, invite, bot, fake. No concrete implementation found.</t>
        </is>
      </c>
      <c r="AJ55" s="29" t="inlineStr">
        <is>
          <t>Not verified</t>
        </is>
      </c>
      <c r="AK55" s="29" t="inlineStr"/>
      <c r="AL55" s="29" t="inlineStr"/>
      <c r="AM55" s="29" t="inlineStr"/>
      <c r="AN55" s="29" t="inlineStr"/>
      <c r="AO55" s="29" t="inlineStr">
        <is>
          <t>8bc0dcb2a1da1b21368c5536aaeef829d587f316</t>
        </is>
      </c>
      <c r="AP55" s="29" t="inlineStr">
        <is>
          <t>Low</t>
        </is>
      </c>
      <c r="AQ55" s="29" t="inlineStr">
        <is>
          <t>Not assessed</t>
        </is>
      </c>
      <c r="AR55" s="29" t="inlineStr">
        <is>
          <t>Not assessed</t>
        </is>
      </c>
      <c r="AS55" s="29" t="inlineStr">
        <is>
          <t>Not assessed</t>
        </is>
      </c>
      <c r="AT55" s="29" t="inlineStr">
        <is>
          <t>Not assessed</t>
        </is>
      </c>
      <c r="AU55" s="29" t="inlineStr">
        <is>
          <t>Not assessed</t>
        </is>
      </c>
      <c r="AV55" s="29" t="inlineStr">
        <is>
          <t>Not assessed</t>
        </is>
      </c>
      <c r="AW55" s="29" t="inlineStr">
        <is>
          <t>Not assessed</t>
        </is>
      </c>
      <c r="AX55" s="29" t="inlineStr">
        <is>
          <t>Not assessed</t>
        </is>
      </c>
      <c r="AY55" s="29" t="inlineStr">
        <is>
          <t>Not assessed</t>
        </is>
      </c>
      <c r="AZ55" s="29" t="inlineStr">
        <is>
          <t>Not assessed</t>
        </is>
      </c>
      <c r="BA55" s="29" t="inlineStr">
        <is>
          <t>Not assessed</t>
        </is>
      </c>
      <c r="BB55" s="29" t="inlineStr">
        <is>
          <t>Not assessed</t>
        </is>
      </c>
      <c r="BC55" s="29" t="inlineStr">
        <is>
          <t>Not assessed</t>
        </is>
      </c>
      <c r="BD55" s="29" t="inlineStr">
        <is>
          <t>Not assessed</t>
        </is>
      </c>
      <c r="BE55" s="29" t="inlineStr">
        <is>
          <t>Development required</t>
        </is>
      </c>
      <c r="BF55" s="29" t="inlineStr">
        <is>
          <t>Physical implementation is not complete against the stated requirement.; Searched for hub, interest, category, hashtag, football, formula 1, fixtures, empty state, invite, bot, fake. No concrete implementation found.</t>
        </is>
      </c>
      <c r="BG55" s="29" t="inlineStr"/>
      <c r="BH55" s="29" t="inlineStr"/>
      <c r="BI55" s="29" t="inlineStr"/>
      <c r="BJ55" s="29" t="inlineStr"/>
      <c r="BK55" s="29" t="inlineStr">
        <is>
          <t>Evidence reconciled against the reviewed source revision. No production approval is inferred from implementation or file presence.</t>
        </is>
      </c>
      <c r="BL55" s="29" t="inlineStr">
        <is>
          <t>2026-08-02</t>
        </is>
      </c>
    </row>
    <row r="56" ht="42" customHeight="1">
      <c r="A56" s="29" t="inlineStr">
        <is>
          <t>BLYP-03-014</t>
        </is>
      </c>
      <c r="B56" s="29" t="inlineStr"/>
      <c r="C56" s="29" t="inlineStr">
        <is>
          <t>Interest hubs</t>
        </is>
      </c>
      <c r="D56" s="29" t="n">
        <v>3</v>
      </c>
      <c r="E56" s="29" t="n">
        <v>14</v>
      </c>
      <c r="F56" s="29" t="inlineStr">
        <is>
          <t>Feature</t>
        </is>
      </c>
      <c r="G56" s="29" t="inlineStr">
        <is>
          <t>Interest notifications</t>
        </is>
      </c>
      <c r="H56" s="29" t="inlineStr">
        <is>
          <t>Interest notifications</t>
        </is>
      </c>
      <c r="I56" s="29" t="inlineStr">
        <is>
          <t>/home/ubuntu/blyp_product_requirements.md :: Section 3 — Interest hubs</t>
        </is>
      </c>
      <c r="J56" s="29" t="inlineStr">
        <is>
          <t>/home/ubuntu/BLYP_COMPLETE_FEATURE_LIST.md:80</t>
        </is>
      </c>
      <c r="K56" s="29" t="inlineStr">
        <is>
          <t>Required</t>
        </is>
      </c>
      <c r="L56" s="29" t="inlineStr">
        <is>
          <t>Applicable BLYP member</t>
        </is>
      </c>
      <c r="M56" s="29" t="inlineStr">
        <is>
          <t>BLYP mobile application and supporting production services</t>
        </is>
      </c>
      <c r="N56" s="29" t="inlineStr">
        <is>
          <t>Interest notifications</t>
        </is>
      </c>
      <c r="O56" s="29" t="inlineStr">
        <is>
          <t>Not explicitly defined in the product source; requires accountable product approval before production sign-off.</t>
        </is>
      </c>
      <c r="P56" s="29" t="inlineStr"/>
      <c r="Q56" s="29" t="inlineStr">
        <is>
          <t>Partial</t>
        </is>
      </c>
      <c r="R56" s="29" t="inlineStr"/>
      <c r="S56" s="29" t="inlineStr">
        <is>
          <t>Not found</t>
        </is>
      </c>
      <c r="T56" s="29" t="inlineStr"/>
      <c r="U56" s="29" t="inlineStr"/>
      <c r="V56" s="29" t="inlineStr"/>
      <c r="W56" s="29" t="inlineStr"/>
      <c r="X56" s="29" t="inlineStr"/>
      <c r="Y56" s="29" t="inlineStr"/>
      <c r="Z56" s="29" t="inlineStr"/>
      <c r="AA56" s="29" t="inlineStr"/>
      <c r="AB56" s="29" t="inlineStr"/>
      <c r="AC56" s="29" t="inlineStr"/>
      <c r="AD56" s="29" t="inlineStr"/>
      <c r="AE56" s="29" t="inlineStr">
        <is>
          <t>Unknown</t>
        </is>
      </c>
      <c r="AF56" s="29" t="inlineStr"/>
      <c r="AG56" s="29" t="inlineStr">
        <is>
          <t>Unknown</t>
        </is>
      </c>
      <c r="AH56" s="29" t="inlineStr">
        <is>
          <t>Unknown</t>
        </is>
      </c>
      <c r="AI56" s="29" t="inlineStr">
        <is>
          <t>Searched for hub, interest, category, hashtag, football, formula 1, fixtures, empty state, invite, bot, fake. No concrete implementation found.</t>
        </is>
      </c>
      <c r="AJ56" s="29" t="inlineStr">
        <is>
          <t>Not verified</t>
        </is>
      </c>
      <c r="AK56" s="29" t="inlineStr"/>
      <c r="AL56" s="29" t="inlineStr"/>
      <c r="AM56" s="29" t="inlineStr"/>
      <c r="AN56" s="29" t="inlineStr"/>
      <c r="AO56" s="29" t="inlineStr">
        <is>
          <t>8bc0dcb2a1da1b21368c5536aaeef829d587f316</t>
        </is>
      </c>
      <c r="AP56" s="29" t="inlineStr">
        <is>
          <t>Low</t>
        </is>
      </c>
      <c r="AQ56" s="29" t="inlineStr">
        <is>
          <t>Not assessed</t>
        </is>
      </c>
      <c r="AR56" s="29" t="inlineStr">
        <is>
          <t>Not assessed</t>
        </is>
      </c>
      <c r="AS56" s="29" t="inlineStr">
        <is>
          <t>Not assessed</t>
        </is>
      </c>
      <c r="AT56" s="29" t="inlineStr">
        <is>
          <t>Not assessed</t>
        </is>
      </c>
      <c r="AU56" s="29" t="inlineStr">
        <is>
          <t>Not assessed</t>
        </is>
      </c>
      <c r="AV56" s="29" t="inlineStr">
        <is>
          <t>Not assessed</t>
        </is>
      </c>
      <c r="AW56" s="29" t="inlineStr">
        <is>
          <t>Not assessed</t>
        </is>
      </c>
      <c r="AX56" s="29" t="inlineStr">
        <is>
          <t>Not assessed</t>
        </is>
      </c>
      <c r="AY56" s="29" t="inlineStr">
        <is>
          <t>Not assessed</t>
        </is>
      </c>
      <c r="AZ56" s="29" t="inlineStr">
        <is>
          <t>Not assessed</t>
        </is>
      </c>
      <c r="BA56" s="29" t="inlineStr">
        <is>
          <t>Not assessed</t>
        </is>
      </c>
      <c r="BB56" s="29" t="inlineStr">
        <is>
          <t>Not assessed</t>
        </is>
      </c>
      <c r="BC56" s="29" t="inlineStr">
        <is>
          <t>Not assessed</t>
        </is>
      </c>
      <c r="BD56" s="29" t="inlineStr">
        <is>
          <t>Not assessed</t>
        </is>
      </c>
      <c r="BE56" s="29" t="inlineStr">
        <is>
          <t>Development required</t>
        </is>
      </c>
      <c r="BF56" s="29" t="inlineStr">
        <is>
          <t>Physical implementation is not complete against the stated requirement.; Searched for hub, interest, category, hashtag, football, formula 1, fixtures, empty state, invite, bot, fake. No concrete implementation found.</t>
        </is>
      </c>
      <c r="BG56" s="29" t="inlineStr"/>
      <c r="BH56" s="29" t="inlineStr"/>
      <c r="BI56" s="29" t="inlineStr"/>
      <c r="BJ56" s="29" t="inlineStr"/>
      <c r="BK56" s="29" t="inlineStr">
        <is>
          <t>Evidence reconciled against the reviewed source revision. No production approval is inferred from implementation or file presence.</t>
        </is>
      </c>
      <c r="BL56" s="29" t="inlineStr">
        <is>
          <t>2026-08-02</t>
        </is>
      </c>
    </row>
    <row r="57" ht="42" customHeight="1">
      <c r="A57" s="29" t="inlineStr">
        <is>
          <t>BLYP-03-015</t>
        </is>
      </c>
      <c r="B57" s="29" t="inlineStr"/>
      <c r="C57" s="29" t="inlineStr">
        <is>
          <t>Interest hubs</t>
        </is>
      </c>
      <c r="D57" s="29" t="n">
        <v>3</v>
      </c>
      <c r="E57" s="29" t="n">
        <v>15</v>
      </c>
      <c r="F57" s="29" t="inlineStr">
        <is>
          <t>Feature</t>
        </is>
      </c>
      <c r="G57" s="29" t="inlineStr">
        <is>
          <t>Fixtures, schedules, results, or attributed factual information</t>
        </is>
      </c>
      <c r="H57" s="29" t="inlineStr">
        <is>
          <t>Fixtures, schedules, results, or attributed factual information</t>
        </is>
      </c>
      <c r="I57" s="29" t="inlineStr">
        <is>
          <t>/home/ubuntu/blyp_product_requirements.md :: Section 3 — Interest hubs</t>
        </is>
      </c>
      <c r="J57" s="29" t="inlineStr">
        <is>
          <t>/home/ubuntu/BLYP_COMPLETE_FEATURE_LIST.md:81</t>
        </is>
      </c>
      <c r="K57" s="29" t="inlineStr">
        <is>
          <t>Required</t>
        </is>
      </c>
      <c r="L57" s="29" t="inlineStr">
        <is>
          <t>Applicable BLYP member</t>
        </is>
      </c>
      <c r="M57" s="29" t="inlineStr">
        <is>
          <t>BLYP mobile application and supporting production services</t>
        </is>
      </c>
      <c r="N57" s="29" t="inlineStr">
        <is>
          <t>Fixtures, schedules, results, or attributed factual information</t>
        </is>
      </c>
      <c r="O57" s="29" t="inlineStr">
        <is>
          <t>Not explicitly defined in the product source; requires accountable product approval before production sign-off.</t>
        </is>
      </c>
      <c r="P57" s="29" t="inlineStr"/>
      <c r="Q57" s="29" t="inlineStr">
        <is>
          <t>No evidence</t>
        </is>
      </c>
      <c r="R57" s="29" t="inlineStr"/>
      <c r="S57" s="29" t="inlineStr">
        <is>
          <t>Not found</t>
        </is>
      </c>
      <c r="T57" s="29" t="inlineStr"/>
      <c r="U57" s="29" t="inlineStr"/>
      <c r="V57" s="29" t="inlineStr"/>
      <c r="W57" s="29" t="inlineStr"/>
      <c r="X57" s="29" t="inlineStr"/>
      <c r="Y57" s="29" t="inlineStr"/>
      <c r="Z57" s="29" t="inlineStr"/>
      <c r="AA57" s="29" t="inlineStr"/>
      <c r="AB57" s="29" t="inlineStr"/>
      <c r="AC57" s="29" t="inlineStr"/>
      <c r="AD57" s="29" t="inlineStr"/>
      <c r="AE57" s="29" t="inlineStr">
        <is>
          <t>Unknown</t>
        </is>
      </c>
      <c r="AF57" s="29" t="inlineStr"/>
      <c r="AG57" s="29" t="inlineStr">
        <is>
          <t>Unknown</t>
        </is>
      </c>
      <c r="AH57" s="29" t="inlineStr">
        <is>
          <t>Unknown</t>
        </is>
      </c>
      <c r="AI57" s="29" t="inlineStr">
        <is>
          <t>Searched for hub, interest, category, hashtag, football, formula 1, fixtures, empty state, invite, bot, fake. No concrete implementation found.</t>
        </is>
      </c>
      <c r="AJ57" s="29" t="inlineStr">
        <is>
          <t>Not verified</t>
        </is>
      </c>
      <c r="AK57" s="29" t="inlineStr"/>
      <c r="AL57" s="29" t="inlineStr"/>
      <c r="AM57" s="29" t="inlineStr"/>
      <c r="AN57" s="29" t="inlineStr"/>
      <c r="AO57" s="29" t="inlineStr">
        <is>
          <t>8bc0dcb2a1da1b21368c5536aaeef829d587f316</t>
        </is>
      </c>
      <c r="AP57" s="29" t="inlineStr">
        <is>
          <t>Low</t>
        </is>
      </c>
      <c r="AQ57" s="29" t="inlineStr">
        <is>
          <t>Not assessed</t>
        </is>
      </c>
      <c r="AR57" s="29" t="inlineStr">
        <is>
          <t>Not assessed</t>
        </is>
      </c>
      <c r="AS57" s="29" t="inlineStr">
        <is>
          <t>Not assessed</t>
        </is>
      </c>
      <c r="AT57" s="29" t="inlineStr">
        <is>
          <t>Not assessed</t>
        </is>
      </c>
      <c r="AU57" s="29" t="inlineStr">
        <is>
          <t>Not assessed</t>
        </is>
      </c>
      <c r="AV57" s="29" t="inlineStr">
        <is>
          <t>Not assessed</t>
        </is>
      </c>
      <c r="AW57" s="29" t="inlineStr">
        <is>
          <t>Not assessed</t>
        </is>
      </c>
      <c r="AX57" s="29" t="inlineStr">
        <is>
          <t>Not assessed</t>
        </is>
      </c>
      <c r="AY57" s="29" t="inlineStr">
        <is>
          <t>Not assessed</t>
        </is>
      </c>
      <c r="AZ57" s="29" t="inlineStr">
        <is>
          <t>Not assessed</t>
        </is>
      </c>
      <c r="BA57" s="29" t="inlineStr">
        <is>
          <t>Not assessed</t>
        </is>
      </c>
      <c r="BB57" s="29" t="inlineStr">
        <is>
          <t>Not assessed</t>
        </is>
      </c>
      <c r="BC57" s="29" t="inlineStr">
        <is>
          <t>Not assessed</t>
        </is>
      </c>
      <c r="BD57" s="29" t="inlineStr">
        <is>
          <t>Not assessed</t>
        </is>
      </c>
      <c r="BE57" s="29" t="inlineStr">
        <is>
          <t>Development required</t>
        </is>
      </c>
      <c r="BF57" s="29" t="inlineStr">
        <is>
          <t>Physical implementation is not complete against the stated requirement.; Searched for hub, interest, category, hashtag, football, formula 1, fixtures, empty state, invite, bot, fake. No concrete implementation found.</t>
        </is>
      </c>
      <c r="BG57" s="29" t="inlineStr"/>
      <c r="BH57" s="29" t="inlineStr"/>
      <c r="BI57" s="29" t="inlineStr"/>
      <c r="BJ57" s="29" t="inlineStr"/>
      <c r="BK57" s="29" t="inlineStr">
        <is>
          <t>Evidence reconciled against the reviewed source revision. No production approval is inferred from implementation or file presence.</t>
        </is>
      </c>
      <c r="BL57" s="29" t="inlineStr">
        <is>
          <t>2026-08-02</t>
        </is>
      </c>
    </row>
    <row r="58" ht="42" customHeight="1">
      <c r="A58" s="29" t="inlineStr">
        <is>
          <t>BLYP-03-016</t>
        </is>
      </c>
      <c r="B58" s="29" t="inlineStr"/>
      <c r="C58" s="29" t="inlineStr">
        <is>
          <t>Interest hubs</t>
        </is>
      </c>
      <c r="D58" s="29" t="n">
        <v>3</v>
      </c>
      <c r="E58" s="29" t="n">
        <v>16</v>
      </c>
      <c r="F58" s="29" t="inlineStr">
        <is>
          <t>Feature</t>
        </is>
      </c>
      <c r="G58" s="29" t="inlineStr">
        <is>
          <t>Honest empty-state message for a quiet Interest</t>
        </is>
      </c>
      <c r="H58" s="29" t="inlineStr">
        <is>
          <t>Honest empty-state message for a quiet Interest</t>
        </is>
      </c>
      <c r="I58" s="29" t="inlineStr">
        <is>
          <t>/home/ubuntu/blyp_product_requirements.md :: Section 3 — Interest hubs</t>
        </is>
      </c>
      <c r="J58" s="29" t="inlineStr">
        <is>
          <t>/home/ubuntu/BLYP_COMPLETE_FEATURE_LIST.md:82</t>
        </is>
      </c>
      <c r="K58" s="29" t="inlineStr">
        <is>
          <t>Required</t>
        </is>
      </c>
      <c r="L58" s="29" t="inlineStr">
        <is>
          <t>Applicable BLYP member</t>
        </is>
      </c>
      <c r="M58" s="29" t="inlineStr">
        <is>
          <t>BLYP mobile application and supporting production services</t>
        </is>
      </c>
      <c r="N58" s="29" t="inlineStr">
        <is>
          <t>Honest empty-state message for a quiet Interest</t>
        </is>
      </c>
      <c r="O58" s="29" t="inlineStr">
        <is>
          <t>Not explicitly defined in the product source; requires accountable product approval before production sign-off.</t>
        </is>
      </c>
      <c r="P58" s="29" t="inlineStr"/>
      <c r="Q58" s="29" t="inlineStr">
        <is>
          <t>No evidence</t>
        </is>
      </c>
      <c r="R58" s="29" t="inlineStr"/>
      <c r="S58" s="29" t="inlineStr">
        <is>
          <t>Not found</t>
        </is>
      </c>
      <c r="T58" s="29" t="inlineStr"/>
      <c r="U58" s="29" t="inlineStr"/>
      <c r="V58" s="29" t="inlineStr"/>
      <c r="W58" s="29" t="inlineStr"/>
      <c r="X58" s="29" t="inlineStr"/>
      <c r="Y58" s="29" t="inlineStr"/>
      <c r="Z58" s="29" t="inlineStr"/>
      <c r="AA58" s="29" t="inlineStr"/>
      <c r="AB58" s="29" t="inlineStr"/>
      <c r="AC58" s="29" t="inlineStr"/>
      <c r="AD58" s="29" t="inlineStr"/>
      <c r="AE58" s="29" t="inlineStr">
        <is>
          <t>Unknown</t>
        </is>
      </c>
      <c r="AF58" s="29" t="inlineStr"/>
      <c r="AG58" s="29" t="inlineStr">
        <is>
          <t>Unknown</t>
        </is>
      </c>
      <c r="AH58" s="29" t="inlineStr">
        <is>
          <t>Unknown</t>
        </is>
      </c>
      <c r="AI58" s="29" t="inlineStr">
        <is>
          <t>Searched for hub, interest, category, hashtag, football, formula 1, fixtures, empty state, invite, bot, fake. No concrete implementation found.</t>
        </is>
      </c>
      <c r="AJ58" s="29" t="inlineStr">
        <is>
          <t>Not verified</t>
        </is>
      </c>
      <c r="AK58" s="29" t="inlineStr"/>
      <c r="AL58" s="29" t="inlineStr"/>
      <c r="AM58" s="29" t="inlineStr"/>
      <c r="AN58" s="29" t="inlineStr"/>
      <c r="AO58" s="29" t="inlineStr">
        <is>
          <t>8bc0dcb2a1da1b21368c5536aaeef829d587f316</t>
        </is>
      </c>
      <c r="AP58" s="29" t="inlineStr">
        <is>
          <t>Low</t>
        </is>
      </c>
      <c r="AQ58" s="29" t="inlineStr">
        <is>
          <t>Not assessed</t>
        </is>
      </c>
      <c r="AR58" s="29" t="inlineStr">
        <is>
          <t>Not assessed</t>
        </is>
      </c>
      <c r="AS58" s="29" t="inlineStr">
        <is>
          <t>Not assessed</t>
        </is>
      </c>
      <c r="AT58" s="29" t="inlineStr">
        <is>
          <t>Not assessed</t>
        </is>
      </c>
      <c r="AU58" s="29" t="inlineStr">
        <is>
          <t>Not assessed</t>
        </is>
      </c>
      <c r="AV58" s="29" t="inlineStr">
        <is>
          <t>Not assessed</t>
        </is>
      </c>
      <c r="AW58" s="29" t="inlineStr">
        <is>
          <t>Not assessed</t>
        </is>
      </c>
      <c r="AX58" s="29" t="inlineStr">
        <is>
          <t>Not assessed</t>
        </is>
      </c>
      <c r="AY58" s="29" t="inlineStr">
        <is>
          <t>Not assessed</t>
        </is>
      </c>
      <c r="AZ58" s="29" t="inlineStr">
        <is>
          <t>Not assessed</t>
        </is>
      </c>
      <c r="BA58" s="29" t="inlineStr">
        <is>
          <t>Not assessed</t>
        </is>
      </c>
      <c r="BB58" s="29" t="inlineStr">
        <is>
          <t>Not assessed</t>
        </is>
      </c>
      <c r="BC58" s="29" t="inlineStr">
        <is>
          <t>Not assessed</t>
        </is>
      </c>
      <c r="BD58" s="29" t="inlineStr">
        <is>
          <t>Not assessed</t>
        </is>
      </c>
      <c r="BE58" s="29" t="inlineStr">
        <is>
          <t>Development required</t>
        </is>
      </c>
      <c r="BF58" s="29" t="inlineStr">
        <is>
          <t>Physical implementation is not complete against the stated requirement.; Searched for hub, interest, category, hashtag, football, formula 1, fixtures, empty state, invite, bot, fake. No concrete implementation found.</t>
        </is>
      </c>
      <c r="BG58" s="29" t="inlineStr"/>
      <c r="BH58" s="29" t="inlineStr"/>
      <c r="BI58" s="29" t="inlineStr"/>
      <c r="BJ58" s="29" t="inlineStr"/>
      <c r="BK58" s="29" t="inlineStr">
        <is>
          <t>Evidence reconciled against the reviewed source revision. No production approval is inferred from implementation or file presence.</t>
        </is>
      </c>
      <c r="BL58" s="29" t="inlineStr">
        <is>
          <t>2026-08-02</t>
        </is>
      </c>
    </row>
    <row r="59" ht="42" customHeight="1">
      <c r="A59" s="29" t="inlineStr">
        <is>
          <t>BLYP-03-017</t>
        </is>
      </c>
      <c r="B59" s="29" t="inlineStr"/>
      <c r="C59" s="29" t="inlineStr">
        <is>
          <t>Interest hubs</t>
        </is>
      </c>
      <c r="D59" s="29" t="n">
        <v>3</v>
      </c>
      <c r="E59" s="29" t="n">
        <v>17</v>
      </c>
      <c r="F59" s="29" t="inlineStr">
        <is>
          <t>Feature</t>
        </is>
      </c>
      <c r="G59" s="29" t="inlineStr">
        <is>
          <t>Invite real creators to an Interest</t>
        </is>
      </c>
      <c r="H59" s="29" t="inlineStr">
        <is>
          <t>Invite real creators to an Interest</t>
        </is>
      </c>
      <c r="I59" s="29" t="inlineStr">
        <is>
          <t>/home/ubuntu/blyp_product_requirements.md :: Section 3 — Interest hubs</t>
        </is>
      </c>
      <c r="J59" s="29" t="inlineStr">
        <is>
          <t>/home/ubuntu/BLYP_COMPLETE_FEATURE_LIST.md:83</t>
        </is>
      </c>
      <c r="K59" s="29" t="inlineStr">
        <is>
          <t>Required</t>
        </is>
      </c>
      <c r="L59" s="29" t="inlineStr">
        <is>
          <t>Authenticated creator or host</t>
        </is>
      </c>
      <c r="M59" s="29" t="inlineStr">
        <is>
          <t>BLYP mobile application and supporting production services</t>
        </is>
      </c>
      <c r="N59" s="29" t="inlineStr">
        <is>
          <t>Invite real creators to an Interest</t>
        </is>
      </c>
      <c r="O59" s="29" t="inlineStr">
        <is>
          <t>Not explicitly defined in the product source; requires accountable product approval before production sign-off.</t>
        </is>
      </c>
      <c r="P59" s="29" t="inlineStr"/>
      <c r="Q59" s="29" t="inlineStr">
        <is>
          <t>No evidence</t>
        </is>
      </c>
      <c r="R59" s="29" t="inlineStr"/>
      <c r="S59" s="29" t="inlineStr">
        <is>
          <t>Not found</t>
        </is>
      </c>
      <c r="T59" s="29" t="inlineStr"/>
      <c r="U59" s="29" t="inlineStr"/>
      <c r="V59" s="29" t="inlineStr"/>
      <c r="W59" s="29" t="inlineStr"/>
      <c r="X59" s="29" t="inlineStr"/>
      <c r="Y59" s="29" t="inlineStr"/>
      <c r="Z59" s="29" t="inlineStr"/>
      <c r="AA59" s="29" t="inlineStr"/>
      <c r="AB59" s="29" t="inlineStr"/>
      <c r="AC59" s="29" t="inlineStr"/>
      <c r="AD59" s="29" t="inlineStr"/>
      <c r="AE59" s="29" t="inlineStr">
        <is>
          <t>Unknown</t>
        </is>
      </c>
      <c r="AF59" s="29" t="inlineStr"/>
      <c r="AG59" s="29" t="inlineStr">
        <is>
          <t>Unknown</t>
        </is>
      </c>
      <c r="AH59" s="29" t="inlineStr">
        <is>
          <t>Unknown</t>
        </is>
      </c>
      <c r="AI59" s="29" t="inlineStr">
        <is>
          <t>Searched for hub, interest, category, hashtag, football, formula 1, fixtures, empty state, invite, bot, fake. No concrete implementation found.</t>
        </is>
      </c>
      <c r="AJ59" s="29" t="inlineStr">
        <is>
          <t>Not verified</t>
        </is>
      </c>
      <c r="AK59" s="29" t="inlineStr"/>
      <c r="AL59" s="29" t="inlineStr"/>
      <c r="AM59" s="29" t="inlineStr"/>
      <c r="AN59" s="29" t="inlineStr"/>
      <c r="AO59" s="29" t="inlineStr">
        <is>
          <t>8bc0dcb2a1da1b21368c5536aaeef829d587f316</t>
        </is>
      </c>
      <c r="AP59" s="29" t="inlineStr">
        <is>
          <t>Low</t>
        </is>
      </c>
      <c r="AQ59" s="29" t="inlineStr">
        <is>
          <t>Not assessed</t>
        </is>
      </c>
      <c r="AR59" s="29" t="inlineStr">
        <is>
          <t>Not assessed</t>
        </is>
      </c>
      <c r="AS59" s="29" t="inlineStr">
        <is>
          <t>Not assessed</t>
        </is>
      </c>
      <c r="AT59" s="29" t="inlineStr">
        <is>
          <t>Not assessed</t>
        </is>
      </c>
      <c r="AU59" s="29" t="inlineStr">
        <is>
          <t>Not assessed</t>
        </is>
      </c>
      <c r="AV59" s="29" t="inlineStr">
        <is>
          <t>Not assessed</t>
        </is>
      </c>
      <c r="AW59" s="29" t="inlineStr">
        <is>
          <t>Not assessed</t>
        </is>
      </c>
      <c r="AX59" s="29" t="inlineStr">
        <is>
          <t>Not assessed</t>
        </is>
      </c>
      <c r="AY59" s="29" t="inlineStr">
        <is>
          <t>Not assessed</t>
        </is>
      </c>
      <c r="AZ59" s="29" t="inlineStr">
        <is>
          <t>Not assessed</t>
        </is>
      </c>
      <c r="BA59" s="29" t="inlineStr">
        <is>
          <t>Not assessed</t>
        </is>
      </c>
      <c r="BB59" s="29" t="inlineStr">
        <is>
          <t>Not assessed</t>
        </is>
      </c>
      <c r="BC59" s="29" t="inlineStr">
        <is>
          <t>Not assessed</t>
        </is>
      </c>
      <c r="BD59" s="29" t="inlineStr">
        <is>
          <t>Not assessed</t>
        </is>
      </c>
      <c r="BE59" s="29" t="inlineStr">
        <is>
          <t>Development required</t>
        </is>
      </c>
      <c r="BF59" s="29" t="inlineStr">
        <is>
          <t>Physical implementation is not complete against the stated requirement.; Searched for hub, interest, category, hashtag, football, formula 1, fixtures, empty state, invite, bot, fake. No concrete implementation found.</t>
        </is>
      </c>
      <c r="BG59" s="29" t="inlineStr"/>
      <c r="BH59" s="29" t="inlineStr"/>
      <c r="BI59" s="29" t="inlineStr"/>
      <c r="BJ59" s="29" t="inlineStr"/>
      <c r="BK59" s="29" t="inlineStr">
        <is>
          <t>Evidence reconciled against the reviewed source revision. No production approval is inferred from implementation or file presence.</t>
        </is>
      </c>
      <c r="BL59" s="29" t="inlineStr">
        <is>
          <t>2026-08-02</t>
        </is>
      </c>
    </row>
    <row r="60" ht="42" customHeight="1">
      <c r="A60" s="29" t="inlineStr">
        <is>
          <t>BLYP-03-018</t>
        </is>
      </c>
      <c r="B60" s="29" t="inlineStr"/>
      <c r="C60" s="29" t="inlineStr">
        <is>
          <t>Interest hubs</t>
        </is>
      </c>
      <c r="D60" s="29" t="n">
        <v>3</v>
      </c>
      <c r="E60" s="29" t="n">
        <v>18</v>
      </c>
      <c r="F60" s="29" t="inlineStr">
        <is>
          <t>Feature</t>
        </is>
      </c>
      <c r="G60" s="29" t="inlineStr">
        <is>
          <t>Create the first content in a quiet Interest</t>
        </is>
      </c>
      <c r="H60" s="29" t="inlineStr">
        <is>
          <t>Create the first content in a quiet Interest</t>
        </is>
      </c>
      <c r="I60" s="29" t="inlineStr">
        <is>
          <t>/home/ubuntu/blyp_product_requirements.md :: Section 3 — Interest hubs</t>
        </is>
      </c>
      <c r="J60" s="29" t="inlineStr">
        <is>
          <t>/home/ubuntu/BLYP_COMPLETE_FEATURE_LIST.md:84</t>
        </is>
      </c>
      <c r="K60" s="29" t="inlineStr">
        <is>
          <t>Required</t>
        </is>
      </c>
      <c r="L60" s="29" t="inlineStr">
        <is>
          <t>Applicable BLYP member</t>
        </is>
      </c>
      <c r="M60" s="29" t="inlineStr">
        <is>
          <t>BLYP mobile application and supporting production services</t>
        </is>
      </c>
      <c r="N60" s="29" t="inlineStr">
        <is>
          <t>Create the first content in a quiet Interest</t>
        </is>
      </c>
      <c r="O60" s="29" t="inlineStr">
        <is>
          <t>Not explicitly defined in the product source; requires accountable product approval before production sign-off.</t>
        </is>
      </c>
      <c r="P60" s="29" t="inlineStr"/>
      <c r="Q60" s="29" t="inlineStr">
        <is>
          <t>Partial</t>
        </is>
      </c>
      <c r="R60" s="29" t="inlineStr">
        <is>
          <t>general posting exists, but the hub-specific journey is not proven.</t>
        </is>
      </c>
      <c r="S60" s="29" t="inlineStr">
        <is>
          <t>Not found</t>
        </is>
      </c>
      <c r="T60" s="29" t="inlineStr"/>
      <c r="U60" s="29" t="inlineStr"/>
      <c r="V60" s="29" t="inlineStr"/>
      <c r="W60" s="29" t="inlineStr"/>
      <c r="X60" s="29" t="inlineStr"/>
      <c r="Y60" s="29" t="inlineStr"/>
      <c r="Z60" s="29" t="inlineStr"/>
      <c r="AA60" s="29" t="inlineStr"/>
      <c r="AB60" s="29" t="inlineStr"/>
      <c r="AC60" s="29" t="inlineStr"/>
      <c r="AD60" s="29" t="inlineStr"/>
      <c r="AE60" s="29" t="inlineStr">
        <is>
          <t>Unknown</t>
        </is>
      </c>
      <c r="AF60" s="29" t="inlineStr"/>
      <c r="AG60" s="29" t="inlineStr">
        <is>
          <t>Unknown</t>
        </is>
      </c>
      <c r="AH60" s="29" t="inlineStr">
        <is>
          <t>Unknown</t>
        </is>
      </c>
      <c r="AI60" s="29" t="inlineStr">
        <is>
          <t>Searched for hub, interest, category, hashtag, football, formula 1, fixtures, empty state, invite, bot, fake. No concrete implementation found.</t>
        </is>
      </c>
      <c r="AJ60" s="29" t="inlineStr">
        <is>
          <t>Not verified</t>
        </is>
      </c>
      <c r="AK60" s="29" t="inlineStr"/>
      <c r="AL60" s="29" t="inlineStr"/>
      <c r="AM60" s="29" t="inlineStr"/>
      <c r="AN60" s="29" t="inlineStr"/>
      <c r="AO60" s="29" t="inlineStr">
        <is>
          <t>8bc0dcb2a1da1b21368c5536aaeef829d587f316</t>
        </is>
      </c>
      <c r="AP60" s="29" t="inlineStr">
        <is>
          <t>Low</t>
        </is>
      </c>
      <c r="AQ60" s="29" t="inlineStr">
        <is>
          <t>Not assessed</t>
        </is>
      </c>
      <c r="AR60" s="29" t="inlineStr">
        <is>
          <t>Not assessed</t>
        </is>
      </c>
      <c r="AS60" s="29" t="inlineStr">
        <is>
          <t>Not assessed</t>
        </is>
      </c>
      <c r="AT60" s="29" t="inlineStr">
        <is>
          <t>Not assessed</t>
        </is>
      </c>
      <c r="AU60" s="29" t="inlineStr">
        <is>
          <t>Not assessed</t>
        </is>
      </c>
      <c r="AV60" s="29" t="inlineStr">
        <is>
          <t>Not assessed</t>
        </is>
      </c>
      <c r="AW60" s="29" t="inlineStr">
        <is>
          <t>Not assessed</t>
        </is>
      </c>
      <c r="AX60" s="29" t="inlineStr">
        <is>
          <t>Not assessed</t>
        </is>
      </c>
      <c r="AY60" s="29" t="inlineStr">
        <is>
          <t>Not assessed</t>
        </is>
      </c>
      <c r="AZ60" s="29" t="inlineStr">
        <is>
          <t>Not assessed</t>
        </is>
      </c>
      <c r="BA60" s="29" t="inlineStr">
        <is>
          <t>Not assessed</t>
        </is>
      </c>
      <c r="BB60" s="29" t="inlineStr">
        <is>
          <t>Not assessed</t>
        </is>
      </c>
      <c r="BC60" s="29" t="inlineStr">
        <is>
          <t>Not assessed</t>
        </is>
      </c>
      <c r="BD60" s="29" t="inlineStr">
        <is>
          <t>Not assessed</t>
        </is>
      </c>
      <c r="BE60" s="29" t="inlineStr">
        <is>
          <t>Development required</t>
        </is>
      </c>
      <c r="BF60" s="29" t="inlineStr">
        <is>
          <t>Physical implementation is not complete against the stated requirement.; Searched for hub, interest, category, hashtag, football, formula 1, fixtures, empty state, invite, bot, fake. No concrete implementation found.</t>
        </is>
      </c>
      <c r="BG60" s="29" t="inlineStr"/>
      <c r="BH60" s="29" t="inlineStr"/>
      <c r="BI60" s="29" t="inlineStr"/>
      <c r="BJ60" s="29" t="inlineStr"/>
      <c r="BK60" s="29" t="inlineStr">
        <is>
          <t>Evidence reconciled against the reviewed source revision. No production approval is inferred from implementation or file presence.</t>
        </is>
      </c>
      <c r="BL60" s="29" t="inlineStr">
        <is>
          <t>2026-08-02</t>
        </is>
      </c>
    </row>
    <row r="61" ht="42" customHeight="1">
      <c r="A61" s="29" t="inlineStr">
        <is>
          <t>BLYP-03-019</t>
        </is>
      </c>
      <c r="B61" s="29" t="inlineStr"/>
      <c r="C61" s="29" t="inlineStr">
        <is>
          <t>Interest hubs</t>
        </is>
      </c>
      <c r="D61" s="29" t="n">
        <v>3</v>
      </c>
      <c r="E61" s="29" t="n">
        <v>19</v>
      </c>
      <c r="F61" s="29" t="inlineStr">
        <is>
          <t>Rule</t>
        </is>
      </c>
      <c r="G61" s="29" t="inlineStr">
        <is>
          <t>No bots, fake accounts, fake posts, fake engagement, or misleading counts</t>
        </is>
      </c>
      <c r="H61" s="29" t="inlineStr">
        <is>
          <t>No bots, fake accounts, fake posts, fake engagement, or misleading counts</t>
        </is>
      </c>
      <c r="I61" s="29" t="inlineStr">
        <is>
          <t>/home/ubuntu/blyp_product_requirements.md :: Section 3 — Interest hubs</t>
        </is>
      </c>
      <c r="J61" s="29" t="inlineStr">
        <is>
          <t>/home/ubuntu/BLYP_COMPLETE_FEATURE_LIST.md:85</t>
        </is>
      </c>
      <c r="K61" s="29" t="inlineStr">
        <is>
          <t>Required</t>
        </is>
      </c>
      <c r="L61" s="29" t="inlineStr">
        <is>
          <t>Applicable BLYP member</t>
        </is>
      </c>
      <c r="M61" s="29" t="inlineStr">
        <is>
          <t>BLYP mobile application and supporting production services</t>
        </is>
      </c>
      <c r="N61" s="29" t="inlineStr">
        <is>
          <t>No bots, fake accounts, fake posts, fake engagement, or misleading counts</t>
        </is>
      </c>
      <c r="O61" s="29" t="inlineStr">
        <is>
          <t>Not explicitly defined in the product source; requires accountable product approval before production sign-off.</t>
        </is>
      </c>
      <c r="P61" s="29" t="inlineStr"/>
      <c r="Q61" s="29" t="inlineStr">
        <is>
          <t>No</t>
        </is>
      </c>
      <c r="R61" s="29" t="inlineStr">
        <is>
          <t>manufactured fallback content and randomised counts were found.</t>
        </is>
      </c>
      <c r="S61" s="29" t="inlineStr">
        <is>
          <t>Not found</t>
        </is>
      </c>
      <c r="T61" s="29" t="inlineStr"/>
      <c r="U61" s="29" t="inlineStr"/>
      <c r="V61" s="29" t="inlineStr"/>
      <c r="W61" s="29" t="inlineStr"/>
      <c r="X61" s="29" t="inlineStr"/>
      <c r="Y61" s="29" t="inlineStr"/>
      <c r="Z61" s="29" t="inlineStr"/>
      <c r="AA61" s="29" t="inlineStr"/>
      <c r="AB61" s="29" t="inlineStr"/>
      <c r="AC61" s="29" t="inlineStr"/>
      <c r="AD61" s="29" t="inlineStr"/>
      <c r="AE61" s="29" t="inlineStr">
        <is>
          <t>Unknown</t>
        </is>
      </c>
      <c r="AF61" s="29" t="inlineStr"/>
      <c r="AG61" s="29" t="inlineStr">
        <is>
          <t>Unknown</t>
        </is>
      </c>
      <c r="AH61" s="29" t="inlineStr">
        <is>
          <t>Unknown</t>
        </is>
      </c>
      <c r="AI61" s="29" t="inlineStr">
        <is>
          <t>Found manufactured fallback content and randomised counts.</t>
        </is>
      </c>
      <c r="AJ61" s="29" t="inlineStr">
        <is>
          <t>Not verified</t>
        </is>
      </c>
      <c r="AK61" s="29" t="inlineStr">
        <is>
          <t>EV-03-0002</t>
        </is>
      </c>
      <c r="AL61" s="29" t="inlineStr"/>
      <c r="AM61" s="29" t="inlineStr"/>
      <c r="AN61" s="29" t="inlineStr"/>
      <c r="AO61" s="29" t="inlineStr">
        <is>
          <t>8bc0dcb2a1da1b21368c5536aaeef829d587f316</t>
        </is>
      </c>
      <c r="AP61" s="29" t="inlineStr">
        <is>
          <t>Low</t>
        </is>
      </c>
      <c r="AQ61" s="29" t="inlineStr">
        <is>
          <t>Not assessed</t>
        </is>
      </c>
      <c r="AR61" s="29" t="inlineStr">
        <is>
          <t>Not assessed</t>
        </is>
      </c>
      <c r="AS61" s="29" t="inlineStr">
        <is>
          <t>Not assessed</t>
        </is>
      </c>
      <c r="AT61" s="29" t="inlineStr">
        <is>
          <t>Not assessed</t>
        </is>
      </c>
      <c r="AU61" s="29" t="inlineStr">
        <is>
          <t>Not assessed</t>
        </is>
      </c>
      <c r="AV61" s="29" t="inlineStr">
        <is>
          <t>Not assessed</t>
        </is>
      </c>
      <c r="AW61" s="29" t="inlineStr">
        <is>
          <t>Not assessed</t>
        </is>
      </c>
      <c r="AX61" s="29" t="inlineStr">
        <is>
          <t>Not assessed</t>
        </is>
      </c>
      <c r="AY61" s="29" t="inlineStr">
        <is>
          <t>Not assessed</t>
        </is>
      </c>
      <c r="AZ61" s="29" t="inlineStr">
        <is>
          <t>Not assessed</t>
        </is>
      </c>
      <c r="BA61" s="29" t="inlineStr">
        <is>
          <t>Not assessed</t>
        </is>
      </c>
      <c r="BB61" s="29" t="inlineStr">
        <is>
          <t>Not assessed</t>
        </is>
      </c>
      <c r="BC61" s="29" t="inlineStr">
        <is>
          <t>Not assessed</t>
        </is>
      </c>
      <c r="BD61" s="29" t="inlineStr">
        <is>
          <t>Not assessed</t>
        </is>
      </c>
      <c r="BE61" s="29" t="inlineStr">
        <is>
          <t>Development required</t>
        </is>
      </c>
      <c r="BF61" s="29" t="inlineStr">
        <is>
          <t>Physical implementation is not complete against the stated requirement.; Found manufactured fallback content and randomised counts.</t>
        </is>
      </c>
      <c r="BG61" s="29" t="inlineStr"/>
      <c r="BH61" s="29" t="inlineStr"/>
      <c r="BI61" s="29" t="inlineStr"/>
      <c r="BJ61" s="29" t="inlineStr"/>
      <c r="BK61" s="29" t="inlineStr">
        <is>
          <t>Evidence reconciled against the reviewed source revision. No production approval is inferred from implementation or file presence.</t>
        </is>
      </c>
      <c r="BL61" s="29" t="inlineStr">
        <is>
          <t>2026-08-02</t>
        </is>
      </c>
    </row>
    <row r="62" ht="42" customHeight="1">
      <c r="A62" s="29" t="inlineStr">
        <is>
          <t>BLYP-04-001</t>
        </is>
      </c>
      <c r="B62" s="29" t="inlineStr"/>
      <c r="C62" s="29" t="inlineStr">
        <is>
          <t>Always-on communal topic live rooms</t>
        </is>
      </c>
      <c r="D62" s="29" t="n">
        <v>4</v>
      </c>
      <c r="E62" s="29" t="n">
        <v>1</v>
      </c>
      <c r="F62" s="29" t="inlineStr">
        <is>
          <t>Feature</t>
        </is>
      </c>
      <c r="G62" s="29" t="inlineStr">
        <is>
          <t>Always-available Interest live room</t>
        </is>
      </c>
      <c r="H62" s="29" t="inlineStr">
        <is>
          <t>Always-available Interest live room</t>
        </is>
      </c>
      <c r="I62" s="29" t="inlineStr">
        <is>
          <t>/home/ubuntu/blyp_product_requirements.md :: Section 4 — Always-on communal topic live rooms</t>
        </is>
      </c>
      <c r="J62" s="29" t="inlineStr">
        <is>
          <t>/home/ubuntu/BLYP_COMPLETE_FEATURE_LIST.md:91</t>
        </is>
      </c>
      <c r="K62" s="29" t="inlineStr">
        <is>
          <t>Required</t>
        </is>
      </c>
      <c r="L62" s="29" t="inlineStr">
        <is>
          <t>Applicable BLYP member</t>
        </is>
      </c>
      <c r="M62" s="29" t="inlineStr">
        <is>
          <t>BLYP mobile application and supporting production services</t>
        </is>
      </c>
      <c r="N62" s="29" t="inlineStr">
        <is>
          <t>Always-available Interest live room</t>
        </is>
      </c>
      <c r="O62" s="29" t="inlineStr">
        <is>
          <t>Not explicitly defined in the product source; requires accountable product approval before production sign-off.</t>
        </is>
      </c>
      <c r="P62" s="29" t="inlineStr"/>
      <c r="Q62" s="29" t="inlineStr">
        <is>
          <t>No evidence</t>
        </is>
      </c>
      <c r="R62" s="29" t="inlineStr"/>
      <c r="S62" s="29" t="inlineStr">
        <is>
          <t>Unknown</t>
        </is>
      </c>
      <c r="T62" s="29" t="inlineStr">
        <is>
          <t>Unknown</t>
        </is>
      </c>
      <c r="U62" s="29" t="inlineStr">
        <is>
          <t>Unknown</t>
        </is>
      </c>
      <c r="V62" s="29" t="inlineStr">
        <is>
          <t>Unknown</t>
        </is>
      </c>
      <c r="W62" s="29" t="inlineStr">
        <is>
          <t>Unknown</t>
        </is>
      </c>
      <c r="X62" s="29" t="inlineStr">
        <is>
          <t>Unknown</t>
        </is>
      </c>
      <c r="Y62" s="29" t="inlineStr">
        <is>
          <t>Unknown</t>
        </is>
      </c>
      <c r="Z62" s="29" t="inlineStr">
        <is>
          <t>Unknown</t>
        </is>
      </c>
      <c r="AA62" s="29" t="inlineStr">
        <is>
          <t>Unknown</t>
        </is>
      </c>
      <c r="AB62" s="29" t="inlineStr">
        <is>
          <t>Unknown</t>
        </is>
      </c>
      <c r="AC62" s="29" t="inlineStr"/>
      <c r="AD62" s="29" t="inlineStr"/>
      <c r="AE62" s="29" t="inlineStr">
        <is>
          <t>Unknown</t>
        </is>
      </c>
      <c r="AF62" s="29" t="inlineStr">
        <is>
          <t>No exact feature-level physical path was resolved from the reviewed evidence.</t>
        </is>
      </c>
      <c r="AG62" s="29" t="inlineStr">
        <is>
          <t>Unknown</t>
        </is>
      </c>
      <c r="AH62" s="29" t="inlineStr">
        <is>
          <t>Unknown</t>
        </is>
      </c>
      <c r="AI62" s="29" t="inlineStr">
        <is>
          <t>Searched src/; A prior area review labelled this 'Partial', but did not supply a feature-level physical mapping; the authoritative state is therefore Unknown.</t>
        </is>
      </c>
      <c r="AJ62" s="29" t="inlineStr">
        <is>
          <t>Unknown</t>
        </is>
      </c>
      <c r="AK62" s="29" t="inlineStr">
        <is>
          <t>EV-04-0001</t>
        </is>
      </c>
      <c r="AL62" s="29" t="inlineStr"/>
      <c r="AM62" s="29" t="inlineStr"/>
      <c r="AN62" s="29" t="inlineStr"/>
      <c r="AO62" s="29" t="inlineStr">
        <is>
          <t>8bc0dcb2a1da1b21368c5536aaeef829d587f316</t>
        </is>
      </c>
      <c r="AP62" s="29" t="inlineStr">
        <is>
          <t>Low</t>
        </is>
      </c>
      <c r="AQ62" s="29" t="inlineStr">
        <is>
          <t>Not assessed</t>
        </is>
      </c>
      <c r="AR62" s="29" t="inlineStr">
        <is>
          <t>Not assessed</t>
        </is>
      </c>
      <c r="AS62" s="29" t="inlineStr">
        <is>
          <t>Not assessed</t>
        </is>
      </c>
      <c r="AT62" s="29" t="inlineStr">
        <is>
          <t>Not assessed</t>
        </is>
      </c>
      <c r="AU62" s="29" t="inlineStr">
        <is>
          <t>Not assessed</t>
        </is>
      </c>
      <c r="AV62" s="29" t="inlineStr">
        <is>
          <t>Not assessed</t>
        </is>
      </c>
      <c r="AW62" s="29" t="inlineStr">
        <is>
          <t>Not assessed</t>
        </is>
      </c>
      <c r="AX62" s="29" t="inlineStr">
        <is>
          <t>Not assessed</t>
        </is>
      </c>
      <c r="AY62" s="29" t="inlineStr">
        <is>
          <t>Not assessed</t>
        </is>
      </c>
      <c r="AZ62" s="29" t="inlineStr">
        <is>
          <t>Not assessed</t>
        </is>
      </c>
      <c r="BA62" s="29" t="inlineStr">
        <is>
          <t>Not assessed</t>
        </is>
      </c>
      <c r="BB62" s="29" t="inlineStr">
        <is>
          <t>Not assessed</t>
        </is>
      </c>
      <c r="BC62" s="29" t="inlineStr">
        <is>
          <t>Not assessed</t>
        </is>
      </c>
      <c r="BD62" s="29" t="inlineStr">
        <is>
          <t>Not assessed</t>
        </is>
      </c>
      <c r="BE62" s="29" t="inlineStr">
        <is>
          <t>Not assessed</t>
        </is>
      </c>
      <c r="BF62" s="29" t="inlineStr">
        <is>
          <t>Production readiness cannot be assessed until the exact physical implementation and runtime path are traced.</t>
        </is>
      </c>
      <c r="BG62" s="29" t="inlineStr">
        <is>
          <t>Map the feature to exact client, server, data, worker and configuration locations, then verify its runtime path.</t>
        </is>
      </c>
      <c r="BH62" s="29" t="inlineStr"/>
      <c r="BI62" s="29" t="inlineStr"/>
      <c r="BJ62" s="29" t="inlineStr"/>
      <c r="BK62" s="29" t="inlineStr">
        <is>
          <t>Evidence reconciled against the reviewed source revision. No production approval is inferred from implementation or file presence.</t>
        </is>
      </c>
      <c r="BL62" s="29" t="inlineStr">
        <is>
          <t>2026-08-02</t>
        </is>
      </c>
    </row>
    <row r="63" ht="42" customHeight="1">
      <c r="A63" s="29" t="inlineStr">
        <is>
          <t>BLYP-04-002</t>
        </is>
      </c>
      <c r="B63" s="29" t="inlineStr"/>
      <c r="C63" s="29" t="inlineStr">
        <is>
          <t>Always-on communal topic live rooms</t>
        </is>
      </c>
      <c r="D63" s="29" t="n">
        <v>4</v>
      </c>
      <c r="E63" s="29" t="n">
        <v>2</v>
      </c>
      <c r="F63" s="29" t="inlineStr">
        <is>
          <t>Rule</t>
        </is>
      </c>
      <c r="G63" s="29" t="inlineStr">
        <is>
          <t>Community-owned room with no permanent host</t>
        </is>
      </c>
      <c r="H63" s="29" t="inlineStr">
        <is>
          <t>Community-owned room with no permanent host</t>
        </is>
      </c>
      <c r="I63" s="29" t="inlineStr">
        <is>
          <t>/home/ubuntu/blyp_product_requirements.md :: Section 4 — Always-on communal topic live rooms</t>
        </is>
      </c>
      <c r="J63" s="29" t="inlineStr">
        <is>
          <t>/home/ubuntu/BLYP_COMPLETE_FEATURE_LIST.md:92</t>
        </is>
      </c>
      <c r="K63" s="29" t="inlineStr">
        <is>
          <t>Required</t>
        </is>
      </c>
      <c r="L63" s="29" t="inlineStr">
        <is>
          <t>Authenticated creator or host</t>
        </is>
      </c>
      <c r="M63" s="29" t="inlineStr">
        <is>
          <t>BLYP mobile application and supporting production services</t>
        </is>
      </c>
      <c r="N63" s="29" t="inlineStr">
        <is>
          <t>Community-owned room with no permanent host</t>
        </is>
      </c>
      <c r="O63" s="29" t="inlineStr">
        <is>
          <t>Not explicitly defined in the product source; requires accountable product approval before production sign-off.</t>
        </is>
      </c>
      <c r="P63" s="29" t="inlineStr"/>
      <c r="Q63" s="29" t="inlineStr">
        <is>
          <t>No evidence</t>
        </is>
      </c>
      <c r="R63" s="29" t="inlineStr"/>
      <c r="S63" s="29" t="inlineStr">
        <is>
          <t>Unknown</t>
        </is>
      </c>
      <c r="T63" s="29" t="inlineStr">
        <is>
          <t>Unknown</t>
        </is>
      </c>
      <c r="U63" s="29" t="inlineStr">
        <is>
          <t>Unknown</t>
        </is>
      </c>
      <c r="V63" s="29" t="inlineStr">
        <is>
          <t>Unknown</t>
        </is>
      </c>
      <c r="W63" s="29" t="inlineStr">
        <is>
          <t>Unknown</t>
        </is>
      </c>
      <c r="X63" s="29" t="inlineStr">
        <is>
          <t>Unknown</t>
        </is>
      </c>
      <c r="Y63" s="29" t="inlineStr">
        <is>
          <t>Unknown</t>
        </is>
      </c>
      <c r="Z63" s="29" t="inlineStr">
        <is>
          <t>Unknown</t>
        </is>
      </c>
      <c r="AA63" s="29" t="inlineStr">
        <is>
          <t>Unknown</t>
        </is>
      </c>
      <c r="AB63" s="29" t="inlineStr">
        <is>
          <t>Unknown</t>
        </is>
      </c>
      <c r="AC63" s="29" t="inlineStr"/>
      <c r="AD63" s="29" t="inlineStr"/>
      <c r="AE63" s="29" t="inlineStr">
        <is>
          <t>Unknown</t>
        </is>
      </c>
      <c r="AF63" s="29" t="inlineStr">
        <is>
          <t>No exact feature-level physical path was resolved from the reviewed evidence.</t>
        </is>
      </c>
      <c r="AG63" s="29" t="inlineStr">
        <is>
          <t>Unknown</t>
        </is>
      </c>
      <c r="AH63" s="29" t="inlineStr">
        <is>
          <t>Unknown</t>
        </is>
      </c>
      <c r="AI63" s="29" t="inlineStr">
        <is>
          <t>Searched src/; A prior area review labelled this 'Partial', but did not supply a feature-level physical mapping; the authoritative state is therefore Unknown.</t>
        </is>
      </c>
      <c r="AJ63" s="29" t="inlineStr">
        <is>
          <t>Unknown</t>
        </is>
      </c>
      <c r="AK63" s="29" t="inlineStr">
        <is>
          <t>EV-04-0002</t>
        </is>
      </c>
      <c r="AL63" s="29" t="inlineStr"/>
      <c r="AM63" s="29" t="inlineStr"/>
      <c r="AN63" s="29" t="inlineStr"/>
      <c r="AO63" s="29" t="inlineStr">
        <is>
          <t>8bc0dcb2a1da1b21368c5536aaeef829d587f316</t>
        </is>
      </c>
      <c r="AP63" s="29" t="inlineStr">
        <is>
          <t>Low</t>
        </is>
      </c>
      <c r="AQ63" s="29" t="inlineStr">
        <is>
          <t>Not assessed</t>
        </is>
      </c>
      <c r="AR63" s="29" t="inlineStr">
        <is>
          <t>Not assessed</t>
        </is>
      </c>
      <c r="AS63" s="29" t="inlineStr">
        <is>
          <t>Not assessed</t>
        </is>
      </c>
      <c r="AT63" s="29" t="inlineStr">
        <is>
          <t>Not assessed</t>
        </is>
      </c>
      <c r="AU63" s="29" t="inlineStr">
        <is>
          <t>Not assessed</t>
        </is>
      </c>
      <c r="AV63" s="29" t="inlineStr">
        <is>
          <t>Not assessed</t>
        </is>
      </c>
      <c r="AW63" s="29" t="inlineStr">
        <is>
          <t>Not assessed</t>
        </is>
      </c>
      <c r="AX63" s="29" t="inlineStr">
        <is>
          <t>Not assessed</t>
        </is>
      </c>
      <c r="AY63" s="29" t="inlineStr">
        <is>
          <t>Not assessed</t>
        </is>
      </c>
      <c r="AZ63" s="29" t="inlineStr">
        <is>
          <t>Not assessed</t>
        </is>
      </c>
      <c r="BA63" s="29" t="inlineStr">
        <is>
          <t>Not assessed</t>
        </is>
      </c>
      <c r="BB63" s="29" t="inlineStr">
        <is>
          <t>Not assessed</t>
        </is>
      </c>
      <c r="BC63" s="29" t="inlineStr">
        <is>
          <t>Not assessed</t>
        </is>
      </c>
      <c r="BD63" s="29" t="inlineStr">
        <is>
          <t>Not assessed</t>
        </is>
      </c>
      <c r="BE63" s="29" t="inlineStr">
        <is>
          <t>Not assessed</t>
        </is>
      </c>
      <c r="BF63" s="29" t="inlineStr">
        <is>
          <t>Production readiness cannot be assessed until the exact physical implementation and runtime path are traced.</t>
        </is>
      </c>
      <c r="BG63" s="29" t="inlineStr">
        <is>
          <t>Map the feature to exact client, server, data, worker and configuration locations, then verify its runtime path.</t>
        </is>
      </c>
      <c r="BH63" s="29" t="inlineStr"/>
      <c r="BI63" s="29" t="inlineStr"/>
      <c r="BJ63" s="29" t="inlineStr"/>
      <c r="BK63" s="29" t="inlineStr">
        <is>
          <t>Evidence reconciled against the reviewed source revision. No production approval is inferred from implementation or file presence.</t>
        </is>
      </c>
      <c r="BL63" s="29" t="inlineStr">
        <is>
          <t>2026-08-02</t>
        </is>
      </c>
    </row>
    <row r="64" ht="42" customHeight="1">
      <c r="A64" s="29" t="inlineStr">
        <is>
          <t>BLYP-04-003</t>
        </is>
      </c>
      <c r="B64" s="29" t="inlineStr"/>
      <c r="C64" s="29" t="inlineStr">
        <is>
          <t>Always-on communal topic live rooms</t>
        </is>
      </c>
      <c r="D64" s="29" t="n">
        <v>4</v>
      </c>
      <c r="E64" s="29" t="n">
        <v>3</v>
      </c>
      <c r="F64" s="29" t="inlineStr">
        <is>
          <t>Feature</t>
        </is>
      </c>
      <c r="G64" s="29" t="inlineStr">
        <is>
          <t>Enter first as a viewer</t>
        </is>
      </c>
      <c r="H64" s="29" t="inlineStr">
        <is>
          <t>Enter first as a viewer</t>
        </is>
      </c>
      <c r="I64" s="29" t="inlineStr">
        <is>
          <t>/home/ubuntu/blyp_product_requirements.md :: Section 4 — Always-on communal topic live rooms</t>
        </is>
      </c>
      <c r="J64" s="29" t="inlineStr">
        <is>
          <t>/home/ubuntu/BLYP_COMPLETE_FEATURE_LIST.md:93</t>
        </is>
      </c>
      <c r="K64" s="29" t="inlineStr">
        <is>
          <t>Required</t>
        </is>
      </c>
      <c r="L64" s="29" t="inlineStr">
        <is>
          <t>Authenticated or eligible viewer</t>
        </is>
      </c>
      <c r="M64" s="29" t="inlineStr">
        <is>
          <t>BLYP mobile application and supporting production services</t>
        </is>
      </c>
      <c r="N64" s="29" t="inlineStr">
        <is>
          <t>Enter first as a viewer</t>
        </is>
      </c>
      <c r="O64" s="29" t="inlineStr">
        <is>
          <t>Not explicitly defined in the product source; requires accountable product approval before production sign-off.</t>
        </is>
      </c>
      <c r="P64" s="29" t="inlineStr"/>
      <c r="Q64" s="29" t="inlineStr">
        <is>
          <t>Partial</t>
        </is>
      </c>
      <c r="R64" s="29" t="inlineStr">
        <is>
          <t>viewer entry exists for host-owned live streams.</t>
        </is>
      </c>
      <c r="S64" s="29" t="inlineStr">
        <is>
          <t>Unknown</t>
        </is>
      </c>
      <c r="T64" s="29" t="inlineStr">
        <is>
          <t>Unknown</t>
        </is>
      </c>
      <c r="U64" s="29" t="inlineStr">
        <is>
          <t>Unknown</t>
        </is>
      </c>
      <c r="V64" s="29" t="inlineStr">
        <is>
          <t>Unknown</t>
        </is>
      </c>
      <c r="W64" s="29" t="inlineStr">
        <is>
          <t>Unknown</t>
        </is>
      </c>
      <c r="X64" s="29" t="inlineStr">
        <is>
          <t>Unknown</t>
        </is>
      </c>
      <c r="Y64" s="29" t="inlineStr">
        <is>
          <t>Unknown</t>
        </is>
      </c>
      <c r="Z64" s="29" t="inlineStr">
        <is>
          <t>Unknown</t>
        </is>
      </c>
      <c r="AA64" s="29" t="inlineStr">
        <is>
          <t>Unknown</t>
        </is>
      </c>
      <c r="AB64" s="29" t="inlineStr">
        <is>
          <t>Unknown</t>
        </is>
      </c>
      <c r="AC64" s="29" t="inlineStr"/>
      <c r="AD64" s="29" t="inlineStr"/>
      <c r="AE64" s="29" t="inlineStr">
        <is>
          <t>Unknown</t>
        </is>
      </c>
      <c r="AF64" s="29" t="inlineStr">
        <is>
          <t>No exact feature-level physical path was resolved from the reviewed evidence.</t>
        </is>
      </c>
      <c r="AG64" s="29" t="inlineStr">
        <is>
          <t>Unknown</t>
        </is>
      </c>
      <c r="AH64" s="29" t="inlineStr">
        <is>
          <t>Unknown</t>
        </is>
      </c>
      <c r="AI64" s="29" t="inlineStr">
        <is>
          <t>Searched src/; A prior area review labelled this 'Partial', but did not supply a feature-level physical mapping; the authoritative state is therefore Unknown.</t>
        </is>
      </c>
      <c r="AJ64" s="29" t="inlineStr">
        <is>
          <t>Unknown</t>
        </is>
      </c>
      <c r="AK64" s="29" t="inlineStr">
        <is>
          <t>EV-04-0003</t>
        </is>
      </c>
      <c r="AL64" s="29" t="inlineStr"/>
      <c r="AM64" s="29" t="inlineStr"/>
      <c r="AN64" s="29" t="inlineStr"/>
      <c r="AO64" s="29" t="inlineStr">
        <is>
          <t>8bc0dcb2a1da1b21368c5536aaeef829d587f316</t>
        </is>
      </c>
      <c r="AP64" s="29" t="inlineStr">
        <is>
          <t>Low</t>
        </is>
      </c>
      <c r="AQ64" s="29" t="inlineStr">
        <is>
          <t>Not assessed</t>
        </is>
      </c>
      <c r="AR64" s="29" t="inlineStr">
        <is>
          <t>Not assessed</t>
        </is>
      </c>
      <c r="AS64" s="29" t="inlineStr">
        <is>
          <t>Not assessed</t>
        </is>
      </c>
      <c r="AT64" s="29" t="inlineStr">
        <is>
          <t>Not assessed</t>
        </is>
      </c>
      <c r="AU64" s="29" t="inlineStr">
        <is>
          <t>Not assessed</t>
        </is>
      </c>
      <c r="AV64" s="29" t="inlineStr">
        <is>
          <t>Not assessed</t>
        </is>
      </c>
      <c r="AW64" s="29" t="inlineStr">
        <is>
          <t>Not assessed</t>
        </is>
      </c>
      <c r="AX64" s="29" t="inlineStr">
        <is>
          <t>Not assessed</t>
        </is>
      </c>
      <c r="AY64" s="29" t="inlineStr">
        <is>
          <t>Not assessed</t>
        </is>
      </c>
      <c r="AZ64" s="29" t="inlineStr">
        <is>
          <t>Not assessed</t>
        </is>
      </c>
      <c r="BA64" s="29" t="inlineStr">
        <is>
          <t>Not assessed</t>
        </is>
      </c>
      <c r="BB64" s="29" t="inlineStr">
        <is>
          <t>Not assessed</t>
        </is>
      </c>
      <c r="BC64" s="29" t="inlineStr">
        <is>
          <t>Not assessed</t>
        </is>
      </c>
      <c r="BD64" s="29" t="inlineStr">
        <is>
          <t>Not assessed</t>
        </is>
      </c>
      <c r="BE64" s="29" t="inlineStr">
        <is>
          <t>Not assessed</t>
        </is>
      </c>
      <c r="BF64" s="29" t="inlineStr">
        <is>
          <t>Production readiness cannot be assessed until the exact physical implementation and runtime path are traced.</t>
        </is>
      </c>
      <c r="BG64" s="29" t="inlineStr">
        <is>
          <t>Map the feature to exact client, server, data, worker and configuration locations, then verify its runtime path.</t>
        </is>
      </c>
      <c r="BH64" s="29" t="inlineStr"/>
      <c r="BI64" s="29" t="inlineStr"/>
      <c r="BJ64" s="29" t="inlineStr"/>
      <c r="BK64" s="29" t="inlineStr">
        <is>
          <t>Evidence reconciled against the reviewed source revision. No production approval is inferred from implementation or file presence.</t>
        </is>
      </c>
      <c r="BL64" s="29" t="inlineStr">
        <is>
          <t>2026-08-02</t>
        </is>
      </c>
    </row>
    <row r="65" ht="42" customHeight="1">
      <c r="A65" s="29" t="inlineStr">
        <is>
          <t>BLYP-04-004</t>
        </is>
      </c>
      <c r="B65" s="29" t="inlineStr"/>
      <c r="C65" s="29" t="inlineStr">
        <is>
          <t>Always-on communal topic live rooms</t>
        </is>
      </c>
      <c r="D65" s="29" t="n">
        <v>4</v>
      </c>
      <c r="E65" s="29" t="n">
        <v>4</v>
      </c>
      <c r="F65" s="29" t="inlineStr">
        <is>
          <t>Feature</t>
        </is>
      </c>
      <c r="G65" s="29" t="inlineStr">
        <is>
          <t>Request to join the stage</t>
        </is>
      </c>
      <c r="H65" s="29" t="inlineStr">
        <is>
          <t>Request to join the stage</t>
        </is>
      </c>
      <c r="I65" s="29" t="inlineStr">
        <is>
          <t>/home/ubuntu/blyp_product_requirements.md :: Section 4 — Always-on communal topic live rooms</t>
        </is>
      </c>
      <c r="J65" s="29" t="inlineStr">
        <is>
          <t>/home/ubuntu/BLYP_COMPLETE_FEATURE_LIST.md:94</t>
        </is>
      </c>
      <c r="K65" s="29" t="inlineStr">
        <is>
          <t>Required</t>
        </is>
      </c>
      <c r="L65" s="29" t="inlineStr">
        <is>
          <t>Applicable BLYP member</t>
        </is>
      </c>
      <c r="M65" s="29" t="inlineStr">
        <is>
          <t>BLYP mobile application and supporting production services</t>
        </is>
      </c>
      <c r="N65" s="29" t="inlineStr">
        <is>
          <t>Request to join the stage</t>
        </is>
      </c>
      <c r="O65" s="29" t="inlineStr">
        <is>
          <t>Not explicitly defined in the product source; requires accountable product approval before production sign-off.</t>
        </is>
      </c>
      <c r="P65" s="29" t="inlineStr"/>
      <c r="Q65" s="29" t="inlineStr">
        <is>
          <t>Partial</t>
        </is>
      </c>
      <c r="R65" s="29" t="inlineStr">
        <is>
          <t>approved-guest foundations exist.</t>
        </is>
      </c>
      <c r="S65" s="29" t="inlineStr">
        <is>
          <t>Unknown</t>
        </is>
      </c>
      <c r="T65" s="29" t="inlineStr">
        <is>
          <t>Unknown</t>
        </is>
      </c>
      <c r="U65" s="29" t="inlineStr">
        <is>
          <t>Unknown</t>
        </is>
      </c>
      <c r="V65" s="29" t="inlineStr">
        <is>
          <t>Unknown</t>
        </is>
      </c>
      <c r="W65" s="29" t="inlineStr">
        <is>
          <t>Unknown</t>
        </is>
      </c>
      <c r="X65" s="29" t="inlineStr">
        <is>
          <t>Unknown</t>
        </is>
      </c>
      <c r="Y65" s="29" t="inlineStr">
        <is>
          <t>Unknown</t>
        </is>
      </c>
      <c r="Z65" s="29" t="inlineStr">
        <is>
          <t>Unknown</t>
        </is>
      </c>
      <c r="AA65" s="29" t="inlineStr">
        <is>
          <t>Unknown</t>
        </is>
      </c>
      <c r="AB65" s="29" t="inlineStr">
        <is>
          <t>Unknown</t>
        </is>
      </c>
      <c r="AC65" s="29" t="inlineStr"/>
      <c r="AD65" s="29" t="inlineStr"/>
      <c r="AE65" s="29" t="inlineStr">
        <is>
          <t>Unknown</t>
        </is>
      </c>
      <c r="AF65" s="29" t="inlineStr">
        <is>
          <t>No exact feature-level physical path was resolved from the reviewed evidence.</t>
        </is>
      </c>
      <c r="AG65" s="29" t="inlineStr">
        <is>
          <t>Unknown</t>
        </is>
      </c>
      <c r="AH65" s="29" t="inlineStr">
        <is>
          <t>Unknown</t>
        </is>
      </c>
      <c r="AI65" s="29" t="inlineStr">
        <is>
          <t>Searched src/; A prior area review labelled this 'Partial', but did not supply a feature-level physical mapping; the authoritative state is therefore Unknown.</t>
        </is>
      </c>
      <c r="AJ65" s="29" t="inlineStr">
        <is>
          <t>Unknown</t>
        </is>
      </c>
      <c r="AK65" s="29" t="inlineStr">
        <is>
          <t>EV-04-0004</t>
        </is>
      </c>
      <c r="AL65" s="29" t="inlineStr"/>
      <c r="AM65" s="29" t="inlineStr"/>
      <c r="AN65" s="29" t="inlineStr"/>
      <c r="AO65" s="29" t="inlineStr">
        <is>
          <t>8bc0dcb2a1da1b21368c5536aaeef829d587f316</t>
        </is>
      </c>
      <c r="AP65" s="29" t="inlineStr">
        <is>
          <t>Low</t>
        </is>
      </c>
      <c r="AQ65" s="29" t="inlineStr">
        <is>
          <t>Not assessed</t>
        </is>
      </c>
      <c r="AR65" s="29" t="inlineStr">
        <is>
          <t>Not assessed</t>
        </is>
      </c>
      <c r="AS65" s="29" t="inlineStr">
        <is>
          <t>Not assessed</t>
        </is>
      </c>
      <c r="AT65" s="29" t="inlineStr">
        <is>
          <t>Not assessed</t>
        </is>
      </c>
      <c r="AU65" s="29" t="inlineStr">
        <is>
          <t>Not assessed</t>
        </is>
      </c>
      <c r="AV65" s="29" t="inlineStr">
        <is>
          <t>Not assessed</t>
        </is>
      </c>
      <c r="AW65" s="29" t="inlineStr">
        <is>
          <t>Not assessed</t>
        </is>
      </c>
      <c r="AX65" s="29" t="inlineStr">
        <is>
          <t>Not assessed</t>
        </is>
      </c>
      <c r="AY65" s="29" t="inlineStr">
        <is>
          <t>Not assessed</t>
        </is>
      </c>
      <c r="AZ65" s="29" t="inlineStr">
        <is>
          <t>Not assessed</t>
        </is>
      </c>
      <c r="BA65" s="29" t="inlineStr">
        <is>
          <t>Not assessed</t>
        </is>
      </c>
      <c r="BB65" s="29" t="inlineStr">
        <is>
          <t>Not assessed</t>
        </is>
      </c>
      <c r="BC65" s="29" t="inlineStr">
        <is>
          <t>Not assessed</t>
        </is>
      </c>
      <c r="BD65" s="29" t="inlineStr">
        <is>
          <t>Not assessed</t>
        </is>
      </c>
      <c r="BE65" s="29" t="inlineStr">
        <is>
          <t>Not assessed</t>
        </is>
      </c>
      <c r="BF65" s="29" t="inlineStr">
        <is>
          <t>Production readiness cannot be assessed until the exact physical implementation and runtime path are traced.</t>
        </is>
      </c>
      <c r="BG65" s="29" t="inlineStr">
        <is>
          <t>Map the feature to exact client, server, data, worker and configuration locations, then verify its runtime path.</t>
        </is>
      </c>
      <c r="BH65" s="29" t="inlineStr"/>
      <c r="BI65" s="29" t="inlineStr"/>
      <c r="BJ65" s="29" t="inlineStr"/>
      <c r="BK65" s="29" t="inlineStr">
        <is>
          <t>Evidence reconciled against the reviewed source revision. No production approval is inferred from implementation or file presence.</t>
        </is>
      </c>
      <c r="BL65" s="29" t="inlineStr">
        <is>
          <t>2026-08-02</t>
        </is>
      </c>
    </row>
    <row r="66" ht="42" customHeight="1">
      <c r="A66" s="29" t="inlineStr">
        <is>
          <t>BLYP-04-005</t>
        </is>
      </c>
      <c r="B66" s="29" t="inlineStr"/>
      <c r="C66" s="29" t="inlineStr">
        <is>
          <t>Always-on communal topic live rooms</t>
        </is>
      </c>
      <c r="D66" s="29" t="n">
        <v>4</v>
      </c>
      <c r="E66" s="29" t="n">
        <v>5</v>
      </c>
      <c r="F66" s="29" t="inlineStr">
        <is>
          <t>Feature</t>
        </is>
      </c>
      <c r="G66" s="29" t="inlineStr">
        <is>
          <t>Final confirmation before joining the stage</t>
        </is>
      </c>
      <c r="H66" s="29" t="inlineStr">
        <is>
          <t>Final confirmation before joining the stage</t>
        </is>
      </c>
      <c r="I66" s="29" t="inlineStr">
        <is>
          <t>/home/ubuntu/blyp_product_requirements.md :: Section 4 — Always-on communal topic live rooms</t>
        </is>
      </c>
      <c r="J66" s="29" t="inlineStr">
        <is>
          <t>/home/ubuntu/BLYP_COMPLETE_FEATURE_LIST.md:95</t>
        </is>
      </c>
      <c r="K66" s="29" t="inlineStr">
        <is>
          <t>Required</t>
        </is>
      </c>
      <c r="L66" s="29" t="inlineStr">
        <is>
          <t>Applicable BLYP member</t>
        </is>
      </c>
      <c r="M66" s="29" t="inlineStr">
        <is>
          <t>BLYP mobile application and supporting production services</t>
        </is>
      </c>
      <c r="N66" s="29" t="inlineStr">
        <is>
          <t>Final confirmation before joining the stage</t>
        </is>
      </c>
      <c r="O66" s="29" t="inlineStr">
        <is>
          <t>Not explicitly defined in the product source; requires accountable product approval before production sign-off.</t>
        </is>
      </c>
      <c r="P66" s="29" t="inlineStr"/>
      <c r="Q66" s="29" t="inlineStr">
        <is>
          <t>Needs verification</t>
        </is>
      </c>
      <c r="R66" s="29" t="inlineStr"/>
      <c r="S66" s="29" t="inlineStr">
        <is>
          <t>Unknown</t>
        </is>
      </c>
      <c r="T66" s="29" t="inlineStr">
        <is>
          <t>Unknown</t>
        </is>
      </c>
      <c r="U66" s="29" t="inlineStr">
        <is>
          <t>Unknown</t>
        </is>
      </c>
      <c r="V66" s="29" t="inlineStr">
        <is>
          <t>Unknown</t>
        </is>
      </c>
      <c r="W66" s="29" t="inlineStr">
        <is>
          <t>Unknown</t>
        </is>
      </c>
      <c r="X66" s="29" t="inlineStr">
        <is>
          <t>Unknown</t>
        </is>
      </c>
      <c r="Y66" s="29" t="inlineStr">
        <is>
          <t>Unknown</t>
        </is>
      </c>
      <c r="Z66" s="29" t="inlineStr">
        <is>
          <t>Unknown</t>
        </is>
      </c>
      <c r="AA66" s="29" t="inlineStr">
        <is>
          <t>Unknown</t>
        </is>
      </c>
      <c r="AB66" s="29" t="inlineStr">
        <is>
          <t>Unknown</t>
        </is>
      </c>
      <c r="AC66" s="29" t="inlineStr"/>
      <c r="AD66" s="29" t="inlineStr"/>
      <c r="AE66" s="29" t="inlineStr">
        <is>
          <t>Unknown</t>
        </is>
      </c>
      <c r="AF66" s="29" t="inlineStr">
        <is>
          <t>No exact feature-level physical path was resolved from the reviewed evidence.</t>
        </is>
      </c>
      <c r="AG66" s="29" t="inlineStr">
        <is>
          <t>Unknown</t>
        </is>
      </c>
      <c r="AH66" s="29" t="inlineStr">
        <is>
          <t>Unknown</t>
        </is>
      </c>
      <c r="AI66" s="29" t="inlineStr">
        <is>
          <t>Searched src/; A prior area review labelled this 'Partial', but did not supply a feature-level physical mapping; the authoritative state is therefore Unknown.</t>
        </is>
      </c>
      <c r="AJ66" s="29" t="inlineStr">
        <is>
          <t>Unknown</t>
        </is>
      </c>
      <c r="AK66" s="29" t="inlineStr">
        <is>
          <t>EV-04-0005</t>
        </is>
      </c>
      <c r="AL66" s="29" t="inlineStr"/>
      <c r="AM66" s="29" t="inlineStr"/>
      <c r="AN66" s="29" t="inlineStr"/>
      <c r="AO66" s="29" t="inlineStr">
        <is>
          <t>8bc0dcb2a1da1b21368c5536aaeef829d587f316</t>
        </is>
      </c>
      <c r="AP66" s="29" t="inlineStr">
        <is>
          <t>Low</t>
        </is>
      </c>
      <c r="AQ66" s="29" t="inlineStr">
        <is>
          <t>Not assessed</t>
        </is>
      </c>
      <c r="AR66" s="29" t="inlineStr">
        <is>
          <t>Not assessed</t>
        </is>
      </c>
      <c r="AS66" s="29" t="inlineStr">
        <is>
          <t>Not assessed</t>
        </is>
      </c>
      <c r="AT66" s="29" t="inlineStr">
        <is>
          <t>Not assessed</t>
        </is>
      </c>
      <c r="AU66" s="29" t="inlineStr">
        <is>
          <t>Not assessed</t>
        </is>
      </c>
      <c r="AV66" s="29" t="inlineStr">
        <is>
          <t>Not assessed</t>
        </is>
      </c>
      <c r="AW66" s="29" t="inlineStr">
        <is>
          <t>Not assessed</t>
        </is>
      </c>
      <c r="AX66" s="29" t="inlineStr">
        <is>
          <t>Not assessed</t>
        </is>
      </c>
      <c r="AY66" s="29" t="inlineStr">
        <is>
          <t>Not assessed</t>
        </is>
      </c>
      <c r="AZ66" s="29" t="inlineStr">
        <is>
          <t>Not assessed</t>
        </is>
      </c>
      <c r="BA66" s="29" t="inlineStr">
        <is>
          <t>Not assessed</t>
        </is>
      </c>
      <c r="BB66" s="29" t="inlineStr">
        <is>
          <t>Not assessed</t>
        </is>
      </c>
      <c r="BC66" s="29" t="inlineStr">
        <is>
          <t>Not assessed</t>
        </is>
      </c>
      <c r="BD66" s="29" t="inlineStr">
        <is>
          <t>Not assessed</t>
        </is>
      </c>
      <c r="BE66" s="29" t="inlineStr">
        <is>
          <t>Not assessed</t>
        </is>
      </c>
      <c r="BF66" s="29" t="inlineStr">
        <is>
          <t>Production readiness cannot be assessed until the exact physical implementation and runtime path are traced.</t>
        </is>
      </c>
      <c r="BG66" s="29" t="inlineStr">
        <is>
          <t>Map the feature to exact client, server, data, worker and configuration locations, then verify its runtime path.</t>
        </is>
      </c>
      <c r="BH66" s="29" t="inlineStr"/>
      <c r="BI66" s="29" t="inlineStr"/>
      <c r="BJ66" s="29" t="inlineStr"/>
      <c r="BK66" s="29" t="inlineStr">
        <is>
          <t>Evidence reconciled against the reviewed source revision. No production approval is inferred from implementation or file presence.</t>
        </is>
      </c>
      <c r="BL66" s="29" t="inlineStr">
        <is>
          <t>2026-08-02</t>
        </is>
      </c>
    </row>
    <row r="67" ht="42" customHeight="1">
      <c r="A67" s="29" t="inlineStr">
        <is>
          <t>BLYP-04-006</t>
        </is>
      </c>
      <c r="B67" s="29" t="inlineStr"/>
      <c r="C67" s="29" t="inlineStr">
        <is>
          <t>Always-on communal topic live rooms</t>
        </is>
      </c>
      <c r="D67" s="29" t="n">
        <v>4</v>
      </c>
      <c r="E67" s="29" t="n">
        <v>6</v>
      </c>
      <c r="F67" s="29" t="inlineStr">
        <is>
          <t>Feature</t>
        </is>
      </c>
      <c r="G67" s="29" t="inlineStr">
        <is>
          <t>Automatic promotion when a slot is available</t>
        </is>
      </c>
      <c r="H67" s="29" t="inlineStr">
        <is>
          <t>Automatic promotion when a slot is available</t>
        </is>
      </c>
      <c r="I67" s="29" t="inlineStr">
        <is>
          <t>/home/ubuntu/blyp_product_requirements.md :: Section 4 — Always-on communal topic live rooms</t>
        </is>
      </c>
      <c r="J67" s="29" t="inlineStr">
        <is>
          <t>/home/ubuntu/BLYP_COMPLETE_FEATURE_LIST.md:96</t>
        </is>
      </c>
      <c r="K67" s="29" t="inlineStr">
        <is>
          <t>Required</t>
        </is>
      </c>
      <c r="L67" s="29" t="inlineStr">
        <is>
          <t>Applicable BLYP member</t>
        </is>
      </c>
      <c r="M67" s="29" t="inlineStr">
        <is>
          <t>BLYP mobile application and supporting production services</t>
        </is>
      </c>
      <c r="N67" s="29" t="inlineStr">
        <is>
          <t>Automatic promotion when a slot is available</t>
        </is>
      </c>
      <c r="O67" s="29" t="inlineStr">
        <is>
          <t>Not explicitly defined in the product source; requires accountable product approval before production sign-off.</t>
        </is>
      </c>
      <c r="P67" s="29" t="inlineStr"/>
      <c r="Q67" s="29" t="inlineStr">
        <is>
          <t>No evidence</t>
        </is>
      </c>
      <c r="R67" s="29" t="inlineStr"/>
      <c r="S67" s="29" t="inlineStr">
        <is>
          <t>Unknown</t>
        </is>
      </c>
      <c r="T67" s="29" t="inlineStr">
        <is>
          <t>Unknown</t>
        </is>
      </c>
      <c r="U67" s="29" t="inlineStr">
        <is>
          <t>Unknown</t>
        </is>
      </c>
      <c r="V67" s="29" t="inlineStr">
        <is>
          <t>Unknown</t>
        </is>
      </c>
      <c r="W67" s="29" t="inlineStr">
        <is>
          <t>Unknown</t>
        </is>
      </c>
      <c r="X67" s="29" t="inlineStr">
        <is>
          <t>Unknown</t>
        </is>
      </c>
      <c r="Y67" s="29" t="inlineStr">
        <is>
          <t>Unknown</t>
        </is>
      </c>
      <c r="Z67" s="29" t="inlineStr">
        <is>
          <t>Unknown</t>
        </is>
      </c>
      <c r="AA67" s="29" t="inlineStr">
        <is>
          <t>Unknown</t>
        </is>
      </c>
      <c r="AB67" s="29" t="inlineStr">
        <is>
          <t>Unknown</t>
        </is>
      </c>
      <c r="AC67" s="29" t="inlineStr"/>
      <c r="AD67" s="29" t="inlineStr"/>
      <c r="AE67" s="29" t="inlineStr">
        <is>
          <t>Unknown</t>
        </is>
      </c>
      <c r="AF67" s="29" t="inlineStr">
        <is>
          <t>No exact feature-level physical path was resolved from the reviewed evidence.</t>
        </is>
      </c>
      <c r="AG67" s="29" t="inlineStr">
        <is>
          <t>Unknown</t>
        </is>
      </c>
      <c r="AH67" s="29" t="inlineStr">
        <is>
          <t>Unknown</t>
        </is>
      </c>
      <c r="AI67" s="29" t="inlineStr">
        <is>
          <t>Searched src/; A prior area review labelled this 'Partial', but did not supply a feature-level physical mapping; the authoritative state is therefore Unknown.</t>
        </is>
      </c>
      <c r="AJ67" s="29" t="inlineStr">
        <is>
          <t>Unknown</t>
        </is>
      </c>
      <c r="AK67" s="29" t="inlineStr">
        <is>
          <t>EV-04-0006</t>
        </is>
      </c>
      <c r="AL67" s="29" t="inlineStr"/>
      <c r="AM67" s="29" t="inlineStr"/>
      <c r="AN67" s="29" t="inlineStr"/>
      <c r="AO67" s="29" t="inlineStr">
        <is>
          <t>8bc0dcb2a1da1b21368c5536aaeef829d587f316</t>
        </is>
      </c>
      <c r="AP67" s="29" t="inlineStr">
        <is>
          <t>Low</t>
        </is>
      </c>
      <c r="AQ67" s="29" t="inlineStr">
        <is>
          <t>Not assessed</t>
        </is>
      </c>
      <c r="AR67" s="29" t="inlineStr">
        <is>
          <t>Not assessed</t>
        </is>
      </c>
      <c r="AS67" s="29" t="inlineStr">
        <is>
          <t>Not assessed</t>
        </is>
      </c>
      <c r="AT67" s="29" t="inlineStr">
        <is>
          <t>Not assessed</t>
        </is>
      </c>
      <c r="AU67" s="29" t="inlineStr">
        <is>
          <t>Not assessed</t>
        </is>
      </c>
      <c r="AV67" s="29" t="inlineStr">
        <is>
          <t>Not assessed</t>
        </is>
      </c>
      <c r="AW67" s="29" t="inlineStr">
        <is>
          <t>Not assessed</t>
        </is>
      </c>
      <c r="AX67" s="29" t="inlineStr">
        <is>
          <t>Not assessed</t>
        </is>
      </c>
      <c r="AY67" s="29" t="inlineStr">
        <is>
          <t>Not assessed</t>
        </is>
      </c>
      <c r="AZ67" s="29" t="inlineStr">
        <is>
          <t>Not assessed</t>
        </is>
      </c>
      <c r="BA67" s="29" t="inlineStr">
        <is>
          <t>Not assessed</t>
        </is>
      </c>
      <c r="BB67" s="29" t="inlineStr">
        <is>
          <t>Not assessed</t>
        </is>
      </c>
      <c r="BC67" s="29" t="inlineStr">
        <is>
          <t>Not assessed</t>
        </is>
      </c>
      <c r="BD67" s="29" t="inlineStr">
        <is>
          <t>Not assessed</t>
        </is>
      </c>
      <c r="BE67" s="29" t="inlineStr">
        <is>
          <t>Not assessed</t>
        </is>
      </c>
      <c r="BF67" s="29" t="inlineStr">
        <is>
          <t>Production readiness cannot be assessed until the exact physical implementation and runtime path are traced.</t>
        </is>
      </c>
      <c r="BG67" s="29" t="inlineStr">
        <is>
          <t>Map the feature to exact client, server, data, worker and configuration locations, then verify its runtime path.</t>
        </is>
      </c>
      <c r="BH67" s="29" t="inlineStr"/>
      <c r="BI67" s="29" t="inlineStr"/>
      <c r="BJ67" s="29" t="inlineStr"/>
      <c r="BK67" s="29" t="inlineStr">
        <is>
          <t>Evidence reconciled against the reviewed source revision. No production approval is inferred from implementation or file presence.</t>
        </is>
      </c>
      <c r="BL67" s="29" t="inlineStr">
        <is>
          <t>2026-08-02</t>
        </is>
      </c>
    </row>
    <row r="68" ht="42" customHeight="1">
      <c r="A68" s="29" t="inlineStr">
        <is>
          <t>BLYP-04-007</t>
        </is>
      </c>
      <c r="B68" s="29" t="inlineStr"/>
      <c r="C68" s="29" t="inlineStr">
        <is>
          <t>Always-on communal topic live rooms</t>
        </is>
      </c>
      <c r="D68" s="29" t="n">
        <v>4</v>
      </c>
      <c r="E68" s="29" t="n">
        <v>7</v>
      </c>
      <c r="F68" s="29" t="inlineStr">
        <is>
          <t>Feature</t>
        </is>
      </c>
      <c r="G68" s="29" t="inlineStr">
        <is>
          <t>Visible queue when the stage is full</t>
        </is>
      </c>
      <c r="H68" s="29" t="inlineStr">
        <is>
          <t>Visible queue when the stage is full</t>
        </is>
      </c>
      <c r="I68" s="29" t="inlineStr">
        <is>
          <t>/home/ubuntu/blyp_product_requirements.md :: Section 4 — Always-on communal topic live rooms</t>
        </is>
      </c>
      <c r="J68" s="29" t="inlineStr">
        <is>
          <t>/home/ubuntu/BLYP_COMPLETE_FEATURE_LIST.md:97</t>
        </is>
      </c>
      <c r="K68" s="29" t="inlineStr">
        <is>
          <t>Required</t>
        </is>
      </c>
      <c r="L68" s="29" t="inlineStr">
        <is>
          <t>Applicable BLYP member</t>
        </is>
      </c>
      <c r="M68" s="29" t="inlineStr">
        <is>
          <t>BLYP mobile application and supporting production services</t>
        </is>
      </c>
      <c r="N68" s="29" t="inlineStr">
        <is>
          <t>Visible queue when the stage is full</t>
        </is>
      </c>
      <c r="O68" s="29" t="inlineStr">
        <is>
          <t>Not explicitly defined in the product source; requires accountable product approval before production sign-off.</t>
        </is>
      </c>
      <c r="P68" s="29" t="inlineStr"/>
      <c r="Q68" s="29" t="inlineStr">
        <is>
          <t>No evidence</t>
        </is>
      </c>
      <c r="R68" s="29" t="inlineStr"/>
      <c r="S68" s="29" t="inlineStr">
        <is>
          <t>Unknown</t>
        </is>
      </c>
      <c r="T68" s="29" t="inlineStr">
        <is>
          <t>Unknown</t>
        </is>
      </c>
      <c r="U68" s="29" t="inlineStr">
        <is>
          <t>Unknown</t>
        </is>
      </c>
      <c r="V68" s="29" t="inlineStr">
        <is>
          <t>Unknown</t>
        </is>
      </c>
      <c r="W68" s="29" t="inlineStr">
        <is>
          <t>Unknown</t>
        </is>
      </c>
      <c r="X68" s="29" t="inlineStr">
        <is>
          <t>Unknown</t>
        </is>
      </c>
      <c r="Y68" s="29" t="inlineStr">
        <is>
          <t>Unknown</t>
        </is>
      </c>
      <c r="Z68" s="29" t="inlineStr">
        <is>
          <t>Unknown</t>
        </is>
      </c>
      <c r="AA68" s="29" t="inlineStr">
        <is>
          <t>Unknown</t>
        </is>
      </c>
      <c r="AB68" s="29" t="inlineStr">
        <is>
          <t>Unknown</t>
        </is>
      </c>
      <c r="AC68" s="29" t="inlineStr"/>
      <c r="AD68" s="29" t="inlineStr"/>
      <c r="AE68" s="29" t="inlineStr">
        <is>
          <t>Unknown</t>
        </is>
      </c>
      <c r="AF68" s="29" t="inlineStr">
        <is>
          <t>No exact feature-level physical path was resolved from the reviewed evidence.</t>
        </is>
      </c>
      <c r="AG68" s="29" t="inlineStr">
        <is>
          <t>Unknown</t>
        </is>
      </c>
      <c r="AH68" s="29" t="inlineStr">
        <is>
          <t>Unknown</t>
        </is>
      </c>
      <c r="AI68" s="29" t="inlineStr">
        <is>
          <t>Searched src/; A prior area review labelled this 'Partial', but did not supply a feature-level physical mapping; the authoritative state is therefore Unknown.</t>
        </is>
      </c>
      <c r="AJ68" s="29" t="inlineStr">
        <is>
          <t>Unknown</t>
        </is>
      </c>
      <c r="AK68" s="29" t="inlineStr">
        <is>
          <t>EV-04-0007</t>
        </is>
      </c>
      <c r="AL68" s="29" t="inlineStr"/>
      <c r="AM68" s="29" t="inlineStr"/>
      <c r="AN68" s="29" t="inlineStr"/>
      <c r="AO68" s="29" t="inlineStr">
        <is>
          <t>8bc0dcb2a1da1b21368c5536aaeef829d587f316</t>
        </is>
      </c>
      <c r="AP68" s="29" t="inlineStr">
        <is>
          <t>Low</t>
        </is>
      </c>
      <c r="AQ68" s="29" t="inlineStr">
        <is>
          <t>Not assessed</t>
        </is>
      </c>
      <c r="AR68" s="29" t="inlineStr">
        <is>
          <t>Not assessed</t>
        </is>
      </c>
      <c r="AS68" s="29" t="inlineStr">
        <is>
          <t>Not assessed</t>
        </is>
      </c>
      <c r="AT68" s="29" t="inlineStr">
        <is>
          <t>Not assessed</t>
        </is>
      </c>
      <c r="AU68" s="29" t="inlineStr">
        <is>
          <t>Not assessed</t>
        </is>
      </c>
      <c r="AV68" s="29" t="inlineStr">
        <is>
          <t>Not assessed</t>
        </is>
      </c>
      <c r="AW68" s="29" t="inlineStr">
        <is>
          <t>Not assessed</t>
        </is>
      </c>
      <c r="AX68" s="29" t="inlineStr">
        <is>
          <t>Not assessed</t>
        </is>
      </c>
      <c r="AY68" s="29" t="inlineStr">
        <is>
          <t>Not assessed</t>
        </is>
      </c>
      <c r="AZ68" s="29" t="inlineStr">
        <is>
          <t>Not assessed</t>
        </is>
      </c>
      <c r="BA68" s="29" t="inlineStr">
        <is>
          <t>Not assessed</t>
        </is>
      </c>
      <c r="BB68" s="29" t="inlineStr">
        <is>
          <t>Not assessed</t>
        </is>
      </c>
      <c r="BC68" s="29" t="inlineStr">
        <is>
          <t>Not assessed</t>
        </is>
      </c>
      <c r="BD68" s="29" t="inlineStr">
        <is>
          <t>Not assessed</t>
        </is>
      </c>
      <c r="BE68" s="29" t="inlineStr">
        <is>
          <t>Not assessed</t>
        </is>
      </c>
      <c r="BF68" s="29" t="inlineStr">
        <is>
          <t>Production readiness cannot be assessed until the exact physical implementation and runtime path are traced.</t>
        </is>
      </c>
      <c r="BG68" s="29" t="inlineStr">
        <is>
          <t>Map the feature to exact client, server, data, worker and configuration locations, then verify its runtime path.</t>
        </is>
      </c>
      <c r="BH68" s="29" t="inlineStr"/>
      <c r="BI68" s="29" t="inlineStr"/>
      <c r="BJ68" s="29" t="inlineStr"/>
      <c r="BK68" s="29" t="inlineStr">
        <is>
          <t>Evidence reconciled against the reviewed source revision. No production approval is inferred from implementation or file presence.</t>
        </is>
      </c>
      <c r="BL68" s="29" t="inlineStr">
        <is>
          <t>2026-08-02</t>
        </is>
      </c>
    </row>
    <row r="69" ht="42" customHeight="1">
      <c r="A69" s="29" t="inlineStr">
        <is>
          <t>BLYP-04-008</t>
        </is>
      </c>
      <c r="B69" s="29" t="inlineStr"/>
      <c r="C69" s="29" t="inlineStr">
        <is>
          <t>Always-on communal topic live rooms</t>
        </is>
      </c>
      <c r="D69" s="29" t="n">
        <v>4</v>
      </c>
      <c r="E69" s="29" t="n">
        <v>8</v>
      </c>
      <c r="F69" s="29" t="inlineStr">
        <is>
          <t>Feature</t>
        </is>
      </c>
      <c r="G69" s="29" t="inlineStr">
        <is>
          <t>Up to 12 simultaneous participant streams</t>
        </is>
      </c>
      <c r="H69" s="29" t="inlineStr">
        <is>
          <t>Up to 12 simultaneous participant streams</t>
        </is>
      </c>
      <c r="I69" s="29" t="inlineStr">
        <is>
          <t>/home/ubuntu/blyp_product_requirements.md :: Section 4 — Always-on communal topic live rooms</t>
        </is>
      </c>
      <c r="J69" s="29" t="inlineStr">
        <is>
          <t>/home/ubuntu/BLYP_COMPLETE_FEATURE_LIST.md:98</t>
        </is>
      </c>
      <c r="K69" s="29" t="inlineStr">
        <is>
          <t>Required</t>
        </is>
      </c>
      <c r="L69" s="29" t="inlineStr">
        <is>
          <t>Applicable BLYP member</t>
        </is>
      </c>
      <c r="M69" s="29" t="inlineStr">
        <is>
          <t>BLYP mobile application and supporting production services</t>
        </is>
      </c>
      <c r="N69" s="29" t="inlineStr">
        <is>
          <t>Up to 12 simultaneous participant streams</t>
        </is>
      </c>
      <c r="O69" s="29" t="inlineStr">
        <is>
          <t>Not explicitly defined in the product source; requires accountable product approval before production sign-off.</t>
        </is>
      </c>
      <c r="P69" s="29" t="inlineStr"/>
      <c r="Q69" s="29" t="inlineStr">
        <is>
          <t>Needs verification</t>
        </is>
      </c>
      <c r="R69" s="29" t="inlineStr">
        <is>
          <t>capacity foundations exist, but this exact communal-room model is not proven.</t>
        </is>
      </c>
      <c r="S69" s="29" t="inlineStr">
        <is>
          <t>Unknown</t>
        </is>
      </c>
      <c r="T69" s="29" t="inlineStr">
        <is>
          <t>Unknown</t>
        </is>
      </c>
      <c r="U69" s="29" t="inlineStr">
        <is>
          <t>Unknown</t>
        </is>
      </c>
      <c r="V69" s="29" t="inlineStr">
        <is>
          <t>Unknown</t>
        </is>
      </c>
      <c r="W69" s="29" t="inlineStr">
        <is>
          <t>Unknown</t>
        </is>
      </c>
      <c r="X69" s="29" t="inlineStr">
        <is>
          <t>Unknown</t>
        </is>
      </c>
      <c r="Y69" s="29" t="inlineStr">
        <is>
          <t>Unknown</t>
        </is>
      </c>
      <c r="Z69" s="29" t="inlineStr">
        <is>
          <t>Unknown</t>
        </is>
      </c>
      <c r="AA69" s="29" t="inlineStr">
        <is>
          <t>Unknown</t>
        </is>
      </c>
      <c r="AB69" s="29" t="inlineStr">
        <is>
          <t>Unknown</t>
        </is>
      </c>
      <c r="AC69" s="29" t="inlineStr"/>
      <c r="AD69" s="29" t="inlineStr"/>
      <c r="AE69" s="29" t="inlineStr">
        <is>
          <t>Unknown</t>
        </is>
      </c>
      <c r="AF69" s="29" t="inlineStr">
        <is>
          <t>No exact feature-level physical path was resolved from the reviewed evidence.</t>
        </is>
      </c>
      <c r="AG69" s="29" t="inlineStr">
        <is>
          <t>Unknown</t>
        </is>
      </c>
      <c r="AH69" s="29" t="inlineStr">
        <is>
          <t>Unknown</t>
        </is>
      </c>
      <c r="AI69" s="29" t="inlineStr">
        <is>
          <t>Searched src/; A prior area review labelled this 'Partial', but did not supply a feature-level physical mapping; the authoritative state is therefore Unknown.</t>
        </is>
      </c>
      <c r="AJ69" s="29" t="inlineStr">
        <is>
          <t>Unknown</t>
        </is>
      </c>
      <c r="AK69" s="29" t="inlineStr">
        <is>
          <t>EV-04-0008</t>
        </is>
      </c>
      <c r="AL69" s="29" t="inlineStr"/>
      <c r="AM69" s="29" t="inlineStr"/>
      <c r="AN69" s="29" t="inlineStr"/>
      <c r="AO69" s="29" t="inlineStr">
        <is>
          <t>8bc0dcb2a1da1b21368c5536aaeef829d587f316</t>
        </is>
      </c>
      <c r="AP69" s="29" t="inlineStr">
        <is>
          <t>Low</t>
        </is>
      </c>
      <c r="AQ69" s="29" t="inlineStr">
        <is>
          <t>Not assessed</t>
        </is>
      </c>
      <c r="AR69" s="29" t="inlineStr">
        <is>
          <t>Not assessed</t>
        </is>
      </c>
      <c r="AS69" s="29" t="inlineStr">
        <is>
          <t>Not assessed</t>
        </is>
      </c>
      <c r="AT69" s="29" t="inlineStr">
        <is>
          <t>Not assessed</t>
        </is>
      </c>
      <c r="AU69" s="29" t="inlineStr">
        <is>
          <t>Not assessed</t>
        </is>
      </c>
      <c r="AV69" s="29" t="inlineStr">
        <is>
          <t>Not assessed</t>
        </is>
      </c>
      <c r="AW69" s="29" t="inlineStr">
        <is>
          <t>Not assessed</t>
        </is>
      </c>
      <c r="AX69" s="29" t="inlineStr">
        <is>
          <t>Not assessed</t>
        </is>
      </c>
      <c r="AY69" s="29" t="inlineStr">
        <is>
          <t>Not assessed</t>
        </is>
      </c>
      <c r="AZ69" s="29" t="inlineStr">
        <is>
          <t>Not assessed</t>
        </is>
      </c>
      <c r="BA69" s="29" t="inlineStr">
        <is>
          <t>Not assessed</t>
        </is>
      </c>
      <c r="BB69" s="29" t="inlineStr">
        <is>
          <t>Not assessed</t>
        </is>
      </c>
      <c r="BC69" s="29" t="inlineStr">
        <is>
          <t>Not assessed</t>
        </is>
      </c>
      <c r="BD69" s="29" t="inlineStr">
        <is>
          <t>Not assessed</t>
        </is>
      </c>
      <c r="BE69" s="29" t="inlineStr">
        <is>
          <t>Not assessed</t>
        </is>
      </c>
      <c r="BF69" s="29" t="inlineStr">
        <is>
          <t>Production readiness cannot be assessed until the exact physical implementation and runtime path are traced.</t>
        </is>
      </c>
      <c r="BG69" s="29" t="inlineStr">
        <is>
          <t>Map the feature to exact client, server, data, worker and configuration locations, then verify its runtime path.</t>
        </is>
      </c>
      <c r="BH69" s="29" t="inlineStr"/>
      <c r="BI69" s="29" t="inlineStr"/>
      <c r="BJ69" s="29" t="inlineStr"/>
      <c r="BK69" s="29" t="inlineStr">
        <is>
          <t>Evidence reconciled against the reviewed source revision. No production approval is inferred from implementation or file presence.</t>
        </is>
      </c>
      <c r="BL69" s="29" t="inlineStr">
        <is>
          <t>2026-08-02</t>
        </is>
      </c>
    </row>
    <row r="70" ht="42" customHeight="1">
      <c r="A70" s="29" t="inlineStr">
        <is>
          <t>BLYP-04-009</t>
        </is>
      </c>
      <c r="B70" s="29" t="inlineStr"/>
      <c r="C70" s="29" t="inlineStr">
        <is>
          <t>Always-on communal topic live rooms</t>
        </is>
      </c>
      <c r="D70" s="29" t="n">
        <v>4</v>
      </c>
      <c r="E70" s="29" t="n">
        <v>9</v>
      </c>
      <c r="F70" s="29" t="inlineStr">
        <is>
          <t>Rule</t>
        </is>
      </c>
      <c r="G70" s="29" t="inlineStr">
        <is>
          <t>Camera off by default on promotion</t>
        </is>
      </c>
      <c r="H70" s="29" t="inlineStr">
        <is>
          <t>Camera off by default on promotion</t>
        </is>
      </c>
      <c r="I70" s="29" t="inlineStr">
        <is>
          <t>/home/ubuntu/blyp_product_requirements.md :: Section 4 — Always-on communal topic live rooms</t>
        </is>
      </c>
      <c r="J70" s="29" t="inlineStr">
        <is>
          <t>/home/ubuntu/BLYP_COMPLETE_FEATURE_LIST.md:99</t>
        </is>
      </c>
      <c r="K70" s="29" t="inlineStr">
        <is>
          <t>Required</t>
        </is>
      </c>
      <c r="L70" s="29" t="inlineStr">
        <is>
          <t>Applicable BLYP member</t>
        </is>
      </c>
      <c r="M70" s="29" t="inlineStr">
        <is>
          <t>BLYP mobile application and supporting production services</t>
        </is>
      </c>
      <c r="N70" s="29" t="inlineStr">
        <is>
          <t>Camera off by default on promotion</t>
        </is>
      </c>
      <c r="O70" s="29" t="inlineStr">
        <is>
          <t>Not explicitly defined in the product source; requires accountable product approval before production sign-off.</t>
        </is>
      </c>
      <c r="P70" s="29" t="inlineStr"/>
      <c r="Q70" s="29" t="inlineStr">
        <is>
          <t>No evidence</t>
        </is>
      </c>
      <c r="R70" s="29" t="inlineStr"/>
      <c r="S70" s="29" t="inlineStr">
        <is>
          <t>Unknown</t>
        </is>
      </c>
      <c r="T70" s="29" t="inlineStr">
        <is>
          <t>Unknown</t>
        </is>
      </c>
      <c r="U70" s="29" t="inlineStr">
        <is>
          <t>Unknown</t>
        </is>
      </c>
      <c r="V70" s="29" t="inlineStr">
        <is>
          <t>Unknown</t>
        </is>
      </c>
      <c r="W70" s="29" t="inlineStr">
        <is>
          <t>Unknown</t>
        </is>
      </c>
      <c r="X70" s="29" t="inlineStr">
        <is>
          <t>Unknown</t>
        </is>
      </c>
      <c r="Y70" s="29" t="inlineStr">
        <is>
          <t>Unknown</t>
        </is>
      </c>
      <c r="Z70" s="29" t="inlineStr">
        <is>
          <t>Unknown</t>
        </is>
      </c>
      <c r="AA70" s="29" t="inlineStr">
        <is>
          <t>Unknown</t>
        </is>
      </c>
      <c r="AB70" s="29" t="inlineStr">
        <is>
          <t>Unknown</t>
        </is>
      </c>
      <c r="AC70" s="29" t="inlineStr"/>
      <c r="AD70" s="29" t="inlineStr"/>
      <c r="AE70" s="29" t="inlineStr">
        <is>
          <t>Unknown</t>
        </is>
      </c>
      <c r="AF70" s="29" t="inlineStr">
        <is>
          <t>No exact feature-level physical path was resolved from the reviewed evidence.</t>
        </is>
      </c>
      <c r="AG70" s="29" t="inlineStr">
        <is>
          <t>Unknown</t>
        </is>
      </c>
      <c r="AH70" s="29" t="inlineStr">
        <is>
          <t>Unknown</t>
        </is>
      </c>
      <c r="AI70" s="29" t="inlineStr">
        <is>
          <t>Searched src/; A prior area review labelled this 'Partial', but did not supply a feature-level physical mapping; the authoritative state is therefore Unknown.</t>
        </is>
      </c>
      <c r="AJ70" s="29" t="inlineStr">
        <is>
          <t>Unknown</t>
        </is>
      </c>
      <c r="AK70" s="29" t="inlineStr">
        <is>
          <t>EV-04-0009</t>
        </is>
      </c>
      <c r="AL70" s="29" t="inlineStr"/>
      <c r="AM70" s="29" t="inlineStr"/>
      <c r="AN70" s="29" t="inlineStr"/>
      <c r="AO70" s="29" t="inlineStr">
        <is>
          <t>8bc0dcb2a1da1b21368c5536aaeef829d587f316</t>
        </is>
      </c>
      <c r="AP70" s="29" t="inlineStr">
        <is>
          <t>Low</t>
        </is>
      </c>
      <c r="AQ70" s="29" t="inlineStr">
        <is>
          <t>Not assessed</t>
        </is>
      </c>
      <c r="AR70" s="29" t="inlineStr">
        <is>
          <t>Not assessed</t>
        </is>
      </c>
      <c r="AS70" s="29" t="inlineStr">
        <is>
          <t>Not assessed</t>
        </is>
      </c>
      <c r="AT70" s="29" t="inlineStr">
        <is>
          <t>Not assessed</t>
        </is>
      </c>
      <c r="AU70" s="29" t="inlineStr">
        <is>
          <t>Not assessed</t>
        </is>
      </c>
      <c r="AV70" s="29" t="inlineStr">
        <is>
          <t>Not assessed</t>
        </is>
      </c>
      <c r="AW70" s="29" t="inlineStr">
        <is>
          <t>Not assessed</t>
        </is>
      </c>
      <c r="AX70" s="29" t="inlineStr">
        <is>
          <t>Not assessed</t>
        </is>
      </c>
      <c r="AY70" s="29" t="inlineStr">
        <is>
          <t>Not assessed</t>
        </is>
      </c>
      <c r="AZ70" s="29" t="inlineStr">
        <is>
          <t>Not assessed</t>
        </is>
      </c>
      <c r="BA70" s="29" t="inlineStr">
        <is>
          <t>Not assessed</t>
        </is>
      </c>
      <c r="BB70" s="29" t="inlineStr">
        <is>
          <t>Not assessed</t>
        </is>
      </c>
      <c r="BC70" s="29" t="inlineStr">
        <is>
          <t>Not assessed</t>
        </is>
      </c>
      <c r="BD70" s="29" t="inlineStr">
        <is>
          <t>Not assessed</t>
        </is>
      </c>
      <c r="BE70" s="29" t="inlineStr">
        <is>
          <t>Not assessed</t>
        </is>
      </c>
      <c r="BF70" s="29" t="inlineStr">
        <is>
          <t>Production readiness cannot be assessed until the exact physical implementation and runtime path are traced.</t>
        </is>
      </c>
      <c r="BG70" s="29" t="inlineStr">
        <is>
          <t>Map the feature to exact client, server, data, worker and configuration locations, then verify its runtime path.</t>
        </is>
      </c>
      <c r="BH70" s="29" t="inlineStr"/>
      <c r="BI70" s="29" t="inlineStr"/>
      <c r="BJ70" s="29" t="inlineStr"/>
      <c r="BK70" s="29" t="inlineStr">
        <is>
          <t>Evidence reconciled against the reviewed source revision. No production approval is inferred from implementation or file presence.</t>
        </is>
      </c>
      <c r="BL70" s="29" t="inlineStr">
        <is>
          <t>2026-08-02</t>
        </is>
      </c>
    </row>
    <row r="71" ht="42" customHeight="1">
      <c r="A71" s="29" t="inlineStr">
        <is>
          <t>BLYP-04-010</t>
        </is>
      </c>
      <c r="B71" s="29" t="inlineStr"/>
      <c r="C71" s="29" t="inlineStr">
        <is>
          <t>Always-on communal topic live rooms</t>
        </is>
      </c>
      <c r="D71" s="29" t="n">
        <v>4</v>
      </c>
      <c r="E71" s="29" t="n">
        <v>10</v>
      </c>
      <c r="F71" s="29" t="inlineStr">
        <is>
          <t>Rule</t>
        </is>
      </c>
      <c r="G71" s="29" t="inlineStr">
        <is>
          <t>Microphone off by default on promotion</t>
        </is>
      </c>
      <c r="H71" s="29" t="inlineStr">
        <is>
          <t>Microphone off by default on promotion</t>
        </is>
      </c>
      <c r="I71" s="29" t="inlineStr">
        <is>
          <t>/home/ubuntu/blyp_product_requirements.md :: Section 4 — Always-on communal topic live rooms</t>
        </is>
      </c>
      <c r="J71" s="29" t="inlineStr">
        <is>
          <t>/home/ubuntu/BLYP_COMPLETE_FEATURE_LIST.md:100</t>
        </is>
      </c>
      <c r="K71" s="29" t="inlineStr">
        <is>
          <t>Required</t>
        </is>
      </c>
      <c r="L71" s="29" t="inlineStr">
        <is>
          <t>Applicable BLYP member</t>
        </is>
      </c>
      <c r="M71" s="29" t="inlineStr">
        <is>
          <t>BLYP mobile application and supporting production services</t>
        </is>
      </c>
      <c r="N71" s="29" t="inlineStr">
        <is>
          <t>Microphone off by default on promotion</t>
        </is>
      </c>
      <c r="O71" s="29" t="inlineStr">
        <is>
          <t>Not explicitly defined in the product source; requires accountable product approval before production sign-off.</t>
        </is>
      </c>
      <c r="P71" s="29" t="inlineStr"/>
      <c r="Q71" s="29" t="inlineStr">
        <is>
          <t>No evidence</t>
        </is>
      </c>
      <c r="R71" s="29" t="inlineStr"/>
      <c r="S71" s="29" t="inlineStr">
        <is>
          <t>Unknown</t>
        </is>
      </c>
      <c r="T71" s="29" t="inlineStr">
        <is>
          <t>Unknown</t>
        </is>
      </c>
      <c r="U71" s="29" t="inlineStr">
        <is>
          <t>Unknown</t>
        </is>
      </c>
      <c r="V71" s="29" t="inlineStr">
        <is>
          <t>Unknown</t>
        </is>
      </c>
      <c r="W71" s="29" t="inlineStr">
        <is>
          <t>Unknown</t>
        </is>
      </c>
      <c r="X71" s="29" t="inlineStr">
        <is>
          <t>Unknown</t>
        </is>
      </c>
      <c r="Y71" s="29" t="inlineStr">
        <is>
          <t>Unknown</t>
        </is>
      </c>
      <c r="Z71" s="29" t="inlineStr">
        <is>
          <t>Unknown</t>
        </is>
      </c>
      <c r="AA71" s="29" t="inlineStr">
        <is>
          <t>Unknown</t>
        </is>
      </c>
      <c r="AB71" s="29" t="inlineStr">
        <is>
          <t>Unknown</t>
        </is>
      </c>
      <c r="AC71" s="29" t="inlineStr"/>
      <c r="AD71" s="29" t="inlineStr"/>
      <c r="AE71" s="29" t="inlineStr">
        <is>
          <t>Unknown</t>
        </is>
      </c>
      <c r="AF71" s="29" t="inlineStr">
        <is>
          <t>No exact feature-level physical path was resolved from the reviewed evidence.</t>
        </is>
      </c>
      <c r="AG71" s="29" t="inlineStr">
        <is>
          <t>Unknown</t>
        </is>
      </c>
      <c r="AH71" s="29" t="inlineStr">
        <is>
          <t>Unknown</t>
        </is>
      </c>
      <c r="AI71" s="29" t="inlineStr">
        <is>
          <t>Searched src/; A prior area review labelled this 'Partial', but did not supply a feature-level physical mapping; the authoritative state is therefore Unknown.</t>
        </is>
      </c>
      <c r="AJ71" s="29" t="inlineStr">
        <is>
          <t>Unknown</t>
        </is>
      </c>
      <c r="AK71" s="29" t="inlineStr">
        <is>
          <t>EV-04-0010</t>
        </is>
      </c>
      <c r="AL71" s="29" t="inlineStr"/>
      <c r="AM71" s="29" t="inlineStr"/>
      <c r="AN71" s="29" t="inlineStr"/>
      <c r="AO71" s="29" t="inlineStr">
        <is>
          <t>8bc0dcb2a1da1b21368c5536aaeef829d587f316</t>
        </is>
      </c>
      <c r="AP71" s="29" t="inlineStr">
        <is>
          <t>Low</t>
        </is>
      </c>
      <c r="AQ71" s="29" t="inlineStr">
        <is>
          <t>Not assessed</t>
        </is>
      </c>
      <c r="AR71" s="29" t="inlineStr">
        <is>
          <t>Not assessed</t>
        </is>
      </c>
      <c r="AS71" s="29" t="inlineStr">
        <is>
          <t>Not assessed</t>
        </is>
      </c>
      <c r="AT71" s="29" t="inlineStr">
        <is>
          <t>Not assessed</t>
        </is>
      </c>
      <c r="AU71" s="29" t="inlineStr">
        <is>
          <t>Not assessed</t>
        </is>
      </c>
      <c r="AV71" s="29" t="inlineStr">
        <is>
          <t>Not assessed</t>
        </is>
      </c>
      <c r="AW71" s="29" t="inlineStr">
        <is>
          <t>Not assessed</t>
        </is>
      </c>
      <c r="AX71" s="29" t="inlineStr">
        <is>
          <t>Not assessed</t>
        </is>
      </c>
      <c r="AY71" s="29" t="inlineStr">
        <is>
          <t>Not assessed</t>
        </is>
      </c>
      <c r="AZ71" s="29" t="inlineStr">
        <is>
          <t>Not assessed</t>
        </is>
      </c>
      <c r="BA71" s="29" t="inlineStr">
        <is>
          <t>Not assessed</t>
        </is>
      </c>
      <c r="BB71" s="29" t="inlineStr">
        <is>
          <t>Not assessed</t>
        </is>
      </c>
      <c r="BC71" s="29" t="inlineStr">
        <is>
          <t>Not assessed</t>
        </is>
      </c>
      <c r="BD71" s="29" t="inlineStr">
        <is>
          <t>Not assessed</t>
        </is>
      </c>
      <c r="BE71" s="29" t="inlineStr">
        <is>
          <t>Not assessed</t>
        </is>
      </c>
      <c r="BF71" s="29" t="inlineStr">
        <is>
          <t>Production readiness cannot be assessed until the exact physical implementation and runtime path are traced.</t>
        </is>
      </c>
      <c r="BG71" s="29" t="inlineStr">
        <is>
          <t>Map the feature to exact client, server, data, worker and configuration locations, then verify its runtime path.</t>
        </is>
      </c>
      <c r="BH71" s="29" t="inlineStr"/>
      <c r="BI71" s="29" t="inlineStr"/>
      <c r="BJ71" s="29" t="inlineStr"/>
      <c r="BK71" s="29" t="inlineStr">
        <is>
          <t>Evidence reconciled against the reviewed source revision. No production approval is inferred from implementation or file presence.</t>
        </is>
      </c>
      <c r="BL71" s="29" t="inlineStr">
        <is>
          <t>2026-08-02</t>
        </is>
      </c>
    </row>
    <row r="72" ht="42" customHeight="1">
      <c r="A72" s="29" t="inlineStr">
        <is>
          <t>BLYP-04-011</t>
        </is>
      </c>
      <c r="B72" s="29" t="inlineStr"/>
      <c r="C72" s="29" t="inlineStr">
        <is>
          <t>Always-on communal topic live rooms</t>
        </is>
      </c>
      <c r="D72" s="29" t="n">
        <v>4</v>
      </c>
      <c r="E72" s="29" t="n">
        <v>11</v>
      </c>
      <c r="F72" s="29" t="inlineStr">
        <is>
          <t>Feature</t>
        </is>
      </c>
      <c r="G72" s="29" t="inlineStr">
        <is>
          <t>Prominent camera/microphone overlay</t>
        </is>
      </c>
      <c r="H72" s="29" t="inlineStr">
        <is>
          <t>Prominent camera/microphone overlay</t>
        </is>
      </c>
      <c r="I72" s="29" t="inlineStr">
        <is>
          <t>/home/ubuntu/blyp_product_requirements.md :: Section 4 — Always-on communal topic live rooms</t>
        </is>
      </c>
      <c r="J72" s="29" t="inlineStr">
        <is>
          <t>/home/ubuntu/BLYP_COMPLETE_FEATURE_LIST.md:101</t>
        </is>
      </c>
      <c r="K72" s="29" t="inlineStr">
        <is>
          <t>Required</t>
        </is>
      </c>
      <c r="L72" s="29" t="inlineStr">
        <is>
          <t>Applicable BLYP member</t>
        </is>
      </c>
      <c r="M72" s="29" t="inlineStr">
        <is>
          <t>BLYP mobile application and supporting production services</t>
        </is>
      </c>
      <c r="N72" s="29" t="inlineStr">
        <is>
          <t>Prominent camera/microphone overlay</t>
        </is>
      </c>
      <c r="O72" s="29" t="inlineStr">
        <is>
          <t>Not explicitly defined in the product source; requires accountable product approval before production sign-off.</t>
        </is>
      </c>
      <c r="P72" s="29" t="inlineStr"/>
      <c r="Q72" s="29" t="inlineStr">
        <is>
          <t>No evidence</t>
        </is>
      </c>
      <c r="R72" s="29" t="inlineStr"/>
      <c r="S72" s="29" t="inlineStr">
        <is>
          <t>Unknown</t>
        </is>
      </c>
      <c r="T72" s="29" t="inlineStr">
        <is>
          <t>Unknown</t>
        </is>
      </c>
      <c r="U72" s="29" t="inlineStr">
        <is>
          <t>Unknown</t>
        </is>
      </c>
      <c r="V72" s="29" t="inlineStr">
        <is>
          <t>Unknown</t>
        </is>
      </c>
      <c r="W72" s="29" t="inlineStr">
        <is>
          <t>Unknown</t>
        </is>
      </c>
      <c r="X72" s="29" t="inlineStr">
        <is>
          <t>Unknown</t>
        </is>
      </c>
      <c r="Y72" s="29" t="inlineStr">
        <is>
          <t>Unknown</t>
        </is>
      </c>
      <c r="Z72" s="29" t="inlineStr">
        <is>
          <t>Unknown</t>
        </is>
      </c>
      <c r="AA72" s="29" t="inlineStr">
        <is>
          <t>Unknown</t>
        </is>
      </c>
      <c r="AB72" s="29" t="inlineStr">
        <is>
          <t>Unknown</t>
        </is>
      </c>
      <c r="AC72" s="29" t="inlineStr"/>
      <c r="AD72" s="29" t="inlineStr"/>
      <c r="AE72" s="29" t="inlineStr">
        <is>
          <t>Unknown</t>
        </is>
      </c>
      <c r="AF72" s="29" t="inlineStr">
        <is>
          <t>No exact feature-level physical path was resolved from the reviewed evidence.</t>
        </is>
      </c>
      <c r="AG72" s="29" t="inlineStr">
        <is>
          <t>Unknown</t>
        </is>
      </c>
      <c r="AH72" s="29" t="inlineStr">
        <is>
          <t>Unknown</t>
        </is>
      </c>
      <c r="AI72" s="29" t="inlineStr">
        <is>
          <t>Searched src/; A prior area review labelled this 'Partial', but did not supply a feature-level physical mapping; the authoritative state is therefore Unknown.</t>
        </is>
      </c>
      <c r="AJ72" s="29" t="inlineStr">
        <is>
          <t>Unknown</t>
        </is>
      </c>
      <c r="AK72" s="29" t="inlineStr">
        <is>
          <t>EV-04-0011</t>
        </is>
      </c>
      <c r="AL72" s="29" t="inlineStr"/>
      <c r="AM72" s="29" t="inlineStr"/>
      <c r="AN72" s="29" t="inlineStr"/>
      <c r="AO72" s="29" t="inlineStr">
        <is>
          <t>8bc0dcb2a1da1b21368c5536aaeef829d587f316</t>
        </is>
      </c>
      <c r="AP72" s="29" t="inlineStr">
        <is>
          <t>Low</t>
        </is>
      </c>
      <c r="AQ72" s="29" t="inlineStr">
        <is>
          <t>Not assessed</t>
        </is>
      </c>
      <c r="AR72" s="29" t="inlineStr">
        <is>
          <t>Not assessed</t>
        </is>
      </c>
      <c r="AS72" s="29" t="inlineStr">
        <is>
          <t>Not assessed</t>
        </is>
      </c>
      <c r="AT72" s="29" t="inlineStr">
        <is>
          <t>Not assessed</t>
        </is>
      </c>
      <c r="AU72" s="29" t="inlineStr">
        <is>
          <t>Not assessed</t>
        </is>
      </c>
      <c r="AV72" s="29" t="inlineStr">
        <is>
          <t>Not assessed</t>
        </is>
      </c>
      <c r="AW72" s="29" t="inlineStr">
        <is>
          <t>Not assessed</t>
        </is>
      </c>
      <c r="AX72" s="29" t="inlineStr">
        <is>
          <t>Not assessed</t>
        </is>
      </c>
      <c r="AY72" s="29" t="inlineStr">
        <is>
          <t>Not assessed</t>
        </is>
      </c>
      <c r="AZ72" s="29" t="inlineStr">
        <is>
          <t>Not assessed</t>
        </is>
      </c>
      <c r="BA72" s="29" t="inlineStr">
        <is>
          <t>Not assessed</t>
        </is>
      </c>
      <c r="BB72" s="29" t="inlineStr">
        <is>
          <t>Not assessed</t>
        </is>
      </c>
      <c r="BC72" s="29" t="inlineStr">
        <is>
          <t>Not assessed</t>
        </is>
      </c>
      <c r="BD72" s="29" t="inlineStr">
        <is>
          <t>Not assessed</t>
        </is>
      </c>
      <c r="BE72" s="29" t="inlineStr">
        <is>
          <t>Not assessed</t>
        </is>
      </c>
      <c r="BF72" s="29" t="inlineStr">
        <is>
          <t>Production readiness cannot be assessed until the exact physical implementation and runtime path are traced.</t>
        </is>
      </c>
      <c r="BG72" s="29" t="inlineStr">
        <is>
          <t>Map the feature to exact client, server, data, worker and configuration locations, then verify its runtime path.</t>
        </is>
      </c>
      <c r="BH72" s="29" t="inlineStr"/>
      <c r="BI72" s="29" t="inlineStr"/>
      <c r="BJ72" s="29" t="inlineStr"/>
      <c r="BK72" s="29" t="inlineStr">
        <is>
          <t>Evidence reconciled against the reviewed source revision. No production approval is inferred from implementation or file presence.</t>
        </is>
      </c>
      <c r="BL72" s="29" t="inlineStr">
        <is>
          <t>2026-08-02</t>
        </is>
      </c>
    </row>
    <row r="73" ht="42" customHeight="1">
      <c r="A73" s="29" t="inlineStr">
        <is>
          <t>BLYP-04-012</t>
        </is>
      </c>
      <c r="B73" s="29" t="inlineStr"/>
      <c r="C73" s="29" t="inlineStr">
        <is>
          <t>Always-on communal topic live rooms</t>
        </is>
      </c>
      <c r="D73" s="29" t="n">
        <v>4</v>
      </c>
      <c r="E73" s="29" t="n">
        <v>12</v>
      </c>
      <c r="F73" s="29" t="inlineStr">
        <is>
          <t>Feature</t>
        </is>
      </c>
      <c r="G73" s="29" t="inlineStr">
        <is>
          <t>Independent camera and microphone controls</t>
        </is>
      </c>
      <c r="H73" s="29" t="inlineStr">
        <is>
          <t>Independent camera and microphone controls</t>
        </is>
      </c>
      <c r="I73" s="29" t="inlineStr">
        <is>
          <t>/home/ubuntu/blyp_product_requirements.md :: Section 4 — Always-on communal topic live rooms</t>
        </is>
      </c>
      <c r="J73" s="29" t="inlineStr">
        <is>
          <t>/home/ubuntu/BLYP_COMPLETE_FEATURE_LIST.md:102</t>
        </is>
      </c>
      <c r="K73" s="29" t="inlineStr">
        <is>
          <t>Required</t>
        </is>
      </c>
      <c r="L73" s="29" t="inlineStr">
        <is>
          <t>Applicable BLYP member</t>
        </is>
      </c>
      <c r="M73" s="29" t="inlineStr">
        <is>
          <t>BLYP mobile application and supporting production services</t>
        </is>
      </c>
      <c r="N73" s="29" t="inlineStr">
        <is>
          <t>Independent camera and microphone controls</t>
        </is>
      </c>
      <c r="O73" s="29" t="inlineStr">
        <is>
          <t>Not explicitly defined in the product source; requires accountable product approval before production sign-off.</t>
        </is>
      </c>
      <c r="P73" s="29" t="inlineStr"/>
      <c r="Q73" s="29" t="inlineStr">
        <is>
          <t>Partial</t>
        </is>
      </c>
      <c r="R73" s="29" t="inlineStr">
        <is>
          <t>live controls exist, but the communal-room implementation is not proven.</t>
        </is>
      </c>
      <c r="S73" s="29" t="inlineStr">
        <is>
          <t>Unknown</t>
        </is>
      </c>
      <c r="T73" s="29" t="inlineStr">
        <is>
          <t>Unknown</t>
        </is>
      </c>
      <c r="U73" s="29" t="inlineStr">
        <is>
          <t>Unknown</t>
        </is>
      </c>
      <c r="V73" s="29" t="inlineStr">
        <is>
          <t>Unknown</t>
        </is>
      </c>
      <c r="W73" s="29" t="inlineStr">
        <is>
          <t>Unknown</t>
        </is>
      </c>
      <c r="X73" s="29" t="inlineStr">
        <is>
          <t>Unknown</t>
        </is>
      </c>
      <c r="Y73" s="29" t="inlineStr">
        <is>
          <t>Unknown</t>
        </is>
      </c>
      <c r="Z73" s="29" t="inlineStr">
        <is>
          <t>Unknown</t>
        </is>
      </c>
      <c r="AA73" s="29" t="inlineStr">
        <is>
          <t>Unknown</t>
        </is>
      </c>
      <c r="AB73" s="29" t="inlineStr">
        <is>
          <t>Unknown</t>
        </is>
      </c>
      <c r="AC73" s="29" t="inlineStr"/>
      <c r="AD73" s="29" t="inlineStr"/>
      <c r="AE73" s="29" t="inlineStr">
        <is>
          <t>Unknown</t>
        </is>
      </c>
      <c r="AF73" s="29" t="inlineStr">
        <is>
          <t>No exact feature-level physical path was resolved from the reviewed evidence.</t>
        </is>
      </c>
      <c r="AG73" s="29" t="inlineStr">
        <is>
          <t>Unknown</t>
        </is>
      </c>
      <c r="AH73" s="29" t="inlineStr">
        <is>
          <t>Unknown</t>
        </is>
      </c>
      <c r="AI73" s="29" t="inlineStr">
        <is>
          <t>Searched src/; A prior area review labelled this 'Partial', but did not supply a feature-level physical mapping; the authoritative state is therefore Unknown.</t>
        </is>
      </c>
      <c r="AJ73" s="29" t="inlineStr">
        <is>
          <t>Unknown</t>
        </is>
      </c>
      <c r="AK73" s="29" t="inlineStr">
        <is>
          <t>EV-04-0012</t>
        </is>
      </c>
      <c r="AL73" s="29" t="inlineStr"/>
      <c r="AM73" s="29" t="inlineStr"/>
      <c r="AN73" s="29" t="inlineStr"/>
      <c r="AO73" s="29" t="inlineStr">
        <is>
          <t>8bc0dcb2a1da1b21368c5536aaeef829d587f316</t>
        </is>
      </c>
      <c r="AP73" s="29" t="inlineStr">
        <is>
          <t>Low</t>
        </is>
      </c>
      <c r="AQ73" s="29" t="inlineStr">
        <is>
          <t>Not assessed</t>
        </is>
      </c>
      <c r="AR73" s="29" t="inlineStr">
        <is>
          <t>Not assessed</t>
        </is>
      </c>
      <c r="AS73" s="29" t="inlineStr">
        <is>
          <t>Not assessed</t>
        </is>
      </c>
      <c r="AT73" s="29" t="inlineStr">
        <is>
          <t>Not assessed</t>
        </is>
      </c>
      <c r="AU73" s="29" t="inlineStr">
        <is>
          <t>Not assessed</t>
        </is>
      </c>
      <c r="AV73" s="29" t="inlineStr">
        <is>
          <t>Not assessed</t>
        </is>
      </c>
      <c r="AW73" s="29" t="inlineStr">
        <is>
          <t>Not assessed</t>
        </is>
      </c>
      <c r="AX73" s="29" t="inlineStr">
        <is>
          <t>Not assessed</t>
        </is>
      </c>
      <c r="AY73" s="29" t="inlineStr">
        <is>
          <t>Not assessed</t>
        </is>
      </c>
      <c r="AZ73" s="29" t="inlineStr">
        <is>
          <t>Not assessed</t>
        </is>
      </c>
      <c r="BA73" s="29" t="inlineStr">
        <is>
          <t>Not assessed</t>
        </is>
      </c>
      <c r="BB73" s="29" t="inlineStr">
        <is>
          <t>Not assessed</t>
        </is>
      </c>
      <c r="BC73" s="29" t="inlineStr">
        <is>
          <t>Not assessed</t>
        </is>
      </c>
      <c r="BD73" s="29" t="inlineStr">
        <is>
          <t>Not assessed</t>
        </is>
      </c>
      <c r="BE73" s="29" t="inlineStr">
        <is>
          <t>Not assessed</t>
        </is>
      </c>
      <c r="BF73" s="29" t="inlineStr">
        <is>
          <t>Production readiness cannot be assessed until the exact physical implementation and runtime path are traced.</t>
        </is>
      </c>
      <c r="BG73" s="29" t="inlineStr">
        <is>
          <t>Map the feature to exact client, server, data, worker and configuration locations, then verify its runtime path.</t>
        </is>
      </c>
      <c r="BH73" s="29" t="inlineStr"/>
      <c r="BI73" s="29" t="inlineStr"/>
      <c r="BJ73" s="29" t="inlineStr"/>
      <c r="BK73" s="29" t="inlineStr">
        <is>
          <t>Evidence reconciled against the reviewed source revision. No production approval is inferred from implementation or file presence.</t>
        </is>
      </c>
      <c r="BL73" s="29" t="inlineStr">
        <is>
          <t>2026-08-02</t>
        </is>
      </c>
    </row>
    <row r="74" ht="42" customHeight="1">
      <c r="A74" s="29" t="inlineStr">
        <is>
          <t>BLYP-04-013</t>
        </is>
      </c>
      <c r="B74" s="29" t="inlineStr"/>
      <c r="C74" s="29" t="inlineStr">
        <is>
          <t>Always-on communal topic live rooms</t>
        </is>
      </c>
      <c r="D74" s="29" t="n">
        <v>4</v>
      </c>
      <c r="E74" s="29" t="n">
        <v>13</v>
      </c>
      <c r="F74" s="29" t="inlineStr">
        <is>
          <t>Feature</t>
        </is>
      </c>
      <c r="G74" s="29" t="inlineStr">
        <is>
          <t>Responsive dynamic participant tiles</t>
        </is>
      </c>
      <c r="H74" s="29" t="inlineStr">
        <is>
          <t>Responsive dynamic participant tiles</t>
        </is>
      </c>
      <c r="I74" s="29" t="inlineStr">
        <is>
          <t>/home/ubuntu/blyp_product_requirements.md :: Section 4 — Always-on communal topic live rooms</t>
        </is>
      </c>
      <c r="J74" s="29" t="inlineStr">
        <is>
          <t>/home/ubuntu/BLYP_COMPLETE_FEATURE_LIST.md:103</t>
        </is>
      </c>
      <c r="K74" s="29" t="inlineStr">
        <is>
          <t>Required</t>
        </is>
      </c>
      <c r="L74" s="29" t="inlineStr">
        <is>
          <t>Applicable BLYP member</t>
        </is>
      </c>
      <c r="M74" s="29" t="inlineStr">
        <is>
          <t>BLYP mobile application and supporting production services</t>
        </is>
      </c>
      <c r="N74" s="29" t="inlineStr">
        <is>
          <t>Responsive dynamic participant tiles</t>
        </is>
      </c>
      <c r="O74" s="29" t="inlineStr">
        <is>
          <t>Not explicitly defined in the product source; requires accountable product approval before production sign-off.</t>
        </is>
      </c>
      <c r="P74" s="29" t="inlineStr"/>
      <c r="Q74" s="29" t="inlineStr">
        <is>
          <t>Partial</t>
        </is>
      </c>
      <c r="R74" s="29" t="inlineStr">
        <is>
          <t>live layouts exist; the specified communal layout does not.</t>
        </is>
      </c>
      <c r="S74" s="29" t="inlineStr">
        <is>
          <t>Unknown</t>
        </is>
      </c>
      <c r="T74" s="29" t="inlineStr">
        <is>
          <t>Unknown</t>
        </is>
      </c>
      <c r="U74" s="29" t="inlineStr">
        <is>
          <t>Unknown</t>
        </is>
      </c>
      <c r="V74" s="29" t="inlineStr">
        <is>
          <t>Unknown</t>
        </is>
      </c>
      <c r="W74" s="29" t="inlineStr">
        <is>
          <t>Unknown</t>
        </is>
      </c>
      <c r="X74" s="29" t="inlineStr">
        <is>
          <t>Unknown</t>
        </is>
      </c>
      <c r="Y74" s="29" t="inlineStr">
        <is>
          <t>Unknown</t>
        </is>
      </c>
      <c r="Z74" s="29" t="inlineStr">
        <is>
          <t>Unknown</t>
        </is>
      </c>
      <c r="AA74" s="29" t="inlineStr">
        <is>
          <t>Unknown</t>
        </is>
      </c>
      <c r="AB74" s="29" t="inlineStr">
        <is>
          <t>Unknown</t>
        </is>
      </c>
      <c r="AC74" s="29" t="inlineStr"/>
      <c r="AD74" s="29" t="inlineStr"/>
      <c r="AE74" s="29" t="inlineStr">
        <is>
          <t>Unknown</t>
        </is>
      </c>
      <c r="AF74" s="29" t="inlineStr">
        <is>
          <t>No exact feature-level physical path was resolved from the reviewed evidence.</t>
        </is>
      </c>
      <c r="AG74" s="29" t="inlineStr">
        <is>
          <t>Unknown</t>
        </is>
      </c>
      <c r="AH74" s="29" t="inlineStr">
        <is>
          <t>Unknown</t>
        </is>
      </c>
      <c r="AI74" s="29" t="inlineStr">
        <is>
          <t>Searched src/; A prior area review labelled this 'Partial', but did not supply a feature-level physical mapping; the authoritative state is therefore Unknown.</t>
        </is>
      </c>
      <c r="AJ74" s="29" t="inlineStr">
        <is>
          <t>Unknown</t>
        </is>
      </c>
      <c r="AK74" s="29" t="inlineStr">
        <is>
          <t>EV-04-0013</t>
        </is>
      </c>
      <c r="AL74" s="29" t="inlineStr"/>
      <c r="AM74" s="29" t="inlineStr"/>
      <c r="AN74" s="29" t="inlineStr"/>
      <c r="AO74" s="29" t="inlineStr">
        <is>
          <t>8bc0dcb2a1da1b21368c5536aaeef829d587f316</t>
        </is>
      </c>
      <c r="AP74" s="29" t="inlineStr">
        <is>
          <t>Low</t>
        </is>
      </c>
      <c r="AQ74" s="29" t="inlineStr">
        <is>
          <t>Not assessed</t>
        </is>
      </c>
      <c r="AR74" s="29" t="inlineStr">
        <is>
          <t>Not assessed</t>
        </is>
      </c>
      <c r="AS74" s="29" t="inlineStr">
        <is>
          <t>Not assessed</t>
        </is>
      </c>
      <c r="AT74" s="29" t="inlineStr">
        <is>
          <t>Not assessed</t>
        </is>
      </c>
      <c r="AU74" s="29" t="inlineStr">
        <is>
          <t>Not assessed</t>
        </is>
      </c>
      <c r="AV74" s="29" t="inlineStr">
        <is>
          <t>Not assessed</t>
        </is>
      </c>
      <c r="AW74" s="29" t="inlineStr">
        <is>
          <t>Not assessed</t>
        </is>
      </c>
      <c r="AX74" s="29" t="inlineStr">
        <is>
          <t>Not assessed</t>
        </is>
      </c>
      <c r="AY74" s="29" t="inlineStr">
        <is>
          <t>Not assessed</t>
        </is>
      </c>
      <c r="AZ74" s="29" t="inlineStr">
        <is>
          <t>Not assessed</t>
        </is>
      </c>
      <c r="BA74" s="29" t="inlineStr">
        <is>
          <t>Not assessed</t>
        </is>
      </c>
      <c r="BB74" s="29" t="inlineStr">
        <is>
          <t>Not assessed</t>
        </is>
      </c>
      <c r="BC74" s="29" t="inlineStr">
        <is>
          <t>Not assessed</t>
        </is>
      </c>
      <c r="BD74" s="29" t="inlineStr">
        <is>
          <t>Not assessed</t>
        </is>
      </c>
      <c r="BE74" s="29" t="inlineStr">
        <is>
          <t>Not assessed</t>
        </is>
      </c>
      <c r="BF74" s="29" t="inlineStr">
        <is>
          <t>Production readiness cannot be assessed until the exact physical implementation and runtime path are traced.</t>
        </is>
      </c>
      <c r="BG74" s="29" t="inlineStr">
        <is>
          <t>Map the feature to exact client, server, data, worker and configuration locations, then verify its runtime path.</t>
        </is>
      </c>
      <c r="BH74" s="29" t="inlineStr"/>
      <c r="BI74" s="29" t="inlineStr"/>
      <c r="BJ74" s="29" t="inlineStr"/>
      <c r="BK74" s="29" t="inlineStr">
        <is>
          <t>Evidence reconciled against the reviewed source revision. No production approval is inferred from implementation or file presence.</t>
        </is>
      </c>
      <c r="BL74" s="29" t="inlineStr">
        <is>
          <t>2026-08-02</t>
        </is>
      </c>
    </row>
    <row r="75" ht="42" customHeight="1">
      <c r="A75" s="29" t="inlineStr">
        <is>
          <t>BLYP-04-014</t>
        </is>
      </c>
      <c r="B75" s="29" t="inlineStr"/>
      <c r="C75" s="29" t="inlineStr">
        <is>
          <t>Always-on communal topic live rooms</t>
        </is>
      </c>
      <c r="D75" s="29" t="n">
        <v>4</v>
      </c>
      <c r="E75" s="29" t="n">
        <v>14</v>
      </c>
      <c r="F75" s="29" t="inlineStr">
        <is>
          <t>Feature</t>
        </is>
      </c>
      <c r="G75" s="29" t="inlineStr">
        <is>
          <t>Gift leader receives the largest tile</t>
        </is>
      </c>
      <c r="H75" s="29" t="inlineStr">
        <is>
          <t>Gift leader receives the largest tile</t>
        </is>
      </c>
      <c r="I75" s="29" t="inlineStr">
        <is>
          <t>/home/ubuntu/blyp_product_requirements.md :: Section 4 — Always-on communal topic live rooms</t>
        </is>
      </c>
      <c r="J75" s="29" t="inlineStr">
        <is>
          <t>/home/ubuntu/BLYP_COMPLETE_FEATURE_LIST.md:104</t>
        </is>
      </c>
      <c r="K75" s="29" t="inlineStr">
        <is>
          <t>Required</t>
        </is>
      </c>
      <c r="L75" s="29" t="inlineStr">
        <is>
          <t>Applicable BLYP member</t>
        </is>
      </c>
      <c r="M75" s="29" t="inlineStr">
        <is>
          <t>BLYP mobile application and supporting production services</t>
        </is>
      </c>
      <c r="N75" s="29" t="inlineStr">
        <is>
          <t>Gift leader receives the largest tile</t>
        </is>
      </c>
      <c r="O75" s="29" t="inlineStr">
        <is>
          <t>Not explicitly defined in the product source; requires accountable product approval before production sign-off.</t>
        </is>
      </c>
      <c r="P75" s="29" t="inlineStr"/>
      <c r="Q75" s="29" t="inlineStr">
        <is>
          <t>No evidence</t>
        </is>
      </c>
      <c r="R75" s="29" t="inlineStr"/>
      <c r="S75" s="29" t="inlineStr">
        <is>
          <t>Unknown</t>
        </is>
      </c>
      <c r="T75" s="29" t="inlineStr">
        <is>
          <t>Unknown</t>
        </is>
      </c>
      <c r="U75" s="29" t="inlineStr">
        <is>
          <t>Unknown</t>
        </is>
      </c>
      <c r="V75" s="29" t="inlineStr">
        <is>
          <t>Unknown</t>
        </is>
      </c>
      <c r="W75" s="29" t="inlineStr">
        <is>
          <t>Unknown</t>
        </is>
      </c>
      <c r="X75" s="29" t="inlineStr">
        <is>
          <t>Unknown</t>
        </is>
      </c>
      <c r="Y75" s="29" t="inlineStr">
        <is>
          <t>Unknown</t>
        </is>
      </c>
      <c r="Z75" s="29" t="inlineStr">
        <is>
          <t>Unknown</t>
        </is>
      </c>
      <c r="AA75" s="29" t="inlineStr">
        <is>
          <t>Unknown</t>
        </is>
      </c>
      <c r="AB75" s="29" t="inlineStr">
        <is>
          <t>Unknown</t>
        </is>
      </c>
      <c r="AC75" s="29" t="inlineStr"/>
      <c r="AD75" s="29" t="inlineStr"/>
      <c r="AE75" s="29" t="inlineStr">
        <is>
          <t>Unknown</t>
        </is>
      </c>
      <c r="AF75" s="29" t="inlineStr">
        <is>
          <t>No exact feature-level physical path was resolved from the reviewed evidence.</t>
        </is>
      </c>
      <c r="AG75" s="29" t="inlineStr">
        <is>
          <t>Unknown</t>
        </is>
      </c>
      <c r="AH75" s="29" t="inlineStr">
        <is>
          <t>Unknown</t>
        </is>
      </c>
      <c r="AI75" s="29" t="inlineStr">
        <is>
          <t>Searched src/; A prior area review labelled this 'Partial', but did not supply a feature-level physical mapping; the authoritative state is therefore Unknown.</t>
        </is>
      </c>
      <c r="AJ75" s="29" t="inlineStr">
        <is>
          <t>Unknown</t>
        </is>
      </c>
      <c r="AK75" s="29" t="inlineStr">
        <is>
          <t>EV-04-0014</t>
        </is>
      </c>
      <c r="AL75" s="29" t="inlineStr"/>
      <c r="AM75" s="29" t="inlineStr"/>
      <c r="AN75" s="29" t="inlineStr"/>
      <c r="AO75" s="29" t="inlineStr">
        <is>
          <t>8bc0dcb2a1da1b21368c5536aaeef829d587f316</t>
        </is>
      </c>
      <c r="AP75" s="29" t="inlineStr">
        <is>
          <t>Low</t>
        </is>
      </c>
      <c r="AQ75" s="29" t="inlineStr">
        <is>
          <t>Not assessed</t>
        </is>
      </c>
      <c r="AR75" s="29" t="inlineStr">
        <is>
          <t>Not assessed</t>
        </is>
      </c>
      <c r="AS75" s="29" t="inlineStr">
        <is>
          <t>Not assessed</t>
        </is>
      </c>
      <c r="AT75" s="29" t="inlineStr">
        <is>
          <t>Not assessed</t>
        </is>
      </c>
      <c r="AU75" s="29" t="inlineStr">
        <is>
          <t>Not assessed</t>
        </is>
      </c>
      <c r="AV75" s="29" t="inlineStr">
        <is>
          <t>Not assessed</t>
        </is>
      </c>
      <c r="AW75" s="29" t="inlineStr">
        <is>
          <t>Not assessed</t>
        </is>
      </c>
      <c r="AX75" s="29" t="inlineStr">
        <is>
          <t>Not assessed</t>
        </is>
      </c>
      <c r="AY75" s="29" t="inlineStr">
        <is>
          <t>Not assessed</t>
        </is>
      </c>
      <c r="AZ75" s="29" t="inlineStr">
        <is>
          <t>Not assessed</t>
        </is>
      </c>
      <c r="BA75" s="29" t="inlineStr">
        <is>
          <t>Not assessed</t>
        </is>
      </c>
      <c r="BB75" s="29" t="inlineStr">
        <is>
          <t>Not assessed</t>
        </is>
      </c>
      <c r="BC75" s="29" t="inlineStr">
        <is>
          <t>Not assessed</t>
        </is>
      </c>
      <c r="BD75" s="29" t="inlineStr">
        <is>
          <t>Not assessed</t>
        </is>
      </c>
      <c r="BE75" s="29" t="inlineStr">
        <is>
          <t>Not assessed</t>
        </is>
      </c>
      <c r="BF75" s="29" t="inlineStr">
        <is>
          <t>Production readiness cannot be assessed until the exact physical implementation and runtime path are traced.</t>
        </is>
      </c>
      <c r="BG75" s="29" t="inlineStr">
        <is>
          <t>Map the feature to exact client, server, data, worker and configuration locations, then verify its runtime path.</t>
        </is>
      </c>
      <c r="BH75" s="29" t="inlineStr"/>
      <c r="BI75" s="29" t="inlineStr"/>
      <c r="BJ75" s="29" t="inlineStr"/>
      <c r="BK75" s="29" t="inlineStr">
        <is>
          <t>Evidence reconciled against the reviewed source revision. No production approval is inferred from implementation or file presence.</t>
        </is>
      </c>
      <c r="BL75" s="29" t="inlineStr">
        <is>
          <t>2026-08-02</t>
        </is>
      </c>
    </row>
    <row r="76" ht="42" customHeight="1">
      <c r="A76" s="29" t="inlineStr">
        <is>
          <t>BLYP-04-015</t>
        </is>
      </c>
      <c r="B76" s="29" t="inlineStr"/>
      <c r="C76" s="29" t="inlineStr">
        <is>
          <t>Always-on communal topic live rooms</t>
        </is>
      </c>
      <c r="D76" s="29" t="n">
        <v>4</v>
      </c>
      <c r="E76" s="29" t="n">
        <v>15</v>
      </c>
      <c r="F76" s="29" t="inlineStr">
        <is>
          <t>Feature</t>
        </is>
      </c>
      <c r="G76" s="29" t="inlineStr">
        <is>
          <t>Everyone remains visible during ranking changes</t>
        </is>
      </c>
      <c r="H76" s="29" t="inlineStr">
        <is>
          <t>Everyone remains visible during ranking changes</t>
        </is>
      </c>
      <c r="I76" s="29" t="inlineStr">
        <is>
          <t>/home/ubuntu/blyp_product_requirements.md :: Section 4 — Always-on communal topic live rooms</t>
        </is>
      </c>
      <c r="J76" s="29" t="inlineStr">
        <is>
          <t>/home/ubuntu/BLYP_COMPLETE_FEATURE_LIST.md:105</t>
        </is>
      </c>
      <c r="K76" s="29" t="inlineStr">
        <is>
          <t>Required</t>
        </is>
      </c>
      <c r="L76" s="29" t="inlineStr">
        <is>
          <t>Applicable BLYP member</t>
        </is>
      </c>
      <c r="M76" s="29" t="inlineStr">
        <is>
          <t>BLYP mobile application and supporting production services</t>
        </is>
      </c>
      <c r="N76" s="29" t="inlineStr">
        <is>
          <t>Everyone remains visible during ranking changes</t>
        </is>
      </c>
      <c r="O76" s="29" t="inlineStr">
        <is>
          <t>Not explicitly defined in the product source; requires accountable product approval before production sign-off.</t>
        </is>
      </c>
      <c r="P76" s="29" t="inlineStr"/>
      <c r="Q76" s="29" t="inlineStr">
        <is>
          <t>No evidence</t>
        </is>
      </c>
      <c r="R76" s="29" t="inlineStr"/>
      <c r="S76" s="29" t="inlineStr">
        <is>
          <t>Unknown</t>
        </is>
      </c>
      <c r="T76" s="29" t="inlineStr">
        <is>
          <t>Unknown</t>
        </is>
      </c>
      <c r="U76" s="29" t="inlineStr">
        <is>
          <t>Unknown</t>
        </is>
      </c>
      <c r="V76" s="29" t="inlineStr">
        <is>
          <t>Unknown</t>
        </is>
      </c>
      <c r="W76" s="29" t="inlineStr">
        <is>
          <t>Unknown</t>
        </is>
      </c>
      <c r="X76" s="29" t="inlineStr">
        <is>
          <t>Unknown</t>
        </is>
      </c>
      <c r="Y76" s="29" t="inlineStr">
        <is>
          <t>Unknown</t>
        </is>
      </c>
      <c r="Z76" s="29" t="inlineStr">
        <is>
          <t>Unknown</t>
        </is>
      </c>
      <c r="AA76" s="29" t="inlineStr">
        <is>
          <t>Unknown</t>
        </is>
      </c>
      <c r="AB76" s="29" t="inlineStr">
        <is>
          <t>Unknown</t>
        </is>
      </c>
      <c r="AC76" s="29" t="inlineStr"/>
      <c r="AD76" s="29" t="inlineStr"/>
      <c r="AE76" s="29" t="inlineStr">
        <is>
          <t>Unknown</t>
        </is>
      </c>
      <c r="AF76" s="29" t="inlineStr">
        <is>
          <t>No exact feature-level physical path was resolved from the reviewed evidence.</t>
        </is>
      </c>
      <c r="AG76" s="29" t="inlineStr">
        <is>
          <t>Unknown</t>
        </is>
      </c>
      <c r="AH76" s="29" t="inlineStr">
        <is>
          <t>Unknown</t>
        </is>
      </c>
      <c r="AI76" s="29" t="inlineStr">
        <is>
          <t>Searched src/; A prior area review labelled this 'Partial', but did not supply a feature-level physical mapping; the authoritative state is therefore Unknown.</t>
        </is>
      </c>
      <c r="AJ76" s="29" t="inlineStr">
        <is>
          <t>Unknown</t>
        </is>
      </c>
      <c r="AK76" s="29" t="inlineStr">
        <is>
          <t>EV-04-0015</t>
        </is>
      </c>
      <c r="AL76" s="29" t="inlineStr"/>
      <c r="AM76" s="29" t="inlineStr"/>
      <c r="AN76" s="29" t="inlineStr"/>
      <c r="AO76" s="29" t="inlineStr">
        <is>
          <t>8bc0dcb2a1da1b21368c5536aaeef829d587f316</t>
        </is>
      </c>
      <c r="AP76" s="29" t="inlineStr">
        <is>
          <t>Low</t>
        </is>
      </c>
      <c r="AQ76" s="29" t="inlineStr">
        <is>
          <t>Not assessed</t>
        </is>
      </c>
      <c r="AR76" s="29" t="inlineStr">
        <is>
          <t>Not assessed</t>
        </is>
      </c>
      <c r="AS76" s="29" t="inlineStr">
        <is>
          <t>Not assessed</t>
        </is>
      </c>
      <c r="AT76" s="29" t="inlineStr">
        <is>
          <t>Not assessed</t>
        </is>
      </c>
      <c r="AU76" s="29" t="inlineStr">
        <is>
          <t>Not assessed</t>
        </is>
      </c>
      <c r="AV76" s="29" t="inlineStr">
        <is>
          <t>Not assessed</t>
        </is>
      </c>
      <c r="AW76" s="29" t="inlineStr">
        <is>
          <t>Not assessed</t>
        </is>
      </c>
      <c r="AX76" s="29" t="inlineStr">
        <is>
          <t>Not assessed</t>
        </is>
      </c>
      <c r="AY76" s="29" t="inlineStr">
        <is>
          <t>Not assessed</t>
        </is>
      </c>
      <c r="AZ76" s="29" t="inlineStr">
        <is>
          <t>Not assessed</t>
        </is>
      </c>
      <c r="BA76" s="29" t="inlineStr">
        <is>
          <t>Not assessed</t>
        </is>
      </c>
      <c r="BB76" s="29" t="inlineStr">
        <is>
          <t>Not assessed</t>
        </is>
      </c>
      <c r="BC76" s="29" t="inlineStr">
        <is>
          <t>Not assessed</t>
        </is>
      </c>
      <c r="BD76" s="29" t="inlineStr">
        <is>
          <t>Not assessed</t>
        </is>
      </c>
      <c r="BE76" s="29" t="inlineStr">
        <is>
          <t>Not assessed</t>
        </is>
      </c>
      <c r="BF76" s="29" t="inlineStr">
        <is>
          <t>Production readiness cannot be assessed until the exact physical implementation and runtime path are traced.</t>
        </is>
      </c>
      <c r="BG76" s="29" t="inlineStr">
        <is>
          <t>Map the feature to exact client, server, data, worker and configuration locations, then verify its runtime path.</t>
        </is>
      </c>
      <c r="BH76" s="29" t="inlineStr"/>
      <c r="BI76" s="29" t="inlineStr"/>
      <c r="BJ76" s="29" t="inlineStr"/>
      <c r="BK76" s="29" t="inlineStr">
        <is>
          <t>Evidence reconciled against the reviewed source revision. No production approval is inferred from implementation or file presence.</t>
        </is>
      </c>
      <c r="BL76" s="29" t="inlineStr">
        <is>
          <t>2026-08-02</t>
        </is>
      </c>
    </row>
    <row r="77" ht="42" customHeight="1">
      <c r="A77" s="29" t="inlineStr">
        <is>
          <t>BLYP-04-016</t>
        </is>
      </c>
      <c r="B77" s="29" t="inlineStr"/>
      <c r="C77" s="29" t="inlineStr">
        <is>
          <t>Always-on communal topic live rooms</t>
        </is>
      </c>
      <c r="D77" s="29" t="n">
        <v>4</v>
      </c>
      <c r="E77" s="29" t="n">
        <v>16</v>
      </c>
      <c r="F77" s="29" t="inlineStr">
        <is>
          <t>Feature</t>
        </is>
      </c>
      <c r="G77" s="29" t="inlineStr">
        <is>
          <t>24-hour gift-ranking cycle</t>
        </is>
      </c>
      <c r="H77" s="29" t="inlineStr">
        <is>
          <t>24-hour gift-ranking cycle</t>
        </is>
      </c>
      <c r="I77" s="29" t="inlineStr">
        <is>
          <t>/home/ubuntu/blyp_product_requirements.md :: Section 4 — Always-on communal topic live rooms</t>
        </is>
      </c>
      <c r="J77" s="29" t="inlineStr">
        <is>
          <t>/home/ubuntu/BLYP_COMPLETE_FEATURE_LIST.md:106</t>
        </is>
      </c>
      <c r="K77" s="29" t="inlineStr">
        <is>
          <t>Required</t>
        </is>
      </c>
      <c r="L77" s="29" t="inlineStr">
        <is>
          <t>Applicable BLYP member</t>
        </is>
      </c>
      <c r="M77" s="29" t="inlineStr">
        <is>
          <t>BLYP mobile application and supporting production services</t>
        </is>
      </c>
      <c r="N77" s="29" t="inlineStr">
        <is>
          <t>24-hour gift-ranking cycle</t>
        </is>
      </c>
      <c r="O77" s="29" t="inlineStr">
        <is>
          <t>Not explicitly defined in the product source; requires accountable product approval before production sign-off.</t>
        </is>
      </c>
      <c r="P77" s="29" t="inlineStr"/>
      <c r="Q77" s="29" t="inlineStr">
        <is>
          <t>No evidence</t>
        </is>
      </c>
      <c r="R77" s="29" t="inlineStr"/>
      <c r="S77" s="29" t="inlineStr">
        <is>
          <t>Unknown</t>
        </is>
      </c>
      <c r="T77" s="29" t="inlineStr">
        <is>
          <t>Unknown</t>
        </is>
      </c>
      <c r="U77" s="29" t="inlineStr">
        <is>
          <t>Unknown</t>
        </is>
      </c>
      <c r="V77" s="29" t="inlineStr">
        <is>
          <t>Unknown</t>
        </is>
      </c>
      <c r="W77" s="29" t="inlineStr">
        <is>
          <t>Unknown</t>
        </is>
      </c>
      <c r="X77" s="29" t="inlineStr">
        <is>
          <t>Unknown</t>
        </is>
      </c>
      <c r="Y77" s="29" t="inlineStr">
        <is>
          <t>Unknown</t>
        </is>
      </c>
      <c r="Z77" s="29" t="inlineStr">
        <is>
          <t>Unknown</t>
        </is>
      </c>
      <c r="AA77" s="29" t="inlineStr">
        <is>
          <t>Unknown</t>
        </is>
      </c>
      <c r="AB77" s="29" t="inlineStr">
        <is>
          <t>Unknown</t>
        </is>
      </c>
      <c r="AC77" s="29" t="inlineStr"/>
      <c r="AD77" s="29" t="inlineStr"/>
      <c r="AE77" s="29" t="inlineStr">
        <is>
          <t>Unknown</t>
        </is>
      </c>
      <c r="AF77" s="29" t="inlineStr">
        <is>
          <t>No exact feature-level physical path was resolved from the reviewed evidence.</t>
        </is>
      </c>
      <c r="AG77" s="29" t="inlineStr">
        <is>
          <t>Unknown</t>
        </is>
      </c>
      <c r="AH77" s="29" t="inlineStr">
        <is>
          <t>Unknown</t>
        </is>
      </c>
      <c r="AI77" s="29" t="inlineStr">
        <is>
          <t>Searched src/; A prior area review labelled this 'Partial', but did not supply a feature-level physical mapping; the authoritative state is therefore Unknown.</t>
        </is>
      </c>
      <c r="AJ77" s="29" t="inlineStr">
        <is>
          <t>Unknown</t>
        </is>
      </c>
      <c r="AK77" s="29" t="inlineStr">
        <is>
          <t>EV-04-0016</t>
        </is>
      </c>
      <c r="AL77" s="29" t="inlineStr"/>
      <c r="AM77" s="29" t="inlineStr"/>
      <c r="AN77" s="29" t="inlineStr"/>
      <c r="AO77" s="29" t="inlineStr">
        <is>
          <t>8bc0dcb2a1da1b21368c5536aaeef829d587f316</t>
        </is>
      </c>
      <c r="AP77" s="29" t="inlineStr">
        <is>
          <t>Low</t>
        </is>
      </c>
      <c r="AQ77" s="29" t="inlineStr">
        <is>
          <t>Not assessed</t>
        </is>
      </c>
      <c r="AR77" s="29" t="inlineStr">
        <is>
          <t>Not assessed</t>
        </is>
      </c>
      <c r="AS77" s="29" t="inlineStr">
        <is>
          <t>Not assessed</t>
        </is>
      </c>
      <c r="AT77" s="29" t="inlineStr">
        <is>
          <t>Not assessed</t>
        </is>
      </c>
      <c r="AU77" s="29" t="inlineStr">
        <is>
          <t>Not assessed</t>
        </is>
      </c>
      <c r="AV77" s="29" t="inlineStr">
        <is>
          <t>Not assessed</t>
        </is>
      </c>
      <c r="AW77" s="29" t="inlineStr">
        <is>
          <t>Not assessed</t>
        </is>
      </c>
      <c r="AX77" s="29" t="inlineStr">
        <is>
          <t>Not assessed</t>
        </is>
      </c>
      <c r="AY77" s="29" t="inlineStr">
        <is>
          <t>Not assessed</t>
        </is>
      </c>
      <c r="AZ77" s="29" t="inlineStr">
        <is>
          <t>Not assessed</t>
        </is>
      </c>
      <c r="BA77" s="29" t="inlineStr">
        <is>
          <t>Not assessed</t>
        </is>
      </c>
      <c r="BB77" s="29" t="inlineStr">
        <is>
          <t>Not assessed</t>
        </is>
      </c>
      <c r="BC77" s="29" t="inlineStr">
        <is>
          <t>Not assessed</t>
        </is>
      </c>
      <c r="BD77" s="29" t="inlineStr">
        <is>
          <t>Not assessed</t>
        </is>
      </c>
      <c r="BE77" s="29" t="inlineStr">
        <is>
          <t>Not assessed</t>
        </is>
      </c>
      <c r="BF77" s="29" t="inlineStr">
        <is>
          <t>Production readiness cannot be assessed until the exact physical implementation and runtime path are traced.</t>
        </is>
      </c>
      <c r="BG77" s="29" t="inlineStr">
        <is>
          <t>Map the feature to exact client, server, data, worker and configuration locations, then verify its runtime path.</t>
        </is>
      </c>
      <c r="BH77" s="29" t="inlineStr"/>
      <c r="BI77" s="29" t="inlineStr"/>
      <c r="BJ77" s="29" t="inlineStr"/>
      <c r="BK77" s="29" t="inlineStr">
        <is>
          <t>Evidence reconciled against the reviewed source revision. No production approval is inferred from implementation or file presence.</t>
        </is>
      </c>
      <c r="BL77" s="29" t="inlineStr">
        <is>
          <t>2026-08-02</t>
        </is>
      </c>
    </row>
    <row r="78" ht="42" customHeight="1">
      <c r="A78" s="29" t="inlineStr">
        <is>
          <t>BLYP-04-017</t>
        </is>
      </c>
      <c r="B78" s="29" t="inlineStr"/>
      <c r="C78" s="29" t="inlineStr">
        <is>
          <t>Always-on communal topic live rooms</t>
        </is>
      </c>
      <c r="D78" s="29" t="n">
        <v>4</v>
      </c>
      <c r="E78" s="29" t="n">
        <v>17</v>
      </c>
      <c r="F78" s="29" t="inlineStr">
        <is>
          <t>Feature</t>
        </is>
      </c>
      <c r="G78" s="29" t="inlineStr">
        <is>
          <t>Visible ranking-reset countdown</t>
        </is>
      </c>
      <c r="H78" s="29" t="inlineStr">
        <is>
          <t>Visible ranking-reset countdown</t>
        </is>
      </c>
      <c r="I78" s="29" t="inlineStr">
        <is>
          <t>/home/ubuntu/blyp_product_requirements.md :: Section 4 — Always-on communal topic live rooms</t>
        </is>
      </c>
      <c r="J78" s="29" t="inlineStr">
        <is>
          <t>/home/ubuntu/BLYP_COMPLETE_FEATURE_LIST.md:107</t>
        </is>
      </c>
      <c r="K78" s="29" t="inlineStr">
        <is>
          <t>Required</t>
        </is>
      </c>
      <c r="L78" s="29" t="inlineStr">
        <is>
          <t>Applicable BLYP member</t>
        </is>
      </c>
      <c r="M78" s="29" t="inlineStr">
        <is>
          <t>BLYP mobile application and supporting production services</t>
        </is>
      </c>
      <c r="N78" s="29" t="inlineStr">
        <is>
          <t>Visible ranking-reset countdown</t>
        </is>
      </c>
      <c r="O78" s="29" t="inlineStr">
        <is>
          <t>Not explicitly defined in the product source; requires accountable product approval before production sign-off.</t>
        </is>
      </c>
      <c r="P78" s="29" t="inlineStr"/>
      <c r="Q78" s="29" t="inlineStr">
        <is>
          <t>No evidence</t>
        </is>
      </c>
      <c r="R78" s="29" t="inlineStr"/>
      <c r="S78" s="29" t="inlineStr">
        <is>
          <t>Unknown</t>
        </is>
      </c>
      <c r="T78" s="29" t="inlineStr">
        <is>
          <t>Unknown</t>
        </is>
      </c>
      <c r="U78" s="29" t="inlineStr">
        <is>
          <t>Unknown</t>
        </is>
      </c>
      <c r="V78" s="29" t="inlineStr">
        <is>
          <t>Unknown</t>
        </is>
      </c>
      <c r="W78" s="29" t="inlineStr">
        <is>
          <t>Unknown</t>
        </is>
      </c>
      <c r="X78" s="29" t="inlineStr">
        <is>
          <t>Unknown</t>
        </is>
      </c>
      <c r="Y78" s="29" t="inlineStr">
        <is>
          <t>Unknown</t>
        </is>
      </c>
      <c r="Z78" s="29" t="inlineStr">
        <is>
          <t>Unknown</t>
        </is>
      </c>
      <c r="AA78" s="29" t="inlineStr">
        <is>
          <t>Unknown</t>
        </is>
      </c>
      <c r="AB78" s="29" t="inlineStr">
        <is>
          <t>Unknown</t>
        </is>
      </c>
      <c r="AC78" s="29" t="inlineStr"/>
      <c r="AD78" s="29" t="inlineStr"/>
      <c r="AE78" s="29" t="inlineStr">
        <is>
          <t>Unknown</t>
        </is>
      </c>
      <c r="AF78" s="29" t="inlineStr">
        <is>
          <t>No exact feature-level physical path was resolved from the reviewed evidence.</t>
        </is>
      </c>
      <c r="AG78" s="29" t="inlineStr">
        <is>
          <t>Unknown</t>
        </is>
      </c>
      <c r="AH78" s="29" t="inlineStr">
        <is>
          <t>Unknown</t>
        </is>
      </c>
      <c r="AI78" s="29" t="inlineStr">
        <is>
          <t>Searched src/; A prior area review labelled this 'Partial', but did not supply a feature-level physical mapping; the authoritative state is therefore Unknown.</t>
        </is>
      </c>
      <c r="AJ78" s="29" t="inlineStr">
        <is>
          <t>Unknown</t>
        </is>
      </c>
      <c r="AK78" s="29" t="inlineStr">
        <is>
          <t>EV-04-0017</t>
        </is>
      </c>
      <c r="AL78" s="29" t="inlineStr"/>
      <c r="AM78" s="29" t="inlineStr"/>
      <c r="AN78" s="29" t="inlineStr"/>
      <c r="AO78" s="29" t="inlineStr">
        <is>
          <t>8bc0dcb2a1da1b21368c5536aaeef829d587f316</t>
        </is>
      </c>
      <c r="AP78" s="29" t="inlineStr">
        <is>
          <t>Low</t>
        </is>
      </c>
      <c r="AQ78" s="29" t="inlineStr">
        <is>
          <t>Not assessed</t>
        </is>
      </c>
      <c r="AR78" s="29" t="inlineStr">
        <is>
          <t>Not assessed</t>
        </is>
      </c>
      <c r="AS78" s="29" t="inlineStr">
        <is>
          <t>Not assessed</t>
        </is>
      </c>
      <c r="AT78" s="29" t="inlineStr">
        <is>
          <t>Not assessed</t>
        </is>
      </c>
      <c r="AU78" s="29" t="inlineStr">
        <is>
          <t>Not assessed</t>
        </is>
      </c>
      <c r="AV78" s="29" t="inlineStr">
        <is>
          <t>Not assessed</t>
        </is>
      </c>
      <c r="AW78" s="29" t="inlineStr">
        <is>
          <t>Not assessed</t>
        </is>
      </c>
      <c r="AX78" s="29" t="inlineStr">
        <is>
          <t>Not assessed</t>
        </is>
      </c>
      <c r="AY78" s="29" t="inlineStr">
        <is>
          <t>Not assessed</t>
        </is>
      </c>
      <c r="AZ78" s="29" t="inlineStr">
        <is>
          <t>Not assessed</t>
        </is>
      </c>
      <c r="BA78" s="29" t="inlineStr">
        <is>
          <t>Not assessed</t>
        </is>
      </c>
      <c r="BB78" s="29" t="inlineStr">
        <is>
          <t>Not assessed</t>
        </is>
      </c>
      <c r="BC78" s="29" t="inlineStr">
        <is>
          <t>Not assessed</t>
        </is>
      </c>
      <c r="BD78" s="29" t="inlineStr">
        <is>
          <t>Not assessed</t>
        </is>
      </c>
      <c r="BE78" s="29" t="inlineStr">
        <is>
          <t>Not assessed</t>
        </is>
      </c>
      <c r="BF78" s="29" t="inlineStr">
        <is>
          <t>Production readiness cannot be assessed until the exact physical implementation and runtime path are traced.</t>
        </is>
      </c>
      <c r="BG78" s="29" t="inlineStr">
        <is>
          <t>Map the feature to exact client, server, data, worker and configuration locations, then verify its runtime path.</t>
        </is>
      </c>
      <c r="BH78" s="29" t="inlineStr"/>
      <c r="BI78" s="29" t="inlineStr"/>
      <c r="BJ78" s="29" t="inlineStr"/>
      <c r="BK78" s="29" t="inlineStr">
        <is>
          <t>Evidence reconciled against the reviewed source revision. No production approval is inferred from implementation or file presence.</t>
        </is>
      </c>
      <c r="BL78" s="29" t="inlineStr">
        <is>
          <t>2026-08-02</t>
        </is>
      </c>
    </row>
    <row r="79" ht="42" customHeight="1">
      <c r="A79" s="29" t="inlineStr">
        <is>
          <t>BLYP-04-018</t>
        </is>
      </c>
      <c r="B79" s="29" t="inlineStr"/>
      <c r="C79" s="29" t="inlineStr">
        <is>
          <t>Always-on communal topic live rooms</t>
        </is>
      </c>
      <c r="D79" s="29" t="n">
        <v>4</v>
      </c>
      <c r="E79" s="29" t="n">
        <v>18</v>
      </c>
      <c r="F79" s="29" t="inlineStr">
        <is>
          <t>Feature</t>
        </is>
      </c>
      <c r="G79" s="29" t="inlineStr">
        <is>
          <t>Daily ranking history</t>
        </is>
      </c>
      <c r="H79" s="29" t="inlineStr">
        <is>
          <t>Daily ranking history</t>
        </is>
      </c>
      <c r="I79" s="29" t="inlineStr">
        <is>
          <t>/home/ubuntu/blyp_product_requirements.md :: Section 4 — Always-on communal topic live rooms</t>
        </is>
      </c>
      <c r="J79" s="29" t="inlineStr">
        <is>
          <t>/home/ubuntu/BLYP_COMPLETE_FEATURE_LIST.md:108</t>
        </is>
      </c>
      <c r="K79" s="29" t="inlineStr">
        <is>
          <t>Required</t>
        </is>
      </c>
      <c r="L79" s="29" t="inlineStr">
        <is>
          <t>Applicable BLYP member</t>
        </is>
      </c>
      <c r="M79" s="29" t="inlineStr">
        <is>
          <t>BLYP mobile application and supporting production services</t>
        </is>
      </c>
      <c r="N79" s="29" t="inlineStr">
        <is>
          <t>Daily ranking history</t>
        </is>
      </c>
      <c r="O79" s="29" t="inlineStr">
        <is>
          <t>Not explicitly defined in the product source; requires accountable product approval before production sign-off.</t>
        </is>
      </c>
      <c r="P79" s="29" t="inlineStr"/>
      <c r="Q79" s="29" t="inlineStr">
        <is>
          <t>No evidence</t>
        </is>
      </c>
      <c r="R79" s="29" t="inlineStr"/>
      <c r="S79" s="29" t="inlineStr">
        <is>
          <t>Unknown</t>
        </is>
      </c>
      <c r="T79" s="29" t="inlineStr">
        <is>
          <t>Unknown</t>
        </is>
      </c>
      <c r="U79" s="29" t="inlineStr">
        <is>
          <t>Unknown</t>
        </is>
      </c>
      <c r="V79" s="29" t="inlineStr">
        <is>
          <t>Unknown</t>
        </is>
      </c>
      <c r="W79" s="29" t="inlineStr">
        <is>
          <t>Unknown</t>
        </is>
      </c>
      <c r="X79" s="29" t="inlineStr">
        <is>
          <t>Unknown</t>
        </is>
      </c>
      <c r="Y79" s="29" t="inlineStr">
        <is>
          <t>Unknown</t>
        </is>
      </c>
      <c r="Z79" s="29" t="inlineStr">
        <is>
          <t>Unknown</t>
        </is>
      </c>
      <c r="AA79" s="29" t="inlineStr">
        <is>
          <t>Unknown</t>
        </is>
      </c>
      <c r="AB79" s="29" t="inlineStr">
        <is>
          <t>Unknown</t>
        </is>
      </c>
      <c r="AC79" s="29" t="inlineStr"/>
      <c r="AD79" s="29" t="inlineStr"/>
      <c r="AE79" s="29" t="inlineStr">
        <is>
          <t>Unknown</t>
        </is>
      </c>
      <c r="AF79" s="29" t="inlineStr">
        <is>
          <t>No exact feature-level physical path was resolved from the reviewed evidence.</t>
        </is>
      </c>
      <c r="AG79" s="29" t="inlineStr">
        <is>
          <t>Unknown</t>
        </is>
      </c>
      <c r="AH79" s="29" t="inlineStr">
        <is>
          <t>Unknown</t>
        </is>
      </c>
      <c r="AI79" s="29" t="inlineStr">
        <is>
          <t>Searched src/; A prior area review labelled this 'Partial', but did not supply a feature-level physical mapping; the authoritative state is therefore Unknown.</t>
        </is>
      </c>
      <c r="AJ79" s="29" t="inlineStr">
        <is>
          <t>Unknown</t>
        </is>
      </c>
      <c r="AK79" s="29" t="inlineStr">
        <is>
          <t>EV-04-0018</t>
        </is>
      </c>
      <c r="AL79" s="29" t="inlineStr"/>
      <c r="AM79" s="29" t="inlineStr"/>
      <c r="AN79" s="29" t="inlineStr"/>
      <c r="AO79" s="29" t="inlineStr">
        <is>
          <t>8bc0dcb2a1da1b21368c5536aaeef829d587f316</t>
        </is>
      </c>
      <c r="AP79" s="29" t="inlineStr">
        <is>
          <t>Low</t>
        </is>
      </c>
      <c r="AQ79" s="29" t="inlineStr">
        <is>
          <t>Not assessed</t>
        </is>
      </c>
      <c r="AR79" s="29" t="inlineStr">
        <is>
          <t>Not assessed</t>
        </is>
      </c>
      <c r="AS79" s="29" t="inlineStr">
        <is>
          <t>Not assessed</t>
        </is>
      </c>
      <c r="AT79" s="29" t="inlineStr">
        <is>
          <t>Not assessed</t>
        </is>
      </c>
      <c r="AU79" s="29" t="inlineStr">
        <is>
          <t>Not assessed</t>
        </is>
      </c>
      <c r="AV79" s="29" t="inlineStr">
        <is>
          <t>Not assessed</t>
        </is>
      </c>
      <c r="AW79" s="29" t="inlineStr">
        <is>
          <t>Not assessed</t>
        </is>
      </c>
      <c r="AX79" s="29" t="inlineStr">
        <is>
          <t>Not assessed</t>
        </is>
      </c>
      <c r="AY79" s="29" t="inlineStr">
        <is>
          <t>Not assessed</t>
        </is>
      </c>
      <c r="AZ79" s="29" t="inlineStr">
        <is>
          <t>Not assessed</t>
        </is>
      </c>
      <c r="BA79" s="29" t="inlineStr">
        <is>
          <t>Not assessed</t>
        </is>
      </c>
      <c r="BB79" s="29" t="inlineStr">
        <is>
          <t>Not assessed</t>
        </is>
      </c>
      <c r="BC79" s="29" t="inlineStr">
        <is>
          <t>Not assessed</t>
        </is>
      </c>
      <c r="BD79" s="29" t="inlineStr">
        <is>
          <t>Not assessed</t>
        </is>
      </c>
      <c r="BE79" s="29" t="inlineStr">
        <is>
          <t>Not assessed</t>
        </is>
      </c>
      <c r="BF79" s="29" t="inlineStr">
        <is>
          <t>Production readiness cannot be assessed until the exact physical implementation and runtime path are traced.</t>
        </is>
      </c>
      <c r="BG79" s="29" t="inlineStr">
        <is>
          <t>Map the feature to exact client, server, data, worker and configuration locations, then verify its runtime path.</t>
        </is>
      </c>
      <c r="BH79" s="29" t="inlineStr"/>
      <c r="BI79" s="29" t="inlineStr"/>
      <c r="BJ79" s="29" t="inlineStr"/>
      <c r="BK79" s="29" t="inlineStr">
        <is>
          <t>Evidence reconciled against the reviewed source revision. No production approval is inferred from implementation or file presence.</t>
        </is>
      </c>
      <c r="BL79" s="29" t="inlineStr">
        <is>
          <t>2026-08-02</t>
        </is>
      </c>
    </row>
    <row r="80" ht="42" customHeight="1">
      <c r="A80" s="29" t="inlineStr">
        <is>
          <t>BLYP-04-019</t>
        </is>
      </c>
      <c r="B80" s="29" t="inlineStr"/>
      <c r="C80" s="29" t="inlineStr">
        <is>
          <t>Always-on communal topic live rooms</t>
        </is>
      </c>
      <c r="D80" s="29" t="n">
        <v>4</v>
      </c>
      <c r="E80" s="29" t="n">
        <v>19</v>
      </c>
      <c r="F80" s="29" t="inlineStr">
        <is>
          <t>Rule</t>
        </is>
      </c>
      <c r="G80" s="29" t="inlineStr">
        <is>
          <t>Rate-limited layout changes</t>
        </is>
      </c>
      <c r="H80" s="29" t="inlineStr">
        <is>
          <t>Rate-limited layout changes</t>
        </is>
      </c>
      <c r="I80" s="29" t="inlineStr">
        <is>
          <t>/home/ubuntu/blyp_product_requirements.md :: Section 4 — Always-on communal topic live rooms</t>
        </is>
      </c>
      <c r="J80" s="29" t="inlineStr">
        <is>
          <t>/home/ubuntu/BLYP_COMPLETE_FEATURE_LIST.md:109</t>
        </is>
      </c>
      <c r="K80" s="29" t="inlineStr">
        <is>
          <t>Required</t>
        </is>
      </c>
      <c r="L80" s="29" t="inlineStr">
        <is>
          <t>Applicable BLYP member</t>
        </is>
      </c>
      <c r="M80" s="29" t="inlineStr">
        <is>
          <t>BLYP mobile application and supporting production services</t>
        </is>
      </c>
      <c r="N80" s="29" t="inlineStr">
        <is>
          <t>Rate-limited layout changes</t>
        </is>
      </c>
      <c r="O80" s="29" t="inlineStr">
        <is>
          <t>Not explicitly defined in the product source; requires accountable product approval before production sign-off.</t>
        </is>
      </c>
      <c r="P80" s="29" t="inlineStr"/>
      <c r="Q80" s="29" t="inlineStr">
        <is>
          <t>No evidence</t>
        </is>
      </c>
      <c r="R80" s="29" t="inlineStr"/>
      <c r="S80" s="29" t="inlineStr">
        <is>
          <t>Unknown</t>
        </is>
      </c>
      <c r="T80" s="29" t="inlineStr">
        <is>
          <t>Unknown</t>
        </is>
      </c>
      <c r="U80" s="29" t="inlineStr">
        <is>
          <t>Unknown</t>
        </is>
      </c>
      <c r="V80" s="29" t="inlineStr">
        <is>
          <t>Unknown</t>
        </is>
      </c>
      <c r="W80" s="29" t="inlineStr">
        <is>
          <t>Unknown</t>
        </is>
      </c>
      <c r="X80" s="29" t="inlineStr">
        <is>
          <t>Unknown</t>
        </is>
      </c>
      <c r="Y80" s="29" t="inlineStr">
        <is>
          <t>Unknown</t>
        </is>
      </c>
      <c r="Z80" s="29" t="inlineStr">
        <is>
          <t>Unknown</t>
        </is>
      </c>
      <c r="AA80" s="29" t="inlineStr">
        <is>
          <t>Unknown</t>
        </is>
      </c>
      <c r="AB80" s="29" t="inlineStr">
        <is>
          <t>Unknown</t>
        </is>
      </c>
      <c r="AC80" s="29" t="inlineStr"/>
      <c r="AD80" s="29" t="inlineStr"/>
      <c r="AE80" s="29" t="inlineStr">
        <is>
          <t>Unknown</t>
        </is>
      </c>
      <c r="AF80" s="29" t="inlineStr">
        <is>
          <t>No exact feature-level physical path was resolved from the reviewed evidence.</t>
        </is>
      </c>
      <c r="AG80" s="29" t="inlineStr">
        <is>
          <t>Unknown</t>
        </is>
      </c>
      <c r="AH80" s="29" t="inlineStr">
        <is>
          <t>Unknown</t>
        </is>
      </c>
      <c r="AI80" s="29" t="inlineStr">
        <is>
          <t>Searched src/; A prior area review labelled this 'Partial', but did not supply a feature-level physical mapping; the authoritative state is therefore Unknown.</t>
        </is>
      </c>
      <c r="AJ80" s="29" t="inlineStr">
        <is>
          <t>Unknown</t>
        </is>
      </c>
      <c r="AK80" s="29" t="inlineStr">
        <is>
          <t>EV-04-0019</t>
        </is>
      </c>
      <c r="AL80" s="29" t="inlineStr"/>
      <c r="AM80" s="29" t="inlineStr"/>
      <c r="AN80" s="29" t="inlineStr"/>
      <c r="AO80" s="29" t="inlineStr">
        <is>
          <t>8bc0dcb2a1da1b21368c5536aaeef829d587f316</t>
        </is>
      </c>
      <c r="AP80" s="29" t="inlineStr">
        <is>
          <t>Low</t>
        </is>
      </c>
      <c r="AQ80" s="29" t="inlineStr">
        <is>
          <t>Not assessed</t>
        </is>
      </c>
      <c r="AR80" s="29" t="inlineStr">
        <is>
          <t>Not assessed</t>
        </is>
      </c>
      <c r="AS80" s="29" t="inlineStr">
        <is>
          <t>Not assessed</t>
        </is>
      </c>
      <c r="AT80" s="29" t="inlineStr">
        <is>
          <t>Not assessed</t>
        </is>
      </c>
      <c r="AU80" s="29" t="inlineStr">
        <is>
          <t>Not assessed</t>
        </is>
      </c>
      <c r="AV80" s="29" t="inlineStr">
        <is>
          <t>Not assessed</t>
        </is>
      </c>
      <c r="AW80" s="29" t="inlineStr">
        <is>
          <t>Not assessed</t>
        </is>
      </c>
      <c r="AX80" s="29" t="inlineStr">
        <is>
          <t>Not assessed</t>
        </is>
      </c>
      <c r="AY80" s="29" t="inlineStr">
        <is>
          <t>Not assessed</t>
        </is>
      </c>
      <c r="AZ80" s="29" t="inlineStr">
        <is>
          <t>Not assessed</t>
        </is>
      </c>
      <c r="BA80" s="29" t="inlineStr">
        <is>
          <t>Not assessed</t>
        </is>
      </c>
      <c r="BB80" s="29" t="inlineStr">
        <is>
          <t>Not assessed</t>
        </is>
      </c>
      <c r="BC80" s="29" t="inlineStr">
        <is>
          <t>Not assessed</t>
        </is>
      </c>
      <c r="BD80" s="29" t="inlineStr">
        <is>
          <t>Not assessed</t>
        </is>
      </c>
      <c r="BE80" s="29" t="inlineStr">
        <is>
          <t>Not assessed</t>
        </is>
      </c>
      <c r="BF80" s="29" t="inlineStr">
        <is>
          <t>Production readiness cannot be assessed until the exact physical implementation and runtime path are traced.</t>
        </is>
      </c>
      <c r="BG80" s="29" t="inlineStr">
        <is>
          <t>Map the feature to exact client, server, data, worker and configuration locations, then verify its runtime path.</t>
        </is>
      </c>
      <c r="BH80" s="29" t="inlineStr"/>
      <c r="BI80" s="29" t="inlineStr"/>
      <c r="BJ80" s="29" t="inlineStr"/>
      <c r="BK80" s="29" t="inlineStr">
        <is>
          <t>Evidence reconciled against the reviewed source revision. No production approval is inferred from implementation or file presence.</t>
        </is>
      </c>
      <c r="BL80" s="29" t="inlineStr">
        <is>
          <t>2026-08-02</t>
        </is>
      </c>
    </row>
    <row r="81" ht="42" customHeight="1">
      <c r="A81" s="29" t="inlineStr">
        <is>
          <t>BLYP-04-020</t>
        </is>
      </c>
      <c r="B81" s="29" t="inlineStr"/>
      <c r="C81" s="29" t="inlineStr">
        <is>
          <t>Always-on communal topic live rooms</t>
        </is>
      </c>
      <c r="D81" s="29" t="n">
        <v>4</v>
      </c>
      <c r="E81" s="29" t="n">
        <v>20</v>
      </c>
      <c r="F81" s="29" t="inlineStr">
        <is>
          <t>Feature</t>
        </is>
      </c>
      <c r="G81" s="29" t="inlineStr">
        <is>
          <t>Persistent Interest chat plus focused live-session chat</t>
        </is>
      </c>
      <c r="H81" s="29" t="inlineStr">
        <is>
          <t>Persistent Interest chat plus focused live-session chat</t>
        </is>
      </c>
      <c r="I81" s="29" t="inlineStr">
        <is>
          <t>/home/ubuntu/blyp_product_requirements.md :: Section 4 — Always-on communal topic live rooms</t>
        </is>
      </c>
      <c r="J81" s="29" t="inlineStr">
        <is>
          <t>/home/ubuntu/BLYP_COMPLETE_FEATURE_LIST.md:110</t>
        </is>
      </c>
      <c r="K81" s="29" t="inlineStr">
        <is>
          <t>Required</t>
        </is>
      </c>
      <c r="L81" s="29" t="inlineStr">
        <is>
          <t>Applicable BLYP member</t>
        </is>
      </c>
      <c r="M81" s="29" t="inlineStr">
        <is>
          <t>BLYP mobile application and supporting production services</t>
        </is>
      </c>
      <c r="N81" s="29" t="inlineStr">
        <is>
          <t>Persistent Interest chat plus focused live-session chat</t>
        </is>
      </c>
      <c r="O81" s="29" t="inlineStr">
        <is>
          <t>Not explicitly defined in the product source; requires accountable product approval before production sign-off.</t>
        </is>
      </c>
      <c r="P81" s="29" t="inlineStr"/>
      <c r="Q81" s="29" t="inlineStr">
        <is>
          <t>Partial</t>
        </is>
      </c>
      <c r="R81" s="29" t="inlineStr"/>
      <c r="S81" s="29" t="inlineStr">
        <is>
          <t>Unknown</t>
        </is>
      </c>
      <c r="T81" s="29" t="inlineStr">
        <is>
          <t>Unknown</t>
        </is>
      </c>
      <c r="U81" s="29" t="inlineStr">
        <is>
          <t>Unknown</t>
        </is>
      </c>
      <c r="V81" s="29" t="inlineStr">
        <is>
          <t>Unknown</t>
        </is>
      </c>
      <c r="W81" s="29" t="inlineStr">
        <is>
          <t>Unknown</t>
        </is>
      </c>
      <c r="X81" s="29" t="inlineStr">
        <is>
          <t>Unknown</t>
        </is>
      </c>
      <c r="Y81" s="29" t="inlineStr">
        <is>
          <t>Unknown</t>
        </is>
      </c>
      <c r="Z81" s="29" t="inlineStr">
        <is>
          <t>Unknown</t>
        </is>
      </c>
      <c r="AA81" s="29" t="inlineStr">
        <is>
          <t>Unknown</t>
        </is>
      </c>
      <c r="AB81" s="29" t="inlineStr">
        <is>
          <t>Unknown</t>
        </is>
      </c>
      <c r="AC81" s="29" t="inlineStr"/>
      <c r="AD81" s="29" t="inlineStr"/>
      <c r="AE81" s="29" t="inlineStr">
        <is>
          <t>Unknown</t>
        </is>
      </c>
      <c r="AF81" s="29" t="inlineStr">
        <is>
          <t>No exact feature-level physical path was resolved from the reviewed evidence.</t>
        </is>
      </c>
      <c r="AG81" s="29" t="inlineStr">
        <is>
          <t>Unknown</t>
        </is>
      </c>
      <c r="AH81" s="29" t="inlineStr">
        <is>
          <t>Unknown</t>
        </is>
      </c>
      <c r="AI81" s="29" t="inlineStr">
        <is>
          <t>Searched src/; A prior area review labelled this 'Partial', but did not supply a feature-level physical mapping; the authoritative state is therefore Unknown.</t>
        </is>
      </c>
      <c r="AJ81" s="29" t="inlineStr">
        <is>
          <t>Unknown</t>
        </is>
      </c>
      <c r="AK81" s="29" t="inlineStr">
        <is>
          <t>EV-04-0020</t>
        </is>
      </c>
      <c r="AL81" s="29" t="inlineStr"/>
      <c r="AM81" s="29" t="inlineStr"/>
      <c r="AN81" s="29" t="inlineStr"/>
      <c r="AO81" s="29" t="inlineStr">
        <is>
          <t>8bc0dcb2a1da1b21368c5536aaeef829d587f316</t>
        </is>
      </c>
      <c r="AP81" s="29" t="inlineStr">
        <is>
          <t>Low</t>
        </is>
      </c>
      <c r="AQ81" s="29" t="inlineStr">
        <is>
          <t>Not assessed</t>
        </is>
      </c>
      <c r="AR81" s="29" t="inlineStr">
        <is>
          <t>Not assessed</t>
        </is>
      </c>
      <c r="AS81" s="29" t="inlineStr">
        <is>
          <t>Not assessed</t>
        </is>
      </c>
      <c r="AT81" s="29" t="inlineStr">
        <is>
          <t>Not assessed</t>
        </is>
      </c>
      <c r="AU81" s="29" t="inlineStr">
        <is>
          <t>Not assessed</t>
        </is>
      </c>
      <c r="AV81" s="29" t="inlineStr">
        <is>
          <t>Not assessed</t>
        </is>
      </c>
      <c r="AW81" s="29" t="inlineStr">
        <is>
          <t>Not assessed</t>
        </is>
      </c>
      <c r="AX81" s="29" t="inlineStr">
        <is>
          <t>Not assessed</t>
        </is>
      </c>
      <c r="AY81" s="29" t="inlineStr">
        <is>
          <t>Not assessed</t>
        </is>
      </c>
      <c r="AZ81" s="29" t="inlineStr">
        <is>
          <t>Not assessed</t>
        </is>
      </c>
      <c r="BA81" s="29" t="inlineStr">
        <is>
          <t>Not assessed</t>
        </is>
      </c>
      <c r="BB81" s="29" t="inlineStr">
        <is>
          <t>Not assessed</t>
        </is>
      </c>
      <c r="BC81" s="29" t="inlineStr">
        <is>
          <t>Not assessed</t>
        </is>
      </c>
      <c r="BD81" s="29" t="inlineStr">
        <is>
          <t>Not assessed</t>
        </is>
      </c>
      <c r="BE81" s="29" t="inlineStr">
        <is>
          <t>Not assessed</t>
        </is>
      </c>
      <c r="BF81" s="29" t="inlineStr">
        <is>
          <t>Production readiness cannot be assessed until the exact physical implementation and runtime path are traced.</t>
        </is>
      </c>
      <c r="BG81" s="29" t="inlineStr">
        <is>
          <t>Map the feature to exact client, server, data, worker and configuration locations, then verify its runtime path.</t>
        </is>
      </c>
      <c r="BH81" s="29" t="inlineStr"/>
      <c r="BI81" s="29" t="inlineStr"/>
      <c r="BJ81" s="29" t="inlineStr"/>
      <c r="BK81" s="29" t="inlineStr">
        <is>
          <t>Evidence reconciled against the reviewed source revision. No production approval is inferred from implementation or file presence.</t>
        </is>
      </c>
      <c r="BL81" s="29" t="inlineStr">
        <is>
          <t>2026-08-02</t>
        </is>
      </c>
    </row>
    <row r="82" ht="42" customHeight="1">
      <c r="A82" s="29" t="inlineStr">
        <is>
          <t>BLYP-05-001</t>
        </is>
      </c>
      <c r="B82" s="29" t="inlineStr"/>
      <c r="C82" s="29" t="inlineStr">
        <is>
          <t>Role-based Team Board</t>
        </is>
      </c>
      <c r="D82" s="29" t="n">
        <v>5</v>
      </c>
      <c r="E82" s="29" t="n">
        <v>1</v>
      </c>
      <c r="F82" s="29" t="inlineStr">
        <is>
          <t>Feature</t>
        </is>
      </c>
      <c r="G82" s="29" t="inlineStr">
        <is>
          <t>Team member board</t>
        </is>
      </c>
      <c r="H82" s="29" t="inlineStr">
        <is>
          <t>Team member board</t>
        </is>
      </c>
      <c r="I82" s="29" t="inlineStr">
        <is>
          <t>/home/ubuntu/blyp_product_requirements.md :: Section 5 — Role-based Team Board</t>
        </is>
      </c>
      <c r="J82" s="29" t="inlineStr">
        <is>
          <t>/home/ubuntu/BLYP_COMPLETE_FEATURE_LIST.md:116</t>
        </is>
      </c>
      <c r="K82" s="29" t="inlineStr">
        <is>
          <t>Required</t>
        </is>
      </c>
      <c r="L82" s="29" t="inlineStr">
        <is>
          <t>Applicable BLYP member</t>
        </is>
      </c>
      <c r="M82" s="29" t="inlineStr">
        <is>
          <t>BLYP mobile application and supporting production services</t>
        </is>
      </c>
      <c r="N82" s="29" t="inlineStr">
        <is>
          <t>Team member board</t>
        </is>
      </c>
      <c r="O82" s="29" t="inlineStr">
        <is>
          <t>Not explicitly defined in the product source; requires accountable product approval before production sign-off.</t>
        </is>
      </c>
      <c r="P82" s="29" t="inlineStr"/>
      <c r="Q82" s="29" t="inlineStr">
        <is>
          <t>No evidence</t>
        </is>
      </c>
      <c r="R82" s="29" t="inlineStr"/>
      <c r="S82" s="29" t="inlineStr">
        <is>
          <t>Not found</t>
        </is>
      </c>
      <c r="T82" s="29" t="inlineStr">
        <is>
          <t>Not found</t>
        </is>
      </c>
      <c r="U82" s="29" t="inlineStr">
        <is>
          <t>Not found</t>
        </is>
      </c>
      <c r="V82" s="29" t="inlineStr">
        <is>
          <t>Not found</t>
        </is>
      </c>
      <c r="W82" s="29" t="inlineStr">
        <is>
          <t>Not found</t>
        </is>
      </c>
      <c r="X82" s="29" t="inlineStr">
        <is>
          <t>Not found</t>
        </is>
      </c>
      <c r="Y82" s="29" t="inlineStr">
        <is>
          <t>Not found</t>
        </is>
      </c>
      <c r="Z82" s="29" t="inlineStr">
        <is>
          <t>Not found</t>
        </is>
      </c>
      <c r="AA82" s="29" t="inlineStr">
        <is>
          <t>Not found</t>
        </is>
      </c>
      <c r="AB82" s="29" t="inlineStr">
        <is>
          <t>Unknown</t>
        </is>
      </c>
      <c r="AC82" s="29" t="inlineStr"/>
      <c r="AD82" s="29" t="inlineStr">
        <is>
          <t>No runtime path identified.</t>
        </is>
      </c>
      <c r="AE82" s="29" t="inlineStr">
        <is>
          <t>Not wired</t>
        </is>
      </c>
      <c r="AF82" s="29" t="inlineStr">
        <is>
          <t>No runtime path identified.</t>
        </is>
      </c>
      <c r="AG82" s="29" t="inlineStr">
        <is>
          <t>Not started</t>
        </is>
      </c>
      <c r="AH82" s="29" t="inlineStr">
        <is>
          <t>No</t>
        </is>
      </c>
      <c r="AI82" s="29" t="inlineStr">
        <is>
          <t>Searched src/screens/, src/components/, src/services/, src/hooks/, backend/, functions/ for 'team', 'Team', 'member board', 'TeamMemberBoard'. No dedicated screen, component, service, or route found.</t>
        </is>
      </c>
      <c r="AJ82" s="29" t="inlineStr">
        <is>
          <t>Not verified</t>
        </is>
      </c>
      <c r="AK82" s="29" t="inlineStr">
        <is>
          <t>EV-05-0017</t>
        </is>
      </c>
      <c r="AL82" s="29" t="inlineStr"/>
      <c r="AM82" s="29" t="inlineStr"/>
      <c r="AN82" s="29" t="inlineStr"/>
      <c r="AO82" s="29" t="inlineStr">
        <is>
          <t>8bc0dcb2a1da1b21368c5536aaeef829d587f316</t>
        </is>
      </c>
      <c r="AP82" s="29" t="inlineStr">
        <is>
          <t>High</t>
        </is>
      </c>
      <c r="AQ82" s="29" t="inlineStr">
        <is>
          <t>Not assessed</t>
        </is>
      </c>
      <c r="AR82" s="29" t="inlineStr">
        <is>
          <t>Not assessed</t>
        </is>
      </c>
      <c r="AS82" s="29" t="inlineStr">
        <is>
          <t>Fail</t>
        </is>
      </c>
      <c r="AT82" s="29" t="inlineStr">
        <is>
          <t>Not assessed</t>
        </is>
      </c>
      <c r="AU82" s="29" t="inlineStr">
        <is>
          <t>Not assessed</t>
        </is>
      </c>
      <c r="AV82" s="29" t="inlineStr">
        <is>
          <t>Not assessed</t>
        </is>
      </c>
      <c r="AW82" s="29" t="inlineStr">
        <is>
          <t>Not assessed</t>
        </is>
      </c>
      <c r="AX82" s="29" t="inlineStr">
        <is>
          <t>Not assessed</t>
        </is>
      </c>
      <c r="AY82" s="29" t="inlineStr">
        <is>
          <t>Not assessed</t>
        </is>
      </c>
      <c r="AZ82" s="29" t="inlineStr">
        <is>
          <t>Not assessed</t>
        </is>
      </c>
      <c r="BA82" s="29" t="inlineStr">
        <is>
          <t>Not assessed</t>
        </is>
      </c>
      <c r="BB82" s="29" t="inlineStr">
        <is>
          <t>Not assessed</t>
        </is>
      </c>
      <c r="BC82" s="29" t="inlineStr">
        <is>
          <t>Not assessed</t>
        </is>
      </c>
      <c r="BD82" s="29" t="inlineStr">
        <is>
          <t>Not assessed</t>
        </is>
      </c>
      <c r="BE82" s="29" t="inlineStr">
        <is>
          <t>Development required</t>
        </is>
      </c>
      <c r="BF82" s="29" t="inlineStr">
        <is>
          <t>No source implementation found; Physical implementation is not complete against the stated requirement.; Searched src/screens/, src/components/, src/services/, src/hooks/, backend/, functions/ for 'team', 'Team', 'member board', 'TeamMemberBoard'. No dedicated screen, component, service, or route found.</t>
        </is>
      </c>
      <c r="BG82" s="29" t="inlineStr">
        <is>
          <t>Team member board screen, service, and backend route</t>
        </is>
      </c>
      <c r="BH82" s="29" t="inlineStr"/>
      <c r="BI82" s="29" t="inlineStr"/>
      <c r="BJ82" s="29" t="inlineStr"/>
      <c r="BK82" s="29" t="inlineStr">
        <is>
          <t>Evidence reconciled against the reviewed source revision. No production approval is inferred from implementation or file presence.</t>
        </is>
      </c>
      <c r="BL82" s="29" t="inlineStr">
        <is>
          <t>2026-08-02</t>
        </is>
      </c>
    </row>
    <row r="83" ht="42" customHeight="1">
      <c r="A83" s="29" t="inlineStr">
        <is>
          <t>BLYP-05-002</t>
        </is>
      </c>
      <c r="B83" s="29" t="inlineStr"/>
      <c r="C83" s="29" t="inlineStr">
        <is>
          <t>Role-based Team Board</t>
        </is>
      </c>
      <c r="D83" s="29" t="n">
        <v>5</v>
      </c>
      <c r="E83" s="29" t="n">
        <v>2</v>
      </c>
      <c r="F83" s="29" t="inlineStr">
        <is>
          <t>Feature</t>
        </is>
      </c>
      <c r="G83" s="29" t="inlineStr">
        <is>
          <t>Personal contribution score</t>
        </is>
      </c>
      <c r="H83" s="29" t="inlineStr">
        <is>
          <t>Personal contribution score</t>
        </is>
      </c>
      <c r="I83" s="29" t="inlineStr">
        <is>
          <t>/home/ubuntu/blyp_product_requirements.md :: Section 5 — Role-based Team Board</t>
        </is>
      </c>
      <c r="J83" s="29" t="inlineStr">
        <is>
          <t>/home/ubuntu/BLYP_COMPLETE_FEATURE_LIST.md:117</t>
        </is>
      </c>
      <c r="K83" s="29" t="inlineStr">
        <is>
          <t>Required</t>
        </is>
      </c>
      <c r="L83" s="29" t="inlineStr">
        <is>
          <t>Applicable BLYP member</t>
        </is>
      </c>
      <c r="M83" s="29" t="inlineStr">
        <is>
          <t>BLYP mobile application and supporting production services</t>
        </is>
      </c>
      <c r="N83" s="29" t="inlineStr">
        <is>
          <t>Personal contribution score</t>
        </is>
      </c>
      <c r="O83" s="29" t="inlineStr">
        <is>
          <t>Not explicitly defined in the product source; requires accountable product approval before production sign-off.</t>
        </is>
      </c>
      <c r="P83" s="29" t="inlineStr"/>
      <c r="Q83" s="29" t="inlineStr">
        <is>
          <t>Scaffold only</t>
        </is>
      </c>
      <c r="R83" s="29" t="inlineStr"/>
      <c r="S83" s="29" t="inlineStr">
        <is>
          <t>Not found</t>
        </is>
      </c>
      <c r="T83" s="29" t="inlineStr">
        <is>
          <t>Not found</t>
        </is>
      </c>
      <c r="U83" s="29" t="inlineStr">
        <is>
          <t>Not found</t>
        </is>
      </c>
      <c r="V83" s="29" t="inlineStr">
        <is>
          <t>Not found</t>
        </is>
      </c>
      <c r="W83" s="29" t="inlineStr">
        <is>
          <t>Not found</t>
        </is>
      </c>
      <c r="X83" s="29" t="inlineStr">
        <is>
          <t>Not found</t>
        </is>
      </c>
      <c r="Y83" s="29" t="inlineStr">
        <is>
          <t>Not found</t>
        </is>
      </c>
      <c r="Z83" s="29" t="inlineStr">
        <is>
          <t>Not found</t>
        </is>
      </c>
      <c r="AA83" s="29" t="inlineStr">
        <is>
          <t>Not found</t>
        </is>
      </c>
      <c r="AB83" s="29" t="inlineStr">
        <is>
          <t>Unknown</t>
        </is>
      </c>
      <c r="AC83" s="29" t="inlineStr"/>
      <c r="AD83" s="29" t="inlineStr">
        <is>
          <t>No runtime path identified.</t>
        </is>
      </c>
      <c r="AE83" s="29" t="inlineStr">
        <is>
          <t>Not wired</t>
        </is>
      </c>
      <c r="AF83" s="29" t="inlineStr">
        <is>
          <t>No runtime path identified.</t>
        </is>
      </c>
      <c r="AG83" s="29" t="inlineStr">
        <is>
          <t>Not started</t>
        </is>
      </c>
      <c r="AH83" s="29" t="inlineStr">
        <is>
          <t>No</t>
        </is>
      </c>
      <c r="AI83" s="29" t="inlineStr">
        <is>
          <t>Searched for 'contribution', 'personal contribution', 'contribution score'. No dedicated implementation found. activityTracker.js tracks raw events but no contribution score formula or display exists.</t>
        </is>
      </c>
      <c r="AJ83" s="29" t="inlineStr">
        <is>
          <t>Not verified</t>
        </is>
      </c>
      <c r="AK83" s="29" t="inlineStr">
        <is>
          <t>EV-05-0016; EV-05-0017</t>
        </is>
      </c>
      <c r="AL83" s="29" t="inlineStr"/>
      <c r="AM83" s="29" t="inlineStr"/>
      <c r="AN83" s="29" t="inlineStr"/>
      <c r="AO83" s="29" t="inlineStr">
        <is>
          <t>8bc0dcb2a1da1b21368c5536aaeef829d587f316</t>
        </is>
      </c>
      <c r="AP83" s="29" t="inlineStr">
        <is>
          <t>High</t>
        </is>
      </c>
      <c r="AQ83" s="29" t="inlineStr">
        <is>
          <t>Not assessed</t>
        </is>
      </c>
      <c r="AR83" s="29" t="inlineStr">
        <is>
          <t>Not assessed</t>
        </is>
      </c>
      <c r="AS83" s="29" t="inlineStr">
        <is>
          <t>Fail</t>
        </is>
      </c>
      <c r="AT83" s="29" t="inlineStr">
        <is>
          <t>Not assessed</t>
        </is>
      </c>
      <c r="AU83" s="29" t="inlineStr">
        <is>
          <t>Not assessed</t>
        </is>
      </c>
      <c r="AV83" s="29" t="inlineStr">
        <is>
          <t>Not assessed</t>
        </is>
      </c>
      <c r="AW83" s="29" t="inlineStr">
        <is>
          <t>Not assessed</t>
        </is>
      </c>
      <c r="AX83" s="29" t="inlineStr">
        <is>
          <t>Not assessed</t>
        </is>
      </c>
      <c r="AY83" s="29" t="inlineStr">
        <is>
          <t>Not assessed</t>
        </is>
      </c>
      <c r="AZ83" s="29" t="inlineStr">
        <is>
          <t>Not assessed</t>
        </is>
      </c>
      <c r="BA83" s="29" t="inlineStr">
        <is>
          <t>Not assessed</t>
        </is>
      </c>
      <c r="BB83" s="29" t="inlineStr">
        <is>
          <t>Not assessed</t>
        </is>
      </c>
      <c r="BC83" s="29" t="inlineStr">
        <is>
          <t>Not assessed</t>
        </is>
      </c>
      <c r="BD83" s="29" t="inlineStr">
        <is>
          <t>Not assessed</t>
        </is>
      </c>
      <c r="BE83" s="29" t="inlineStr">
        <is>
          <t>Development required</t>
        </is>
      </c>
      <c r="BF83" s="29" t="inlineStr">
        <is>
          <t>No source implementation found; Physical implementation is not complete against the stated requirement.; Searched for 'contribution', 'personal contribution', 'contribution score'. No dedicated implementation found. activityTracker.js tracks raw events but no contribution score formula or display exists.</t>
        </is>
      </c>
      <c r="BG83" s="29" t="inlineStr">
        <is>
          <t>Contribution score calculation service, data store, and UI component</t>
        </is>
      </c>
      <c r="BH83" s="29" t="inlineStr"/>
      <c r="BI83" s="29" t="inlineStr"/>
      <c r="BJ83" s="29" t="inlineStr"/>
      <c r="BK83" s="29" t="inlineStr">
        <is>
          <t>Evidence reconciled against the reviewed source revision. No production approval is inferred from implementation or file presence.</t>
        </is>
      </c>
      <c r="BL83" s="29" t="inlineStr">
        <is>
          <t>2026-08-02</t>
        </is>
      </c>
    </row>
    <row r="84" ht="42" customHeight="1">
      <c r="A84" s="29" t="inlineStr">
        <is>
          <t>BLYP-05-003</t>
        </is>
      </c>
      <c r="B84" s="29" t="inlineStr"/>
      <c r="C84" s="29" t="inlineStr">
        <is>
          <t>Role-based Team Board</t>
        </is>
      </c>
      <c r="D84" s="29" t="n">
        <v>5</v>
      </c>
      <c r="E84" s="29" t="n">
        <v>3</v>
      </c>
      <c r="F84" s="29" t="inlineStr">
        <is>
          <t>Feature</t>
        </is>
      </c>
      <c r="G84" s="29" t="inlineStr">
        <is>
          <t>Member ranking</t>
        </is>
      </c>
      <c r="H84" s="29" t="inlineStr">
        <is>
          <t>Member ranking</t>
        </is>
      </c>
      <c r="I84" s="29" t="inlineStr">
        <is>
          <t>/home/ubuntu/blyp_product_requirements.md :: Section 5 — Role-based Team Board</t>
        </is>
      </c>
      <c r="J84" s="29" t="inlineStr">
        <is>
          <t>/home/ubuntu/BLYP_COMPLETE_FEATURE_LIST.md:118</t>
        </is>
      </c>
      <c r="K84" s="29" t="inlineStr">
        <is>
          <t>Required</t>
        </is>
      </c>
      <c r="L84" s="29" t="inlineStr">
        <is>
          <t>Applicable BLYP member</t>
        </is>
      </c>
      <c r="M84" s="29" t="inlineStr">
        <is>
          <t>BLYP mobile application and supporting production services</t>
        </is>
      </c>
      <c r="N84" s="29" t="inlineStr">
        <is>
          <t>Member ranking</t>
        </is>
      </c>
      <c r="O84" s="29" t="inlineStr">
        <is>
          <t>Not explicitly defined in the product source; requires accountable product approval before production sign-off.</t>
        </is>
      </c>
      <c r="P84" s="29" t="inlineStr"/>
      <c r="Q84" s="29" t="inlineStr">
        <is>
          <t>Scaffold only</t>
        </is>
      </c>
      <c r="R84" s="29" t="inlineStr"/>
      <c r="S84" s="29" t="inlineStr">
        <is>
          <t>Not found</t>
        </is>
      </c>
      <c r="T84" s="29" t="inlineStr">
        <is>
          <t>Not found</t>
        </is>
      </c>
      <c r="U84" s="29" t="inlineStr">
        <is>
          <t>Not found</t>
        </is>
      </c>
      <c r="V84" s="29" t="inlineStr">
        <is>
          <t>Not found</t>
        </is>
      </c>
      <c r="W84" s="29" t="inlineStr">
        <is>
          <t>Not found</t>
        </is>
      </c>
      <c r="X84" s="29" t="inlineStr">
        <is>
          <t>Not found</t>
        </is>
      </c>
      <c r="Y84" s="29" t="inlineStr">
        <is>
          <t>Not found</t>
        </is>
      </c>
      <c r="Z84" s="29" t="inlineStr">
        <is>
          <t>Not found</t>
        </is>
      </c>
      <c r="AA84" s="29" t="inlineStr">
        <is>
          <t>Not found</t>
        </is>
      </c>
      <c r="AB84" s="29" t="inlineStr">
        <is>
          <t>Unknown</t>
        </is>
      </c>
      <c r="AC84" s="29" t="inlineStr"/>
      <c r="AD84" s="29" t="inlineStr">
        <is>
          <t>No runtime path identified.</t>
        </is>
      </c>
      <c r="AE84" s="29" t="inlineStr">
        <is>
          <t>Not wired</t>
        </is>
      </c>
      <c r="AF84" s="29" t="inlineStr">
        <is>
          <t>No runtime path identified.</t>
        </is>
      </c>
      <c r="AG84" s="29" t="inlineStr">
        <is>
          <t>Not started</t>
        </is>
      </c>
      <c r="AH84" s="29" t="inlineStr">
        <is>
          <t>No</t>
        </is>
      </c>
      <c r="AI84" s="29" t="inlineStr">
        <is>
          <t>Searched for 'member ranking', 'ranking member', 'memberRank'. No team-scoped member ranking found. smartListGenerator.js ranks posts by engagement, not team members.</t>
        </is>
      </c>
      <c r="AJ84" s="29" t="inlineStr">
        <is>
          <t>Not verified</t>
        </is>
      </c>
      <c r="AK84" s="29" t="inlineStr">
        <is>
          <t>EV-05-0009; EV-05-0017</t>
        </is>
      </c>
      <c r="AL84" s="29" t="inlineStr"/>
      <c r="AM84" s="29" t="inlineStr"/>
      <c r="AN84" s="29" t="inlineStr"/>
      <c r="AO84" s="29" t="inlineStr">
        <is>
          <t>8bc0dcb2a1da1b21368c5536aaeef829d587f316</t>
        </is>
      </c>
      <c r="AP84" s="29" t="inlineStr">
        <is>
          <t>High</t>
        </is>
      </c>
      <c r="AQ84" s="29" t="inlineStr">
        <is>
          <t>Not assessed</t>
        </is>
      </c>
      <c r="AR84" s="29" t="inlineStr">
        <is>
          <t>Not assessed</t>
        </is>
      </c>
      <c r="AS84" s="29" t="inlineStr">
        <is>
          <t>Fail</t>
        </is>
      </c>
      <c r="AT84" s="29" t="inlineStr">
        <is>
          <t>Not assessed</t>
        </is>
      </c>
      <c r="AU84" s="29" t="inlineStr">
        <is>
          <t>Not assessed</t>
        </is>
      </c>
      <c r="AV84" s="29" t="inlineStr">
        <is>
          <t>Not assessed</t>
        </is>
      </c>
      <c r="AW84" s="29" t="inlineStr">
        <is>
          <t>Not assessed</t>
        </is>
      </c>
      <c r="AX84" s="29" t="inlineStr">
        <is>
          <t>Not assessed</t>
        </is>
      </c>
      <c r="AY84" s="29" t="inlineStr">
        <is>
          <t>Not assessed</t>
        </is>
      </c>
      <c r="AZ84" s="29" t="inlineStr">
        <is>
          <t>Not assessed</t>
        </is>
      </c>
      <c r="BA84" s="29" t="inlineStr">
        <is>
          <t>Not assessed</t>
        </is>
      </c>
      <c r="BB84" s="29" t="inlineStr">
        <is>
          <t>Not assessed</t>
        </is>
      </c>
      <c r="BC84" s="29" t="inlineStr">
        <is>
          <t>Not assessed</t>
        </is>
      </c>
      <c r="BD84" s="29" t="inlineStr">
        <is>
          <t>Not assessed</t>
        </is>
      </c>
      <c r="BE84" s="29" t="inlineStr">
        <is>
          <t>Development required</t>
        </is>
      </c>
      <c r="BF84" s="29" t="inlineStr">
        <is>
          <t>No source implementation found; Physical implementation is not complete against the stated requirement.; Searched for 'member ranking', 'ranking member', 'memberRank'. No team-scoped member ranking found. smartListGenerator.js ranks posts by engagement, not team members.</t>
        </is>
      </c>
      <c r="BG84" s="29" t="inlineStr">
        <is>
          <t>Member ranking service, data store, and UI</t>
        </is>
      </c>
      <c r="BH84" s="29" t="inlineStr"/>
      <c r="BI84" s="29" t="inlineStr"/>
      <c r="BJ84" s="29" t="inlineStr"/>
      <c r="BK84" s="29" t="inlineStr">
        <is>
          <t>Evidence reconciled against the reviewed source revision. No production approval is inferred from implementation or file presence.</t>
        </is>
      </c>
      <c r="BL84" s="29" t="inlineStr">
        <is>
          <t>2026-08-02</t>
        </is>
      </c>
    </row>
    <row r="85" ht="42" customHeight="1">
      <c r="A85" s="29" t="inlineStr">
        <is>
          <t>BLYP-05-004</t>
        </is>
      </c>
      <c r="B85" s="29" t="inlineStr"/>
      <c r="C85" s="29" t="inlineStr">
        <is>
          <t>Role-based Team Board</t>
        </is>
      </c>
      <c r="D85" s="29" t="n">
        <v>5</v>
      </c>
      <c r="E85" s="29" t="n">
        <v>4</v>
      </c>
      <c r="F85" s="29" t="inlineStr">
        <is>
          <t>Feature</t>
        </is>
      </c>
      <c r="G85" s="29" t="inlineStr">
        <is>
          <t>Member trends</t>
        </is>
      </c>
      <c r="H85" s="29" t="inlineStr">
        <is>
          <t>Member trends</t>
        </is>
      </c>
      <c r="I85" s="29" t="inlineStr">
        <is>
          <t>/home/ubuntu/blyp_product_requirements.md :: Section 5 — Role-based Team Board</t>
        </is>
      </c>
      <c r="J85" s="29" t="inlineStr">
        <is>
          <t>/home/ubuntu/BLYP_COMPLETE_FEATURE_LIST.md:119</t>
        </is>
      </c>
      <c r="K85" s="29" t="inlineStr">
        <is>
          <t>Required</t>
        </is>
      </c>
      <c r="L85" s="29" t="inlineStr">
        <is>
          <t>Applicable BLYP member</t>
        </is>
      </c>
      <c r="M85" s="29" t="inlineStr">
        <is>
          <t>BLYP mobile application and supporting production services</t>
        </is>
      </c>
      <c r="N85" s="29" t="inlineStr">
        <is>
          <t>Member trends</t>
        </is>
      </c>
      <c r="O85" s="29" t="inlineStr">
        <is>
          <t>Not explicitly defined in the product source; requires accountable product approval before production sign-off.</t>
        </is>
      </c>
      <c r="P85" s="29" t="inlineStr"/>
      <c r="Q85" s="29" t="inlineStr">
        <is>
          <t>No evidence</t>
        </is>
      </c>
      <c r="R85" s="29" t="inlineStr"/>
      <c r="S85" s="29" t="inlineStr">
        <is>
          <t>Not found</t>
        </is>
      </c>
      <c r="T85" s="29" t="inlineStr">
        <is>
          <t>Not found</t>
        </is>
      </c>
      <c r="U85" s="29" t="inlineStr">
        <is>
          <t>Not found</t>
        </is>
      </c>
      <c r="V85" s="29" t="inlineStr">
        <is>
          <t>Not found</t>
        </is>
      </c>
      <c r="W85" s="29" t="inlineStr">
        <is>
          <t>Not found</t>
        </is>
      </c>
      <c r="X85" s="29" t="inlineStr">
        <is>
          <t>Not found</t>
        </is>
      </c>
      <c r="Y85" s="29" t="inlineStr">
        <is>
          <t>Not found</t>
        </is>
      </c>
      <c r="Z85" s="29" t="inlineStr">
        <is>
          <t>Not found</t>
        </is>
      </c>
      <c r="AA85" s="29" t="inlineStr">
        <is>
          <t>Not found</t>
        </is>
      </c>
      <c r="AB85" s="29" t="inlineStr">
        <is>
          <t>Unknown</t>
        </is>
      </c>
      <c r="AC85" s="29" t="inlineStr"/>
      <c r="AD85" s="29" t="inlineStr">
        <is>
          <t>No runtime path identified.</t>
        </is>
      </c>
      <c r="AE85" s="29" t="inlineStr">
        <is>
          <t>Not wired</t>
        </is>
      </c>
      <c r="AF85" s="29" t="inlineStr">
        <is>
          <t>No runtime path identified.</t>
        </is>
      </c>
      <c r="AG85" s="29" t="inlineStr">
        <is>
          <t>Not started</t>
        </is>
      </c>
      <c r="AH85" s="29" t="inlineStr">
        <is>
          <t>No</t>
        </is>
      </c>
      <c r="AI85" s="29" t="inlineStr">
        <is>
          <t>Searched for 'member trends', 'trends member'. No team-member trend tracking found. Trending content exists for posts/hashtags, not team members.</t>
        </is>
      </c>
      <c r="AJ85" s="29" t="inlineStr">
        <is>
          <t>Not verified</t>
        </is>
      </c>
      <c r="AK85" s="29" t="inlineStr">
        <is>
          <t>EV-05-0017</t>
        </is>
      </c>
      <c r="AL85" s="29" t="inlineStr"/>
      <c r="AM85" s="29" t="inlineStr"/>
      <c r="AN85" s="29" t="inlineStr"/>
      <c r="AO85" s="29" t="inlineStr">
        <is>
          <t>8bc0dcb2a1da1b21368c5536aaeef829d587f316</t>
        </is>
      </c>
      <c r="AP85" s="29" t="inlineStr">
        <is>
          <t>High</t>
        </is>
      </c>
      <c r="AQ85" s="29" t="inlineStr">
        <is>
          <t>Not assessed</t>
        </is>
      </c>
      <c r="AR85" s="29" t="inlineStr">
        <is>
          <t>Not assessed</t>
        </is>
      </c>
      <c r="AS85" s="29" t="inlineStr">
        <is>
          <t>Fail</t>
        </is>
      </c>
      <c r="AT85" s="29" t="inlineStr">
        <is>
          <t>Not assessed</t>
        </is>
      </c>
      <c r="AU85" s="29" t="inlineStr">
        <is>
          <t>Not assessed</t>
        </is>
      </c>
      <c r="AV85" s="29" t="inlineStr">
        <is>
          <t>Not assessed</t>
        </is>
      </c>
      <c r="AW85" s="29" t="inlineStr">
        <is>
          <t>Not assessed</t>
        </is>
      </c>
      <c r="AX85" s="29" t="inlineStr">
        <is>
          <t>Not assessed</t>
        </is>
      </c>
      <c r="AY85" s="29" t="inlineStr">
        <is>
          <t>Not assessed</t>
        </is>
      </c>
      <c r="AZ85" s="29" t="inlineStr">
        <is>
          <t>Not assessed</t>
        </is>
      </c>
      <c r="BA85" s="29" t="inlineStr">
        <is>
          <t>Not assessed</t>
        </is>
      </c>
      <c r="BB85" s="29" t="inlineStr">
        <is>
          <t>Not assessed</t>
        </is>
      </c>
      <c r="BC85" s="29" t="inlineStr">
        <is>
          <t>Not assessed</t>
        </is>
      </c>
      <c r="BD85" s="29" t="inlineStr">
        <is>
          <t>Not assessed</t>
        </is>
      </c>
      <c r="BE85" s="29" t="inlineStr">
        <is>
          <t>Development required</t>
        </is>
      </c>
      <c r="BF85" s="29" t="inlineStr">
        <is>
          <t>No source implementation found; Physical implementation is not complete against the stated requirement.; Searched for 'member trends', 'trends member'. No team-member trend tracking found. Trending content exists for posts/hashtags, not team members.</t>
        </is>
      </c>
      <c r="BG85" s="29" t="inlineStr">
        <is>
          <t>Member trend tracking service, data store, and UI</t>
        </is>
      </c>
      <c r="BH85" s="29" t="inlineStr"/>
      <c r="BI85" s="29" t="inlineStr"/>
      <c r="BJ85" s="29" t="inlineStr"/>
      <c r="BK85" s="29" t="inlineStr">
        <is>
          <t>Evidence reconciled against the reviewed source revision. No production approval is inferred from implementation or file presence.</t>
        </is>
      </c>
      <c r="BL85" s="29" t="inlineStr">
        <is>
          <t>2026-08-02</t>
        </is>
      </c>
    </row>
    <row r="86" ht="42" customHeight="1">
      <c r="A86" s="29" t="inlineStr">
        <is>
          <t>BLYP-05-005</t>
        </is>
      </c>
      <c r="B86" s="29" t="inlineStr"/>
      <c r="C86" s="29" t="inlineStr">
        <is>
          <t>Role-based Team Board</t>
        </is>
      </c>
      <c r="D86" s="29" t="n">
        <v>5</v>
      </c>
      <c r="E86" s="29" t="n">
        <v>5</v>
      </c>
      <c r="F86" s="29" t="inlineStr">
        <is>
          <t>Non-functional requirement</t>
        </is>
      </c>
      <c r="G86" s="29" t="inlineStr">
        <is>
          <t>Post-performance metrics</t>
        </is>
      </c>
      <c r="H86" s="29" t="inlineStr">
        <is>
          <t>Post-performance metrics</t>
        </is>
      </c>
      <c r="I86" s="29" t="inlineStr">
        <is>
          <t>/home/ubuntu/blyp_product_requirements.md :: Section 5 — Role-based Team Board</t>
        </is>
      </c>
      <c r="J86" s="29" t="inlineStr">
        <is>
          <t>/home/ubuntu/BLYP_COMPLETE_FEATURE_LIST.md:120</t>
        </is>
      </c>
      <c r="K86" s="29" t="inlineStr">
        <is>
          <t>Required</t>
        </is>
      </c>
      <c r="L86" s="29" t="inlineStr">
        <is>
          <t>Applicable BLYP member</t>
        </is>
      </c>
      <c r="M86" s="29" t="inlineStr">
        <is>
          <t>Production platform and operations</t>
        </is>
      </c>
      <c r="N86" s="29" t="inlineStr">
        <is>
          <t>Post-performance metrics</t>
        </is>
      </c>
      <c r="O86" s="29" t="inlineStr">
        <is>
          <t>Not explicitly defined in the product source; requires accountable product approval before production sign-off.</t>
        </is>
      </c>
      <c r="P86" s="29" t="inlineStr">
        <is>
          <t>Gemini AI (optional, for AI-powered ranking); Firestore posts collection (likes, comments, shares fields)</t>
        </is>
      </c>
      <c r="Q86" s="29" t="inlineStr">
        <is>
          <t>Partial</t>
        </is>
      </c>
      <c r="R86" s="29" t="inlineStr">
        <is>
          <t>scattered analytics foundations exist.</t>
        </is>
      </c>
      <c r="S86" s="29" t="inlineStr">
        <is>
          <t>Partial</t>
        </is>
      </c>
      <c r="T86" s="29" t="inlineStr">
        <is>
          <t>WhatsAppPopularTab accessible from main feed</t>
        </is>
      </c>
      <c r="U86" s="29" t="inlineStr">
        <is>
          <t>src/components/WhatsAppPopularTab.js (postMetrics, engagementBadge)</t>
        </is>
      </c>
      <c r="V86" s="29" t="inlineStr">
        <is>
          <t>src/utils/smartListGenerator.js (generatePopularityRankings)</t>
        </is>
      </c>
      <c r="W86" s="29" t="inlineStr">
        <is>
          <t>Not found</t>
        </is>
      </c>
      <c r="X86" s="29" t="inlineStr">
        <is>
          <t>Firestore posts collection (likes, comments, shares fields)</t>
        </is>
      </c>
      <c r="Y86" s="29" t="inlineStr">
        <is>
          <t>Not found</t>
        </is>
      </c>
      <c r="Z86" s="29" t="inlineStr">
        <is>
          <t>Gemini AI (optional, for AI-powered ranking)</t>
        </is>
      </c>
      <c r="AA86" s="29" t="inlineStr">
        <is>
          <t>Not found</t>
        </is>
      </c>
      <c r="AB86" s="29" t="inlineStr">
        <is>
          <t>Unknown</t>
        </is>
      </c>
      <c r="AC86" s="29" t="inlineStr"/>
      <c r="AD86" s="29" t="inlineStr">
        <is>
          <t>Post metrics (likes, comments, shares) displayed in popular content tab. Engagement score computed client-side. Not team-scoped.</t>
        </is>
      </c>
      <c r="AE86" s="29" t="inlineStr">
        <is>
          <t>User reachable</t>
        </is>
      </c>
      <c r="AF86" s="29" t="inlineStr">
        <is>
          <t>WhatsAppPopularTab accessible from main feed; Post metrics (likes, comments, shares) displayed in popular content tab. Engagement score computed client-side. Not team-scoped.</t>
        </is>
      </c>
      <c r="AG86" s="29" t="inlineStr">
        <is>
          <t>Incomplete</t>
        </is>
      </c>
      <c r="AH86" s="29" t="inlineStr">
        <is>
          <t>No</t>
        </is>
      </c>
      <c r="AI86" s="29" t="inlineStr">
        <is>
          <t>Post-performance metrics exist for content discovery (WhatsAppPopularTab) but are not scoped to team members. No team-member post performance aggregation, no server-side post performance API for team context.</t>
        </is>
      </c>
      <c r="AJ86" s="29" t="inlineStr">
        <is>
          <t>Not verified</t>
        </is>
      </c>
      <c r="AK86" s="29" t="inlineStr">
        <is>
          <t>EV-05-0009; EV-05-0010</t>
        </is>
      </c>
      <c r="AL86" s="29" t="inlineStr"/>
      <c r="AM86" s="29" t="inlineStr"/>
      <c r="AN86" s="29" t="inlineStr"/>
      <c r="AO86" s="29" t="inlineStr">
        <is>
          <t>8bc0dcb2a1da1b21368c5536aaeef829d587f316</t>
        </is>
      </c>
      <c r="AP86" s="29" t="inlineStr">
        <is>
          <t>Medium</t>
        </is>
      </c>
      <c r="AQ86" s="29" t="inlineStr">
        <is>
          <t>Not assessed</t>
        </is>
      </c>
      <c r="AR86" s="29" t="inlineStr">
        <is>
          <t>Not assessed</t>
        </is>
      </c>
      <c r="AS86" s="29" t="inlineStr">
        <is>
          <t>Fail</t>
        </is>
      </c>
      <c r="AT86" s="29" t="inlineStr">
        <is>
          <t>Not assessed</t>
        </is>
      </c>
      <c r="AU86" s="29" t="inlineStr">
        <is>
          <t>Not assessed</t>
        </is>
      </c>
      <c r="AV86" s="29" t="inlineStr">
        <is>
          <t>Not assessed</t>
        </is>
      </c>
      <c r="AW86" s="29" t="inlineStr">
        <is>
          <t>Not assessed</t>
        </is>
      </c>
      <c r="AX86" s="29" t="inlineStr">
        <is>
          <t>Not assessed</t>
        </is>
      </c>
      <c r="AY86" s="29" t="inlineStr">
        <is>
          <t>Not assessed</t>
        </is>
      </c>
      <c r="AZ86" s="29" t="inlineStr">
        <is>
          <t>Not assessed</t>
        </is>
      </c>
      <c r="BA86" s="29" t="inlineStr">
        <is>
          <t>Not assessed</t>
        </is>
      </c>
      <c r="BB86" s="29" t="inlineStr">
        <is>
          <t>Not assessed</t>
        </is>
      </c>
      <c r="BC86" s="29" t="inlineStr">
        <is>
          <t>Not assessed</t>
        </is>
      </c>
      <c r="BD86" s="29" t="inlineStr">
        <is>
          <t>Not assessed</t>
        </is>
      </c>
      <c r="BE86" s="29" t="inlineStr">
        <is>
          <t>Development required</t>
        </is>
      </c>
      <c r="BF86" s="29" t="inlineStr">
        <is>
          <t>Not team-scoped; no team member post-performance aggregation; Physical implementation is not complete against the stated requirement.; Post-performance metrics exist for content discovery (WhatsAppPopularTab) but are not scoped to team members. No team-member post performance aggregation, no server-side post performance API for team context.</t>
        </is>
      </c>
      <c r="BG86" s="29" t="inlineStr">
        <is>
          <t>Team-scoped post-performance aggregation service and UI</t>
        </is>
      </c>
      <c r="BH86" s="29" t="inlineStr"/>
      <c r="BI86" s="29" t="inlineStr"/>
      <c r="BJ86" s="29" t="inlineStr"/>
      <c r="BK86" s="29" t="inlineStr">
        <is>
          <t>Evidence reconciled against the reviewed source revision. No production approval is inferred from implementation or file presence.</t>
        </is>
      </c>
      <c r="BL86" s="29" t="inlineStr">
        <is>
          <t>2026-08-02</t>
        </is>
      </c>
    </row>
    <row r="87" ht="42" customHeight="1">
      <c r="A87" s="29" t="inlineStr">
        <is>
          <t>BLYP-05-006</t>
        </is>
      </c>
      <c r="B87" s="29" t="inlineStr"/>
      <c r="C87" s="29" t="inlineStr">
        <is>
          <t>Role-based Team Board</t>
        </is>
      </c>
      <c r="D87" s="29" t="n">
        <v>5</v>
      </c>
      <c r="E87" s="29" t="n">
        <v>6</v>
      </c>
      <c r="F87" s="29" t="inlineStr">
        <is>
          <t>Non-functional requirement</t>
        </is>
      </c>
      <c r="G87" s="29" t="inlineStr">
        <is>
          <t>Live-performance metrics</t>
        </is>
      </c>
      <c r="H87" s="29" t="inlineStr">
        <is>
          <t>Live-performance metrics</t>
        </is>
      </c>
      <c r="I87" s="29" t="inlineStr">
        <is>
          <t>/home/ubuntu/blyp_product_requirements.md :: Section 5 — Role-based Team Board</t>
        </is>
      </c>
      <c r="J87" s="29" t="inlineStr">
        <is>
          <t>/home/ubuntu/BLYP_COMPLETE_FEATURE_LIST.md:121</t>
        </is>
      </c>
      <c r="K87" s="29" t="inlineStr">
        <is>
          <t>Required</t>
        </is>
      </c>
      <c r="L87" s="29" t="inlineStr">
        <is>
          <t>Applicable BLYP member</t>
        </is>
      </c>
      <c r="M87" s="29" t="inlineStr">
        <is>
          <t>Production platform and operations</t>
        </is>
      </c>
      <c r="N87" s="29" t="inlineStr">
        <is>
          <t>Live-performance metrics</t>
        </is>
      </c>
      <c r="O87" s="29" t="inlineStr">
        <is>
          <t>Not explicitly defined in the product source; requires accountable product approval before production sign-off.</t>
        </is>
      </c>
      <c r="P87" s="29" t="inlineStr">
        <is>
          <t>Firestore streamAnalytics collection</t>
        </is>
      </c>
      <c r="Q87" s="29" t="inlineStr">
        <is>
          <t>Partial</t>
        </is>
      </c>
      <c r="R87" s="29" t="inlineStr"/>
      <c r="S87" s="29" t="inlineStr">
        <is>
          <t>Partial</t>
        </is>
      </c>
      <c r="T87" s="29" t="inlineStr">
        <is>
          <t>Not found in team context</t>
        </is>
      </c>
      <c r="U87" s="29" t="inlineStr">
        <is>
          <t>Not found in team context</t>
        </is>
      </c>
      <c r="V87" s="29" t="inlineStr">
        <is>
          <t>src/services/EnterpriseAnalyticsService.js (trackEngagement), src/performance/PerformanceStore.js</t>
        </is>
      </c>
      <c r="W87" s="29" t="inlineStr">
        <is>
          <t>GET /admin/metrics/overview (platform-level only)</t>
        </is>
      </c>
      <c r="X87" s="29" t="inlineStr">
        <is>
          <t>Firestore streamAnalytics collection</t>
        </is>
      </c>
      <c r="Y87" s="29" t="inlineStr">
        <is>
          <t>functions/src/index.ts: updateStreamAnalytics (Firestore trigger)</t>
        </is>
      </c>
      <c r="Z87" s="29" t="inlineStr">
        <is>
          <t>Not found</t>
        </is>
      </c>
      <c r="AA87" s="29" t="inlineStr">
        <is>
          <t>Not found</t>
        </is>
      </c>
      <c r="AB87" s="29" t="inlineStr">
        <is>
          <t>Unknown</t>
        </is>
      </c>
      <c r="AC87" s="29" t="inlineStr"/>
      <c r="AD87" s="29" t="inlineStr">
        <is>
          <t>Live stream analytics tracked via Firestore trigger (updateStreamAnalytics) and client-side EnterpriseAnalyticsService. Platform-level metrics only, not team-scoped.</t>
        </is>
      </c>
      <c r="AE87" s="29" t="inlineStr">
        <is>
          <t>Not wired</t>
        </is>
      </c>
      <c r="AF87" s="29" t="inlineStr">
        <is>
          <t>Not found in team context; Live stream analytics tracked via Firestore trigger (updateStreamAnalytics) and client-side EnterpriseAnalyticsService. Platform-level metrics only, not team-scoped.</t>
        </is>
      </c>
      <c r="AG87" s="29" t="inlineStr">
        <is>
          <t>Incomplete</t>
        </is>
      </c>
      <c r="AH87" s="29" t="inlineStr">
        <is>
          <t>No</t>
        </is>
      </c>
      <c r="AI87" s="29" t="inlineStr">
        <is>
          <t>Live performance metrics exist for streams (viewCount, segments) and platform (admin overview) but not for team members. No team-scoped live performance API or UI.</t>
        </is>
      </c>
      <c r="AJ87" s="29" t="inlineStr">
        <is>
          <t>Not verified</t>
        </is>
      </c>
      <c r="AK87" s="29" t="inlineStr">
        <is>
          <t>EV-05-0013; EV-05-0014; EV-05-0015</t>
        </is>
      </c>
      <c r="AL87" s="29" t="inlineStr"/>
      <c r="AM87" s="29" t="inlineStr"/>
      <c r="AN87" s="29" t="inlineStr"/>
      <c r="AO87" s="29" t="inlineStr">
        <is>
          <t>8bc0dcb2a1da1b21368c5536aaeef829d587f316</t>
        </is>
      </c>
      <c r="AP87" s="29" t="inlineStr">
        <is>
          <t>Medium</t>
        </is>
      </c>
      <c r="AQ87" s="29" t="inlineStr">
        <is>
          <t>Not assessed</t>
        </is>
      </c>
      <c r="AR87" s="29" t="inlineStr">
        <is>
          <t>Not assessed</t>
        </is>
      </c>
      <c r="AS87" s="29" t="inlineStr">
        <is>
          <t>Fail</t>
        </is>
      </c>
      <c r="AT87" s="29" t="inlineStr">
        <is>
          <t>Not assessed</t>
        </is>
      </c>
      <c r="AU87" s="29" t="inlineStr">
        <is>
          <t>Not assessed</t>
        </is>
      </c>
      <c r="AV87" s="29" t="inlineStr">
        <is>
          <t>Not assessed</t>
        </is>
      </c>
      <c r="AW87" s="29" t="inlineStr">
        <is>
          <t>Not assessed</t>
        </is>
      </c>
      <c r="AX87" s="29" t="inlineStr">
        <is>
          <t>Not assessed</t>
        </is>
      </c>
      <c r="AY87" s="29" t="inlineStr">
        <is>
          <t>Not assessed</t>
        </is>
      </c>
      <c r="AZ87" s="29" t="inlineStr">
        <is>
          <t>Not assessed</t>
        </is>
      </c>
      <c r="BA87" s="29" t="inlineStr">
        <is>
          <t>Not assessed</t>
        </is>
      </c>
      <c r="BB87" s="29" t="inlineStr">
        <is>
          <t>Not assessed</t>
        </is>
      </c>
      <c r="BC87" s="29" t="inlineStr">
        <is>
          <t>Not assessed</t>
        </is>
      </c>
      <c r="BD87" s="29" t="inlineStr">
        <is>
          <t>Not assessed</t>
        </is>
      </c>
      <c r="BE87" s="29" t="inlineStr">
        <is>
          <t>Development required</t>
        </is>
      </c>
      <c r="BF87" s="29" t="inlineStr">
        <is>
          <t>Not team-scoped; no team member live-performance metrics; Physical implementation is not complete against the stated requirement.; Live performance metrics exist for streams (viewCount, segments) and platform (admin overview) but not for team members. No team-scoped live performance API or UI.</t>
        </is>
      </c>
      <c r="BG87" s="29" t="inlineStr">
        <is>
          <t>Team-scoped live-performance metrics service and UI</t>
        </is>
      </c>
      <c r="BH87" s="29" t="inlineStr"/>
      <c r="BI87" s="29" t="inlineStr"/>
      <c r="BJ87" s="29" t="inlineStr"/>
      <c r="BK87" s="29" t="inlineStr">
        <is>
          <t>Evidence reconciled against the reviewed source revision. No production approval is inferred from implementation or file presence.</t>
        </is>
      </c>
      <c r="BL87" s="29" t="inlineStr">
        <is>
          <t>2026-08-02</t>
        </is>
      </c>
    </row>
    <row r="88" ht="42" customHeight="1">
      <c r="A88" s="29" t="inlineStr">
        <is>
          <t>BLYP-05-007</t>
        </is>
      </c>
      <c r="B88" s="29" t="inlineStr"/>
      <c r="C88" s="29" t="inlineStr">
        <is>
          <t>Role-based Team Board</t>
        </is>
      </c>
      <c r="D88" s="29" t="n">
        <v>5</v>
      </c>
      <c r="E88" s="29" t="n">
        <v>7</v>
      </c>
      <c r="F88" s="29" t="inlineStr">
        <is>
          <t>Feature</t>
        </is>
      </c>
      <c r="G88" s="29" t="inlineStr">
        <is>
          <t>Engagement metrics</t>
        </is>
      </c>
      <c r="H88" s="29" t="inlineStr">
        <is>
          <t>Engagement metrics</t>
        </is>
      </c>
      <c r="I88" s="29" t="inlineStr">
        <is>
          <t>/home/ubuntu/blyp_product_requirements.md :: Section 5 — Role-based Team Board</t>
        </is>
      </c>
      <c r="J88" s="29" t="inlineStr">
        <is>
          <t>/home/ubuntu/BLYP_COMPLETE_FEATURE_LIST.md:122</t>
        </is>
      </c>
      <c r="K88" s="29" t="inlineStr">
        <is>
          <t>Required</t>
        </is>
      </c>
      <c r="L88" s="29" t="inlineStr">
        <is>
          <t>Applicable BLYP member</t>
        </is>
      </c>
      <c r="M88" s="29" t="inlineStr">
        <is>
          <t>BLYP mobile application and supporting production services</t>
        </is>
      </c>
      <c r="N88" s="29" t="inlineStr">
        <is>
          <t>Engagement metrics</t>
        </is>
      </c>
      <c r="O88" s="29" t="inlineStr">
        <is>
          <t>Not explicitly defined in the product source; requires accountable product approval before production sign-off.</t>
        </is>
      </c>
      <c r="P88" s="29" t="inlineStr">
        <is>
          <t>Firestore (in-memory stream metrics, post engagement fields)</t>
        </is>
      </c>
      <c r="Q88" s="29" t="inlineStr">
        <is>
          <t>Partial</t>
        </is>
      </c>
      <c r="R88" s="29" t="inlineStr"/>
      <c r="S88" s="29" t="inlineStr">
        <is>
          <t>Partial</t>
        </is>
      </c>
      <c r="T88" s="29" t="inlineStr">
        <is>
          <t>WhatsAppPopularTab, HLSLiveStreamService (stream list sorting)</t>
        </is>
      </c>
      <c r="U88" s="29" t="inlineStr">
        <is>
          <t>src/components/WhatsAppPopularTab.js (engagementBadge, scoreMetric)</t>
        </is>
      </c>
      <c r="V88" s="29" t="inlineStr">
        <is>
          <t>src/services/EnterpriseAnalyticsService.js (trackEngagement), src/utils/smartListGenerator.js</t>
        </is>
      </c>
      <c r="W88" s="29" t="inlineStr">
        <is>
          <t>Not found for team context</t>
        </is>
      </c>
      <c r="X88" s="29" t="inlineStr">
        <is>
          <t>Firestore (in-memory stream metrics, post engagement fields)</t>
        </is>
      </c>
      <c r="Y88" s="29" t="inlineStr">
        <is>
          <t>Not found</t>
        </is>
      </c>
      <c r="Z88" s="29" t="inlineStr">
        <is>
          <t>Not found</t>
        </is>
      </c>
      <c r="AA88" s="29" t="inlineStr">
        <is>
          <t>Not found</t>
        </is>
      </c>
      <c r="AB88" s="29" t="inlineStr">
        <is>
          <t>Unknown</t>
        </is>
      </c>
      <c r="AC88" s="29" t="inlineStr"/>
      <c r="AD88" s="29" t="inlineStr">
        <is>
          <t>Engagement metrics tracked for live streams and posts. Not team-scoped.</t>
        </is>
      </c>
      <c r="AE88" s="29" t="inlineStr">
        <is>
          <t>User reachable</t>
        </is>
      </c>
      <c r="AF88" s="29" t="inlineStr">
        <is>
          <t>WhatsAppPopularTab, HLSLiveStreamService (stream list sorting); Engagement metrics tracked for live streams and posts. Not team-scoped.</t>
        </is>
      </c>
      <c r="AG88" s="29" t="inlineStr">
        <is>
          <t>Incomplete</t>
        </is>
      </c>
      <c r="AH88" s="29" t="inlineStr">
        <is>
          <t>No</t>
        </is>
      </c>
      <c r="AI88" s="29" t="inlineStr">
        <is>
          <t>Engagement metrics exist for content and streams but not for team members. No team-scoped engagement aggregation, no team member engagement UI.</t>
        </is>
      </c>
      <c r="AJ88" s="29" t="inlineStr">
        <is>
          <t>Not verified</t>
        </is>
      </c>
      <c r="AK88" s="29" t="inlineStr">
        <is>
          <t>EV-05-0007; EV-05-0008; EV-05-0009; EV-05-0010</t>
        </is>
      </c>
      <c r="AL88" s="29" t="inlineStr"/>
      <c r="AM88" s="29" t="inlineStr"/>
      <c r="AN88" s="29" t="inlineStr"/>
      <c r="AO88" s="29" t="inlineStr">
        <is>
          <t>8bc0dcb2a1da1b21368c5536aaeef829d587f316</t>
        </is>
      </c>
      <c r="AP88" s="29" t="inlineStr">
        <is>
          <t>Medium</t>
        </is>
      </c>
      <c r="AQ88" s="29" t="inlineStr">
        <is>
          <t>Not assessed</t>
        </is>
      </c>
      <c r="AR88" s="29" t="inlineStr">
        <is>
          <t>Not assessed</t>
        </is>
      </c>
      <c r="AS88" s="29" t="inlineStr">
        <is>
          <t>Fail</t>
        </is>
      </c>
      <c r="AT88" s="29" t="inlineStr">
        <is>
          <t>Not assessed</t>
        </is>
      </c>
      <c r="AU88" s="29" t="inlineStr">
        <is>
          <t>Not assessed</t>
        </is>
      </c>
      <c r="AV88" s="29" t="inlineStr">
        <is>
          <t>Not assessed</t>
        </is>
      </c>
      <c r="AW88" s="29" t="inlineStr">
        <is>
          <t>Not assessed</t>
        </is>
      </c>
      <c r="AX88" s="29" t="inlineStr">
        <is>
          <t>Not assessed</t>
        </is>
      </c>
      <c r="AY88" s="29" t="inlineStr">
        <is>
          <t>Not assessed</t>
        </is>
      </c>
      <c r="AZ88" s="29" t="inlineStr">
        <is>
          <t>Not assessed</t>
        </is>
      </c>
      <c r="BA88" s="29" t="inlineStr">
        <is>
          <t>Not assessed</t>
        </is>
      </c>
      <c r="BB88" s="29" t="inlineStr">
        <is>
          <t>Not assessed</t>
        </is>
      </c>
      <c r="BC88" s="29" t="inlineStr">
        <is>
          <t>Not assessed</t>
        </is>
      </c>
      <c r="BD88" s="29" t="inlineStr">
        <is>
          <t>Not assessed</t>
        </is>
      </c>
      <c r="BE88" s="29" t="inlineStr">
        <is>
          <t>Development required</t>
        </is>
      </c>
      <c r="BF88" s="29" t="inlineStr">
        <is>
          <t>Not team-scoped; no team member engagement metrics; Physical implementation is not complete against the stated requirement.; Engagement metrics exist for content and streams but not for team members. No team-scoped engagement aggregation, no team member engagement UI.</t>
        </is>
      </c>
      <c r="BG88" s="29" t="inlineStr">
        <is>
          <t>Team-scoped engagement metrics service and UI</t>
        </is>
      </c>
      <c r="BH88" s="29" t="inlineStr"/>
      <c r="BI88" s="29" t="inlineStr"/>
      <c r="BJ88" s="29" t="inlineStr"/>
      <c r="BK88" s="29" t="inlineStr">
        <is>
          <t>Evidence reconciled against the reviewed source revision. No production approval is inferred from implementation or file presence.</t>
        </is>
      </c>
      <c r="BL88" s="29" t="inlineStr">
        <is>
          <t>2026-08-02</t>
        </is>
      </c>
    </row>
    <row r="89" ht="42" customHeight="1">
      <c r="A89" s="29" t="inlineStr">
        <is>
          <t>BLYP-05-008</t>
        </is>
      </c>
      <c r="B89" s="29" t="inlineStr"/>
      <c r="C89" s="29" t="inlineStr">
        <is>
          <t>Role-based Team Board</t>
        </is>
      </c>
      <c r="D89" s="29" t="n">
        <v>5</v>
      </c>
      <c r="E89" s="29" t="n">
        <v>8</v>
      </c>
      <c r="F89" s="29" t="inlineStr">
        <is>
          <t>Feature</t>
        </is>
      </c>
      <c r="G89" s="29" t="inlineStr">
        <is>
          <t>Gifting metrics</t>
        </is>
      </c>
      <c r="H89" s="29" t="inlineStr">
        <is>
          <t>Gifting metrics</t>
        </is>
      </c>
      <c r="I89" s="29" t="inlineStr">
        <is>
          <t>/home/ubuntu/blyp_product_requirements.md :: Section 5 — Role-based Team Board</t>
        </is>
      </c>
      <c r="J89" s="29" t="inlineStr">
        <is>
          <t>/home/ubuntu/BLYP_COMPLETE_FEATURE_LIST.md:123</t>
        </is>
      </c>
      <c r="K89" s="29" t="inlineStr">
        <is>
          <t>Required</t>
        </is>
      </c>
      <c r="L89" s="29" t="inlineStr">
        <is>
          <t>Applicable BLYP member</t>
        </is>
      </c>
      <c r="M89" s="29" t="inlineStr">
        <is>
          <t>BLYP mobile application and supporting production services</t>
        </is>
      </c>
      <c r="N89" s="29" t="inlineStr">
        <is>
          <t>Gifting metrics</t>
        </is>
      </c>
      <c r="O89" s="29" t="inlineStr">
        <is>
          <t>Not explicitly defined in the product source; requires accountable product approval before production sign-off.</t>
        </is>
      </c>
      <c r="P89" s="29" t="inlineStr">
        <is>
          <t>gift_events table (backend/blyp-live-service/src/economy/schema.ts)</t>
        </is>
      </c>
      <c r="Q89" s="29" t="inlineStr">
        <is>
          <t>Partial</t>
        </is>
      </c>
      <c r="R89" s="29" t="inlineStr"/>
      <c r="S89" s="29" t="inlineStr">
        <is>
          <t>Partial</t>
        </is>
      </c>
      <c r="T89" s="29" t="inlineStr">
        <is>
          <t>Not found in team context</t>
        </is>
      </c>
      <c r="U89" s="29" t="inlineStr">
        <is>
          <t>Not found in team context</t>
        </is>
      </c>
      <c r="V89" s="29" t="inlineStr">
        <is>
          <t>Not found in team context</t>
        </is>
      </c>
      <c r="W89" s="29" t="inlineStr">
        <is>
          <t>GET /economy/stream/:streamId/summary (per-stream, per-user only)</t>
        </is>
      </c>
      <c r="X89" s="29" t="inlineStr">
        <is>
          <t>gift_events table (backend/blyp-live-service/src/economy/schema.ts)</t>
        </is>
      </c>
      <c r="Y89" s="29" t="inlineStr">
        <is>
          <t>Not found</t>
        </is>
      </c>
      <c r="Z89" s="29" t="inlineStr">
        <is>
          <t>Not found</t>
        </is>
      </c>
      <c r="AA89" s="29" t="inlineStr">
        <is>
          <t>Not found</t>
        </is>
      </c>
      <c r="AB89" s="29" t="inlineStr">
        <is>
          <t>Unknown</t>
        </is>
      </c>
      <c r="AC89" s="29" t="inlineStr"/>
      <c r="AD89" s="29" t="inlineStr">
        <is>
          <t>Gift events stored in gift_events table. Stream summary returns gift_count and coin_spent per user per stream. Not team-scoped.</t>
        </is>
      </c>
      <c r="AE89" s="29" t="inlineStr">
        <is>
          <t>Not wired</t>
        </is>
      </c>
      <c r="AF89" s="29" t="inlineStr">
        <is>
          <t>Not found in team context; Gift events stored in gift_events table. Stream summary returns gift_count and coin_spent per user per stream. Not team-scoped.</t>
        </is>
      </c>
      <c r="AG89" s="29" t="inlineStr">
        <is>
          <t>Incomplete</t>
        </is>
      </c>
      <c r="AH89" s="29" t="inlineStr">
        <is>
          <t>No</t>
        </is>
      </c>
      <c r="AI89" s="29" t="inlineStr">
        <is>
          <t>Gifting data exists at stream/user level but no team-scoped gifting metrics aggregation, no team member gifting leaderboard, no UI for team gifting metrics.</t>
        </is>
      </c>
      <c r="AJ89" s="29" t="inlineStr">
        <is>
          <t>Not verified</t>
        </is>
      </c>
      <c r="AK89" s="29" t="inlineStr">
        <is>
          <t>EV-05-0011; EV-05-0012</t>
        </is>
      </c>
      <c r="AL89" s="29" t="inlineStr"/>
      <c r="AM89" s="29" t="inlineStr"/>
      <c r="AN89" s="29" t="inlineStr"/>
      <c r="AO89" s="29" t="inlineStr">
        <is>
          <t>8bc0dcb2a1da1b21368c5536aaeef829d587f316</t>
        </is>
      </c>
      <c r="AP89" s="29" t="inlineStr">
        <is>
          <t>Medium</t>
        </is>
      </c>
      <c r="AQ89" s="29" t="inlineStr">
        <is>
          <t>Not assessed</t>
        </is>
      </c>
      <c r="AR89" s="29" t="inlineStr">
        <is>
          <t>Not assessed</t>
        </is>
      </c>
      <c r="AS89" s="29" t="inlineStr">
        <is>
          <t>Fail</t>
        </is>
      </c>
      <c r="AT89" s="29" t="inlineStr">
        <is>
          <t>Not assessed</t>
        </is>
      </c>
      <c r="AU89" s="29" t="inlineStr">
        <is>
          <t>Not assessed</t>
        </is>
      </c>
      <c r="AV89" s="29" t="inlineStr">
        <is>
          <t>Not assessed</t>
        </is>
      </c>
      <c r="AW89" s="29" t="inlineStr">
        <is>
          <t>Not assessed</t>
        </is>
      </c>
      <c r="AX89" s="29" t="inlineStr">
        <is>
          <t>Not assessed</t>
        </is>
      </c>
      <c r="AY89" s="29" t="inlineStr">
        <is>
          <t>Not assessed</t>
        </is>
      </c>
      <c r="AZ89" s="29" t="inlineStr">
        <is>
          <t>Not assessed</t>
        </is>
      </c>
      <c r="BA89" s="29" t="inlineStr">
        <is>
          <t>Not assessed</t>
        </is>
      </c>
      <c r="BB89" s="29" t="inlineStr">
        <is>
          <t>Not assessed</t>
        </is>
      </c>
      <c r="BC89" s="29" t="inlineStr">
        <is>
          <t>Not assessed</t>
        </is>
      </c>
      <c r="BD89" s="29" t="inlineStr">
        <is>
          <t>Not assessed</t>
        </is>
      </c>
      <c r="BE89" s="29" t="inlineStr">
        <is>
          <t>Development required</t>
        </is>
      </c>
      <c r="BF89" s="29" t="inlineStr">
        <is>
          <t>Not team-scoped; no team member gifting metrics UI; Physical implementation is not complete against the stated requirement.; Gifting data exists at stream/user level but no team-scoped gifting metrics aggregation, no team member gifting leaderboard, no UI for team gifting metrics.</t>
        </is>
      </c>
      <c r="BG89" s="29" t="inlineStr">
        <is>
          <t>Team-scoped gifting metrics aggregation and UI</t>
        </is>
      </c>
      <c r="BH89" s="29" t="inlineStr"/>
      <c r="BI89" s="29" t="inlineStr"/>
      <c r="BJ89" s="29" t="inlineStr"/>
      <c r="BK89" s="29" t="inlineStr">
        <is>
          <t>Evidence reconciled against the reviewed source revision. No production approval is inferred from implementation or file presence.</t>
        </is>
      </c>
      <c r="BL89" s="29" t="inlineStr">
        <is>
          <t>2026-08-02</t>
        </is>
      </c>
    </row>
    <row r="90" ht="42" customHeight="1">
      <c r="A90" s="29" t="inlineStr">
        <is>
          <t>BLYP-05-009</t>
        </is>
      </c>
      <c r="B90" s="29" t="inlineStr"/>
      <c r="C90" s="29" t="inlineStr">
        <is>
          <t>Role-based Team Board</t>
        </is>
      </c>
      <c r="D90" s="29" t="n">
        <v>5</v>
      </c>
      <c r="E90" s="29" t="n">
        <v>9</v>
      </c>
      <c r="F90" s="29" t="inlineStr">
        <is>
          <t>Feature</t>
        </is>
      </c>
      <c r="G90" s="29" t="inlineStr">
        <is>
          <t>Member goals</t>
        </is>
      </c>
      <c r="H90" s="29" t="inlineStr">
        <is>
          <t>Member goals</t>
        </is>
      </c>
      <c r="I90" s="29" t="inlineStr">
        <is>
          <t>/home/ubuntu/blyp_product_requirements.md :: Section 5 — Role-based Team Board</t>
        </is>
      </c>
      <c r="J90" s="29" t="inlineStr">
        <is>
          <t>/home/ubuntu/BLYP_COMPLETE_FEATURE_LIST.md:124</t>
        </is>
      </c>
      <c r="K90" s="29" t="inlineStr">
        <is>
          <t>Required</t>
        </is>
      </c>
      <c r="L90" s="29" t="inlineStr">
        <is>
          <t>Applicable BLYP member</t>
        </is>
      </c>
      <c r="M90" s="29" t="inlineStr">
        <is>
          <t>BLYP mobile application and supporting production services</t>
        </is>
      </c>
      <c r="N90" s="29" t="inlineStr">
        <is>
          <t>Member goals</t>
        </is>
      </c>
      <c r="O90" s="29" t="inlineStr">
        <is>
          <t>Not explicitly defined in the product source; requires accountable product approval before production sign-off.</t>
        </is>
      </c>
      <c r="P90" s="29" t="inlineStr"/>
      <c r="Q90" s="29" t="inlineStr">
        <is>
          <t>No evidence</t>
        </is>
      </c>
      <c r="R90" s="29" t="inlineStr"/>
      <c r="S90" s="29" t="inlineStr">
        <is>
          <t>Not found</t>
        </is>
      </c>
      <c r="T90" s="29" t="inlineStr">
        <is>
          <t>Not found</t>
        </is>
      </c>
      <c r="U90" s="29" t="inlineStr">
        <is>
          <t>Not found</t>
        </is>
      </c>
      <c r="V90" s="29" t="inlineStr">
        <is>
          <t>Not found</t>
        </is>
      </c>
      <c r="W90" s="29" t="inlineStr">
        <is>
          <t>Not found</t>
        </is>
      </c>
      <c r="X90" s="29" t="inlineStr">
        <is>
          <t>Not found</t>
        </is>
      </c>
      <c r="Y90" s="29" t="inlineStr">
        <is>
          <t>Not found</t>
        </is>
      </c>
      <c r="Z90" s="29" t="inlineStr">
        <is>
          <t>Not found</t>
        </is>
      </c>
      <c r="AA90" s="29" t="inlineStr">
        <is>
          <t>Not found</t>
        </is>
      </c>
      <c r="AB90" s="29" t="inlineStr">
        <is>
          <t>Unknown</t>
        </is>
      </c>
      <c r="AC90" s="29" t="inlineStr"/>
      <c r="AD90" s="29" t="inlineStr">
        <is>
          <t>No runtime path identified.</t>
        </is>
      </c>
      <c r="AE90" s="29" t="inlineStr">
        <is>
          <t>Not wired</t>
        </is>
      </c>
      <c r="AF90" s="29" t="inlineStr">
        <is>
          <t>No runtime path identified.</t>
        </is>
      </c>
      <c r="AG90" s="29" t="inlineStr">
        <is>
          <t>Not started</t>
        </is>
      </c>
      <c r="AH90" s="29" t="inlineStr">
        <is>
          <t>No</t>
        </is>
      </c>
      <c r="AI90" s="29" t="inlineStr">
        <is>
          <t>Searched for 'member goals', 'goals member', 'memberGoal'. Only mock comment text 'Goals!' found. No member goal setting, tracking, or display.</t>
        </is>
      </c>
      <c r="AJ90" s="29" t="inlineStr">
        <is>
          <t>Not verified</t>
        </is>
      </c>
      <c r="AK90" s="29" t="inlineStr">
        <is>
          <t>EV-05-0017</t>
        </is>
      </c>
      <c r="AL90" s="29" t="inlineStr"/>
      <c r="AM90" s="29" t="inlineStr"/>
      <c r="AN90" s="29" t="inlineStr"/>
      <c r="AO90" s="29" t="inlineStr">
        <is>
          <t>8bc0dcb2a1da1b21368c5536aaeef829d587f316</t>
        </is>
      </c>
      <c r="AP90" s="29" t="inlineStr">
        <is>
          <t>High</t>
        </is>
      </c>
      <c r="AQ90" s="29" t="inlineStr">
        <is>
          <t>Not assessed</t>
        </is>
      </c>
      <c r="AR90" s="29" t="inlineStr">
        <is>
          <t>Not assessed</t>
        </is>
      </c>
      <c r="AS90" s="29" t="inlineStr">
        <is>
          <t>Fail</t>
        </is>
      </c>
      <c r="AT90" s="29" t="inlineStr">
        <is>
          <t>Not assessed</t>
        </is>
      </c>
      <c r="AU90" s="29" t="inlineStr">
        <is>
          <t>Not assessed</t>
        </is>
      </c>
      <c r="AV90" s="29" t="inlineStr">
        <is>
          <t>Not assessed</t>
        </is>
      </c>
      <c r="AW90" s="29" t="inlineStr">
        <is>
          <t>Not assessed</t>
        </is>
      </c>
      <c r="AX90" s="29" t="inlineStr">
        <is>
          <t>Not assessed</t>
        </is>
      </c>
      <c r="AY90" s="29" t="inlineStr">
        <is>
          <t>Not assessed</t>
        </is>
      </c>
      <c r="AZ90" s="29" t="inlineStr">
        <is>
          <t>Not assessed</t>
        </is>
      </c>
      <c r="BA90" s="29" t="inlineStr">
        <is>
          <t>Not assessed</t>
        </is>
      </c>
      <c r="BB90" s="29" t="inlineStr">
        <is>
          <t>Not assessed</t>
        </is>
      </c>
      <c r="BC90" s="29" t="inlineStr">
        <is>
          <t>Not assessed</t>
        </is>
      </c>
      <c r="BD90" s="29" t="inlineStr">
        <is>
          <t>Not assessed</t>
        </is>
      </c>
      <c r="BE90" s="29" t="inlineStr">
        <is>
          <t>Development required</t>
        </is>
      </c>
      <c r="BF90" s="29" t="inlineStr">
        <is>
          <t>No source implementation found; Physical implementation is not complete against the stated requirement.; Searched for 'member goals', 'goals member', 'memberGoal'. Only mock comment text 'Goals!' found. No member goal setting, tracking, or display.</t>
        </is>
      </c>
      <c r="BG90" s="29" t="inlineStr">
        <is>
          <t>Member goal setting service, data store, and UI</t>
        </is>
      </c>
      <c r="BH90" s="29" t="inlineStr"/>
      <c r="BI90" s="29" t="inlineStr"/>
      <c r="BJ90" s="29" t="inlineStr"/>
      <c r="BK90" s="29" t="inlineStr">
        <is>
          <t>Evidence reconciled against the reviewed source revision. No production approval is inferred from implementation or file presence.</t>
        </is>
      </c>
      <c r="BL90" s="29" t="inlineStr">
        <is>
          <t>2026-08-02</t>
        </is>
      </c>
    </row>
    <row r="91" ht="42" customHeight="1">
      <c r="A91" s="29" t="inlineStr">
        <is>
          <t>BLYP-05-010</t>
        </is>
      </c>
      <c r="B91" s="29" t="inlineStr"/>
      <c r="C91" s="29" t="inlineStr">
        <is>
          <t>Role-based Team Board</t>
        </is>
      </c>
      <c r="D91" s="29" t="n">
        <v>5</v>
      </c>
      <c r="E91" s="29" t="n">
        <v>10</v>
      </c>
      <c r="F91" s="29" t="inlineStr">
        <is>
          <t>Feature</t>
        </is>
      </c>
      <c r="G91" s="29" t="inlineStr">
        <is>
          <t>Member achievements</t>
        </is>
      </c>
      <c r="H91" s="29" t="inlineStr">
        <is>
          <t>Member achievements</t>
        </is>
      </c>
      <c r="I91" s="29" t="inlineStr">
        <is>
          <t>/home/ubuntu/blyp_product_requirements.md :: Section 5 — Role-based Team Board</t>
        </is>
      </c>
      <c r="J91" s="29" t="inlineStr">
        <is>
          <t>/home/ubuntu/BLYP_COMPLETE_FEATURE_LIST.md:125</t>
        </is>
      </c>
      <c r="K91" s="29" t="inlineStr">
        <is>
          <t>Required</t>
        </is>
      </c>
      <c r="L91" s="29" t="inlineStr">
        <is>
          <t>Applicable BLYP member</t>
        </is>
      </c>
      <c r="M91" s="29" t="inlineStr">
        <is>
          <t>BLYP mobile application and supporting production services</t>
        </is>
      </c>
      <c r="N91" s="29" t="inlineStr">
        <is>
          <t>Member achievements</t>
        </is>
      </c>
      <c r="O91" s="29" t="inlineStr">
        <is>
          <t>Not explicitly defined in the product source; requires accountable product approval before production sign-off.</t>
        </is>
      </c>
      <c r="P91" s="29" t="inlineStr"/>
      <c r="Q91" s="29" t="inlineStr">
        <is>
          <t>Scaffold only</t>
        </is>
      </c>
      <c r="R91" s="29" t="inlineStr"/>
      <c r="S91" s="29" t="inlineStr">
        <is>
          <t>Not found</t>
        </is>
      </c>
      <c r="T91" s="29" t="inlineStr">
        <is>
          <t>Not found</t>
        </is>
      </c>
      <c r="U91" s="29" t="inlineStr">
        <is>
          <t>Not found</t>
        </is>
      </c>
      <c r="V91" s="29" t="inlineStr">
        <is>
          <t>Not found</t>
        </is>
      </c>
      <c r="W91" s="29" t="inlineStr">
        <is>
          <t>Not found</t>
        </is>
      </c>
      <c r="X91" s="29" t="inlineStr">
        <is>
          <t>Not found</t>
        </is>
      </c>
      <c r="Y91" s="29" t="inlineStr">
        <is>
          <t>Not found</t>
        </is>
      </c>
      <c r="Z91" s="29" t="inlineStr">
        <is>
          <t>Not found</t>
        </is>
      </c>
      <c r="AA91" s="29" t="inlineStr">
        <is>
          <t>Not found</t>
        </is>
      </c>
      <c r="AB91" s="29" t="inlineStr">
        <is>
          <t>Unknown</t>
        </is>
      </c>
      <c r="AC91" s="29" t="inlineStr"/>
      <c r="AD91" s="29" t="inlineStr">
        <is>
          <t>No runtime path identified.</t>
        </is>
      </c>
      <c r="AE91" s="29" t="inlineStr">
        <is>
          <t>Not wired</t>
        </is>
      </c>
      <c r="AF91" s="29" t="inlineStr">
        <is>
          <t>No runtime path identified.</t>
        </is>
      </c>
      <c r="AG91" s="29" t="inlineStr">
        <is>
          <t>Not started</t>
        </is>
      </c>
      <c r="AH91" s="29" t="inlineStr">
        <is>
          <t>No</t>
        </is>
      </c>
      <c r="AI91" s="29" t="inlineStr">
        <is>
          <t>Searched for 'achievement', 'member achievement'. No achievement system found in any source file.</t>
        </is>
      </c>
      <c r="AJ91" s="29" t="inlineStr">
        <is>
          <t>Not verified</t>
        </is>
      </c>
      <c r="AK91" s="29" t="inlineStr">
        <is>
          <t>EV-05-0017</t>
        </is>
      </c>
      <c r="AL91" s="29" t="inlineStr"/>
      <c r="AM91" s="29" t="inlineStr"/>
      <c r="AN91" s="29" t="inlineStr"/>
      <c r="AO91" s="29" t="inlineStr">
        <is>
          <t>8bc0dcb2a1da1b21368c5536aaeef829d587f316</t>
        </is>
      </c>
      <c r="AP91" s="29" t="inlineStr">
        <is>
          <t>High</t>
        </is>
      </c>
      <c r="AQ91" s="29" t="inlineStr">
        <is>
          <t>Not assessed</t>
        </is>
      </c>
      <c r="AR91" s="29" t="inlineStr">
        <is>
          <t>Not assessed</t>
        </is>
      </c>
      <c r="AS91" s="29" t="inlineStr">
        <is>
          <t>Fail</t>
        </is>
      </c>
      <c r="AT91" s="29" t="inlineStr">
        <is>
          <t>Not assessed</t>
        </is>
      </c>
      <c r="AU91" s="29" t="inlineStr">
        <is>
          <t>Not assessed</t>
        </is>
      </c>
      <c r="AV91" s="29" t="inlineStr">
        <is>
          <t>Not assessed</t>
        </is>
      </c>
      <c r="AW91" s="29" t="inlineStr">
        <is>
          <t>Not assessed</t>
        </is>
      </c>
      <c r="AX91" s="29" t="inlineStr">
        <is>
          <t>Not assessed</t>
        </is>
      </c>
      <c r="AY91" s="29" t="inlineStr">
        <is>
          <t>Not assessed</t>
        </is>
      </c>
      <c r="AZ91" s="29" t="inlineStr">
        <is>
          <t>Not assessed</t>
        </is>
      </c>
      <c r="BA91" s="29" t="inlineStr">
        <is>
          <t>Not assessed</t>
        </is>
      </c>
      <c r="BB91" s="29" t="inlineStr">
        <is>
          <t>Not assessed</t>
        </is>
      </c>
      <c r="BC91" s="29" t="inlineStr">
        <is>
          <t>Not assessed</t>
        </is>
      </c>
      <c r="BD91" s="29" t="inlineStr">
        <is>
          <t>Not assessed</t>
        </is>
      </c>
      <c r="BE91" s="29" t="inlineStr">
        <is>
          <t>Development required</t>
        </is>
      </c>
      <c r="BF91" s="29" t="inlineStr">
        <is>
          <t>No source implementation found; Physical implementation is not complete against the stated requirement.; Searched for 'achievement', 'member achievement'. No achievement system found in any source file.</t>
        </is>
      </c>
      <c r="BG91" s="29" t="inlineStr">
        <is>
          <t>Achievement system service, data store, and UI</t>
        </is>
      </c>
      <c r="BH91" s="29" t="inlineStr"/>
      <c r="BI91" s="29" t="inlineStr"/>
      <c r="BJ91" s="29" t="inlineStr"/>
      <c r="BK91" s="29" t="inlineStr">
        <is>
          <t>Evidence reconciled against the reviewed source revision. No production approval is inferred from implementation or file presence.</t>
        </is>
      </c>
      <c r="BL91" s="29" t="inlineStr">
        <is>
          <t>2026-08-02</t>
        </is>
      </c>
    </row>
    <row r="92" ht="42" customHeight="1">
      <c r="A92" s="29" t="inlineStr">
        <is>
          <t>BLYP-05-011</t>
        </is>
      </c>
      <c r="B92" s="29" t="inlineStr"/>
      <c r="C92" s="29" t="inlineStr">
        <is>
          <t>Role-based Team Board</t>
        </is>
      </c>
      <c r="D92" s="29" t="n">
        <v>5</v>
      </c>
      <c r="E92" s="29" t="n">
        <v>11</v>
      </c>
      <c r="F92" s="29" t="inlineStr">
        <is>
          <t>Feature</t>
        </is>
      </c>
      <c r="G92" s="29" t="inlineStr">
        <is>
          <t>Improvement guidance</t>
        </is>
      </c>
      <c r="H92" s="29" t="inlineStr">
        <is>
          <t>Improvement guidance</t>
        </is>
      </c>
      <c r="I92" s="29" t="inlineStr">
        <is>
          <t>/home/ubuntu/blyp_product_requirements.md :: Section 5 — Role-based Team Board</t>
        </is>
      </c>
      <c r="J92" s="29" t="inlineStr">
        <is>
          <t>/home/ubuntu/BLYP_COMPLETE_FEATURE_LIST.md:126</t>
        </is>
      </c>
      <c r="K92" s="29" t="inlineStr">
        <is>
          <t>Required</t>
        </is>
      </c>
      <c r="L92" s="29" t="inlineStr">
        <is>
          <t>Applicable BLYP member</t>
        </is>
      </c>
      <c r="M92" s="29" t="inlineStr">
        <is>
          <t>BLYP mobile application and supporting production services</t>
        </is>
      </c>
      <c r="N92" s="29" t="inlineStr">
        <is>
          <t>Improvement guidance</t>
        </is>
      </c>
      <c r="O92" s="29" t="inlineStr">
        <is>
          <t>Not explicitly defined in the product source; requires accountable product approval before production sign-off.</t>
        </is>
      </c>
      <c r="P92" s="29" t="inlineStr"/>
      <c r="Q92" s="29" t="inlineStr">
        <is>
          <t>No evidence</t>
        </is>
      </c>
      <c r="R92" s="29" t="inlineStr"/>
      <c r="S92" s="29" t="inlineStr">
        <is>
          <t>Not found</t>
        </is>
      </c>
      <c r="T92" s="29" t="inlineStr">
        <is>
          <t>Not found</t>
        </is>
      </c>
      <c r="U92" s="29" t="inlineStr">
        <is>
          <t>Not found</t>
        </is>
      </c>
      <c r="V92" s="29" t="inlineStr">
        <is>
          <t>Not found</t>
        </is>
      </c>
      <c r="W92" s="29" t="inlineStr">
        <is>
          <t>Not found</t>
        </is>
      </c>
      <c r="X92" s="29" t="inlineStr">
        <is>
          <t>Not found</t>
        </is>
      </c>
      <c r="Y92" s="29" t="inlineStr">
        <is>
          <t>Not found</t>
        </is>
      </c>
      <c r="Z92" s="29" t="inlineStr">
        <is>
          <t>Not found</t>
        </is>
      </c>
      <c r="AA92" s="29" t="inlineStr">
        <is>
          <t>Not found</t>
        </is>
      </c>
      <c r="AB92" s="29" t="inlineStr">
        <is>
          <t>Unknown</t>
        </is>
      </c>
      <c r="AC92" s="29" t="inlineStr"/>
      <c r="AD92" s="29" t="inlineStr">
        <is>
          <t>No runtime path identified.</t>
        </is>
      </c>
      <c r="AE92" s="29" t="inlineStr">
        <is>
          <t>Not wired</t>
        </is>
      </c>
      <c r="AF92" s="29" t="inlineStr">
        <is>
          <t>No runtime path identified.</t>
        </is>
      </c>
      <c r="AG92" s="29" t="inlineStr">
        <is>
          <t>Not started</t>
        </is>
      </c>
      <c r="AH92" s="29" t="inlineStr">
        <is>
          <t>No</t>
        </is>
      </c>
      <c r="AI92" s="29" t="inlineStr">
        <is>
          <t>Searched for 'improvement guidance', 'guidance improvement'. Only 'network_improvement' in test file and 'needs minor improvements' in ViewerTestSuite found. No member improvement guidance feature.</t>
        </is>
      </c>
      <c r="AJ92" s="29" t="inlineStr">
        <is>
          <t>Not verified</t>
        </is>
      </c>
      <c r="AK92" s="29" t="inlineStr">
        <is>
          <t>EV-05-0017</t>
        </is>
      </c>
      <c r="AL92" s="29" t="inlineStr"/>
      <c r="AM92" s="29" t="inlineStr"/>
      <c r="AN92" s="29" t="inlineStr"/>
      <c r="AO92" s="29" t="inlineStr">
        <is>
          <t>8bc0dcb2a1da1b21368c5536aaeef829d587f316</t>
        </is>
      </c>
      <c r="AP92" s="29" t="inlineStr">
        <is>
          <t>High</t>
        </is>
      </c>
      <c r="AQ92" s="29" t="inlineStr">
        <is>
          <t>Not assessed</t>
        </is>
      </c>
      <c r="AR92" s="29" t="inlineStr">
        <is>
          <t>Not assessed</t>
        </is>
      </c>
      <c r="AS92" s="29" t="inlineStr">
        <is>
          <t>Fail</t>
        </is>
      </c>
      <c r="AT92" s="29" t="inlineStr">
        <is>
          <t>Not assessed</t>
        </is>
      </c>
      <c r="AU92" s="29" t="inlineStr">
        <is>
          <t>Not assessed</t>
        </is>
      </c>
      <c r="AV92" s="29" t="inlineStr">
        <is>
          <t>Not assessed</t>
        </is>
      </c>
      <c r="AW92" s="29" t="inlineStr">
        <is>
          <t>Not assessed</t>
        </is>
      </c>
      <c r="AX92" s="29" t="inlineStr">
        <is>
          <t>Not assessed</t>
        </is>
      </c>
      <c r="AY92" s="29" t="inlineStr">
        <is>
          <t>Not assessed</t>
        </is>
      </c>
      <c r="AZ92" s="29" t="inlineStr">
        <is>
          <t>Not assessed</t>
        </is>
      </c>
      <c r="BA92" s="29" t="inlineStr">
        <is>
          <t>Not assessed</t>
        </is>
      </c>
      <c r="BB92" s="29" t="inlineStr">
        <is>
          <t>Not assessed</t>
        </is>
      </c>
      <c r="BC92" s="29" t="inlineStr">
        <is>
          <t>Not assessed</t>
        </is>
      </c>
      <c r="BD92" s="29" t="inlineStr">
        <is>
          <t>Not assessed</t>
        </is>
      </c>
      <c r="BE92" s="29" t="inlineStr">
        <is>
          <t>Development required</t>
        </is>
      </c>
      <c r="BF92" s="29" t="inlineStr">
        <is>
          <t>No source implementation found; Physical implementation is not complete against the stated requirement.; Searched for 'improvement guidance', 'guidance improvement'. Only 'network_improvement' in test file and 'needs minor improvements' in ViewerTestSuite found. No member improvement guidance feature.</t>
        </is>
      </c>
      <c r="BG92" s="29" t="inlineStr">
        <is>
          <t>Improvement guidance service and UI</t>
        </is>
      </c>
      <c r="BH92" s="29" t="inlineStr"/>
      <c r="BI92" s="29" t="inlineStr"/>
      <c r="BJ92" s="29" t="inlineStr"/>
      <c r="BK92" s="29" t="inlineStr">
        <is>
          <t>Evidence reconciled against the reviewed source revision. No production approval is inferred from implementation or file presence.</t>
        </is>
      </c>
      <c r="BL92" s="29" t="inlineStr">
        <is>
          <t>2026-08-02</t>
        </is>
      </c>
    </row>
    <row r="93" ht="42" customHeight="1">
      <c r="A93" s="29" t="inlineStr">
        <is>
          <t>BLYP-05-012</t>
        </is>
      </c>
      <c r="B93" s="29" t="inlineStr"/>
      <c r="C93" s="29" t="inlineStr">
        <is>
          <t>Role-based Team Board</t>
        </is>
      </c>
      <c r="D93" s="29" t="n">
        <v>5</v>
      </c>
      <c r="E93" s="29" t="n">
        <v>12</v>
      </c>
      <c r="F93" s="29" t="inlineStr">
        <is>
          <t>Feature</t>
        </is>
      </c>
      <c r="G93" s="29" t="inlineStr">
        <is>
          <t>Upcoming Team activity</t>
        </is>
      </c>
      <c r="H93" s="29" t="inlineStr">
        <is>
          <t>Upcoming Team activity</t>
        </is>
      </c>
      <c r="I93" s="29" t="inlineStr">
        <is>
          <t>/home/ubuntu/blyp_product_requirements.md :: Section 5 — Role-based Team Board</t>
        </is>
      </c>
      <c r="J93" s="29" t="inlineStr">
        <is>
          <t>/home/ubuntu/BLYP_COMPLETE_FEATURE_LIST.md:127</t>
        </is>
      </c>
      <c r="K93" s="29" t="inlineStr">
        <is>
          <t>Required</t>
        </is>
      </c>
      <c r="L93" s="29" t="inlineStr">
        <is>
          <t>Applicable BLYP member</t>
        </is>
      </c>
      <c r="M93" s="29" t="inlineStr">
        <is>
          <t>BLYP mobile application and supporting production services</t>
        </is>
      </c>
      <c r="N93" s="29" t="inlineStr">
        <is>
          <t>Upcoming Team activity</t>
        </is>
      </c>
      <c r="O93" s="29" t="inlineStr">
        <is>
          <t>Not explicitly defined in the product source; requires accountable product approval before production sign-off.</t>
        </is>
      </c>
      <c r="P93" s="29" t="inlineStr"/>
      <c r="Q93" s="29" t="inlineStr">
        <is>
          <t>No evidence</t>
        </is>
      </c>
      <c r="R93" s="29" t="inlineStr"/>
      <c r="S93" s="29" t="inlineStr">
        <is>
          <t>Not found</t>
        </is>
      </c>
      <c r="T93" s="29" t="inlineStr">
        <is>
          <t>Not found</t>
        </is>
      </c>
      <c r="U93" s="29" t="inlineStr">
        <is>
          <t>Not found</t>
        </is>
      </c>
      <c r="V93" s="29" t="inlineStr">
        <is>
          <t>Not found</t>
        </is>
      </c>
      <c r="W93" s="29" t="inlineStr">
        <is>
          <t>Not found</t>
        </is>
      </c>
      <c r="X93" s="29" t="inlineStr">
        <is>
          <t>Not found</t>
        </is>
      </c>
      <c r="Y93" s="29" t="inlineStr">
        <is>
          <t>Not found</t>
        </is>
      </c>
      <c r="Z93" s="29" t="inlineStr">
        <is>
          <t>Not found</t>
        </is>
      </c>
      <c r="AA93" s="29" t="inlineStr">
        <is>
          <t>Not found</t>
        </is>
      </c>
      <c r="AB93" s="29" t="inlineStr">
        <is>
          <t>Unknown</t>
        </is>
      </c>
      <c r="AC93" s="29" t="inlineStr"/>
      <c r="AD93" s="29" t="inlineStr">
        <is>
          <t>No runtime path identified.</t>
        </is>
      </c>
      <c r="AE93" s="29" t="inlineStr">
        <is>
          <t>Not wired</t>
        </is>
      </c>
      <c r="AF93" s="29" t="inlineStr">
        <is>
          <t>No runtime path identified.</t>
        </is>
      </c>
      <c r="AG93" s="29" t="inlineStr">
        <is>
          <t>Not started</t>
        </is>
      </c>
      <c r="AH93" s="29" t="inlineStr">
        <is>
          <t>No</t>
        </is>
      </c>
      <c r="AI93" s="29" t="inlineStr">
        <is>
          <t>Searched for 'upcoming team activity', 'team upcoming', 'upcoming activity'. Only 'Upcoming Rewards' in DailyRewards.js (individual, not team). No team activity calendar or upcoming activity feed.</t>
        </is>
      </c>
      <c r="AJ93" s="29" t="inlineStr">
        <is>
          <t>Not verified</t>
        </is>
      </c>
      <c r="AK93" s="29" t="inlineStr">
        <is>
          <t>EV-05-0017</t>
        </is>
      </c>
      <c r="AL93" s="29" t="inlineStr"/>
      <c r="AM93" s="29" t="inlineStr"/>
      <c r="AN93" s="29" t="inlineStr"/>
      <c r="AO93" s="29" t="inlineStr">
        <is>
          <t>8bc0dcb2a1da1b21368c5536aaeef829d587f316</t>
        </is>
      </c>
      <c r="AP93" s="29" t="inlineStr">
        <is>
          <t>High</t>
        </is>
      </c>
      <c r="AQ93" s="29" t="inlineStr">
        <is>
          <t>Not assessed</t>
        </is>
      </c>
      <c r="AR93" s="29" t="inlineStr">
        <is>
          <t>Not assessed</t>
        </is>
      </c>
      <c r="AS93" s="29" t="inlineStr">
        <is>
          <t>Fail</t>
        </is>
      </c>
      <c r="AT93" s="29" t="inlineStr">
        <is>
          <t>Not assessed</t>
        </is>
      </c>
      <c r="AU93" s="29" t="inlineStr">
        <is>
          <t>Not assessed</t>
        </is>
      </c>
      <c r="AV93" s="29" t="inlineStr">
        <is>
          <t>Not assessed</t>
        </is>
      </c>
      <c r="AW93" s="29" t="inlineStr">
        <is>
          <t>Not assessed</t>
        </is>
      </c>
      <c r="AX93" s="29" t="inlineStr">
        <is>
          <t>Not assessed</t>
        </is>
      </c>
      <c r="AY93" s="29" t="inlineStr">
        <is>
          <t>Not assessed</t>
        </is>
      </c>
      <c r="AZ93" s="29" t="inlineStr">
        <is>
          <t>Not assessed</t>
        </is>
      </c>
      <c r="BA93" s="29" t="inlineStr">
        <is>
          <t>Not assessed</t>
        </is>
      </c>
      <c r="BB93" s="29" t="inlineStr">
        <is>
          <t>Not assessed</t>
        </is>
      </c>
      <c r="BC93" s="29" t="inlineStr">
        <is>
          <t>Not assessed</t>
        </is>
      </c>
      <c r="BD93" s="29" t="inlineStr">
        <is>
          <t>Not assessed</t>
        </is>
      </c>
      <c r="BE93" s="29" t="inlineStr">
        <is>
          <t>Development required</t>
        </is>
      </c>
      <c r="BF93" s="29" t="inlineStr">
        <is>
          <t>No source implementation found; Physical implementation is not complete against the stated requirement.; Searched for 'upcoming team activity', 'team upcoming', 'upcoming activity'. Only 'Upcoming Rewards' in DailyRewards.js (individual, not team). No team activity calendar or upcoming activity feed.</t>
        </is>
      </c>
      <c r="BG93" s="29" t="inlineStr">
        <is>
          <t>Team activity calendar service, data store, and UI</t>
        </is>
      </c>
      <c r="BH93" s="29" t="inlineStr"/>
      <c r="BI93" s="29" t="inlineStr"/>
      <c r="BJ93" s="29" t="inlineStr"/>
      <c r="BK93" s="29" t="inlineStr">
        <is>
          <t>Evidence reconciled against the reviewed source revision. No production approval is inferred from implementation or file presence.</t>
        </is>
      </c>
      <c r="BL93" s="29" t="inlineStr">
        <is>
          <t>2026-08-02</t>
        </is>
      </c>
    </row>
    <row r="94" ht="42" customHeight="1">
      <c r="A94" s="29" t="inlineStr">
        <is>
          <t>BLYP-05-013</t>
        </is>
      </c>
      <c r="B94" s="29" t="inlineStr"/>
      <c r="C94" s="29" t="inlineStr">
        <is>
          <t>Role-based Team Board</t>
        </is>
      </c>
      <c r="D94" s="29" t="n">
        <v>5</v>
      </c>
      <c r="E94" s="29" t="n">
        <v>13</v>
      </c>
      <c r="F94" s="29" t="inlineStr">
        <is>
          <t>Feature</t>
        </is>
      </c>
      <c r="G94" s="29" t="inlineStr">
        <is>
          <t>Team leader board</t>
        </is>
      </c>
      <c r="H94" s="29" t="inlineStr">
        <is>
          <t>Team leader board</t>
        </is>
      </c>
      <c r="I94" s="29" t="inlineStr">
        <is>
          <t>/home/ubuntu/blyp_product_requirements.md :: Section 5 — Role-based Team Board</t>
        </is>
      </c>
      <c r="J94" s="29" t="inlineStr">
        <is>
          <t>/home/ubuntu/BLYP_COMPLETE_FEATURE_LIST.md:128</t>
        </is>
      </c>
      <c r="K94" s="29" t="inlineStr">
        <is>
          <t>Required</t>
        </is>
      </c>
      <c r="L94" s="29" t="inlineStr">
        <is>
          <t>Applicable BLYP member</t>
        </is>
      </c>
      <c r="M94" s="29" t="inlineStr">
        <is>
          <t>BLYP mobile application and supporting production services</t>
        </is>
      </c>
      <c r="N94" s="29" t="inlineStr">
        <is>
          <t>Team leader board</t>
        </is>
      </c>
      <c r="O94" s="29" t="inlineStr">
        <is>
          <t>Not explicitly defined in the product source; requires accountable product approval before production sign-off.</t>
        </is>
      </c>
      <c r="P94" s="29" t="inlineStr"/>
      <c r="Q94" s="29" t="inlineStr">
        <is>
          <t>No evidence</t>
        </is>
      </c>
      <c r="R94" s="29" t="inlineStr"/>
      <c r="S94" s="29" t="inlineStr">
        <is>
          <t>Scaffold only</t>
        </is>
      </c>
      <c r="T94" s="29" t="inlineStr">
        <is>
          <t>ChatListScreen groups tab navigates to placeholder</t>
        </is>
      </c>
      <c r="U94" s="29" t="inlineStr">
        <is>
          <t>src/screens/ChatListScreen.js (case 'groups': Leaderboard placeholder)</t>
        </is>
      </c>
      <c r="V94" s="29" t="inlineStr">
        <is>
          <t>Not found</t>
        </is>
      </c>
      <c r="W94" s="29" t="inlineStr">
        <is>
          <t>Not found</t>
        </is>
      </c>
      <c r="X94" s="29" t="inlineStr">
        <is>
          <t>Not found</t>
        </is>
      </c>
      <c r="Y94" s="29" t="inlineStr">
        <is>
          <t>Not found</t>
        </is>
      </c>
      <c r="Z94" s="29" t="inlineStr">
        <is>
          <t>Not found</t>
        </is>
      </c>
      <c r="AA94" s="29" t="inlineStr">
        <is>
          <t>Not found</t>
        </is>
      </c>
      <c r="AB94" s="29" t="inlineStr">
        <is>
          <t>Unknown</t>
        </is>
      </c>
      <c r="AC94" s="29" t="inlineStr"/>
      <c r="AD94" s="29" t="inlineStr">
        <is>
          <t>Leaderboard tab in ChatListScreen shows 'Coming Soon' placeholder. No data, no server connection.</t>
        </is>
      </c>
      <c r="AE94" s="29" t="inlineStr">
        <is>
          <t>User reachable</t>
        </is>
      </c>
      <c r="AF94" s="29" t="inlineStr">
        <is>
          <t>ChatListScreen groups tab navigates to placeholder; Leaderboard tab in ChatListScreen shows 'Coming Soon' placeholder. No data, no server connection.</t>
        </is>
      </c>
      <c r="AG94" s="29" t="inlineStr">
        <is>
          <t>Not started</t>
        </is>
      </c>
      <c r="AH94" s="29" t="inlineStr">
        <is>
          <t>No</t>
        </is>
      </c>
      <c r="AI94" s="29" t="inlineStr">
        <is>
          <t>Only a placeholder UI exists. No team leader board data, no ranking logic, no server route, no data store for team leaderboard.</t>
        </is>
      </c>
      <c r="AJ94" s="29" t="inlineStr">
        <is>
          <t>Not verified</t>
        </is>
      </c>
      <c r="AK94" s="29" t="inlineStr">
        <is>
          <t>EV-05-0001</t>
        </is>
      </c>
      <c r="AL94" s="29" t="inlineStr"/>
      <c r="AM94" s="29" t="inlineStr"/>
      <c r="AN94" s="29" t="inlineStr"/>
      <c r="AO94" s="29" t="inlineStr">
        <is>
          <t>8bc0dcb2a1da1b21368c5536aaeef829d587f316</t>
        </is>
      </c>
      <c r="AP94" s="29" t="inlineStr">
        <is>
          <t>High</t>
        </is>
      </c>
      <c r="AQ94" s="29" t="inlineStr">
        <is>
          <t>Not assessed</t>
        </is>
      </c>
      <c r="AR94" s="29" t="inlineStr">
        <is>
          <t>Not assessed</t>
        </is>
      </c>
      <c r="AS94" s="29" t="inlineStr">
        <is>
          <t>Fail</t>
        </is>
      </c>
      <c r="AT94" s="29" t="inlineStr">
        <is>
          <t>Not assessed</t>
        </is>
      </c>
      <c r="AU94" s="29" t="inlineStr">
        <is>
          <t>Not assessed</t>
        </is>
      </c>
      <c r="AV94" s="29" t="inlineStr">
        <is>
          <t>Not assessed</t>
        </is>
      </c>
      <c r="AW94" s="29" t="inlineStr">
        <is>
          <t>Not assessed</t>
        </is>
      </c>
      <c r="AX94" s="29" t="inlineStr">
        <is>
          <t>Not assessed</t>
        </is>
      </c>
      <c r="AY94" s="29" t="inlineStr">
        <is>
          <t>Not assessed</t>
        </is>
      </c>
      <c r="AZ94" s="29" t="inlineStr">
        <is>
          <t>Not assessed</t>
        </is>
      </c>
      <c r="BA94" s="29" t="inlineStr">
        <is>
          <t>Not assessed</t>
        </is>
      </c>
      <c r="BB94" s="29" t="inlineStr">
        <is>
          <t>Not assessed</t>
        </is>
      </c>
      <c r="BC94" s="29" t="inlineStr">
        <is>
          <t>Not assessed</t>
        </is>
      </c>
      <c r="BD94" s="29" t="inlineStr">
        <is>
          <t>Not assessed</t>
        </is>
      </c>
      <c r="BE94" s="29" t="inlineStr">
        <is>
          <t>Development required</t>
        </is>
      </c>
      <c r="BF94" s="29" t="inlineStr">
        <is>
          <t>Placeholder only; no data or server implementation; Physical implementation is not complete against the stated requirement.; Only a placeholder UI exists. No team leader board data, no ranking logic, no server route, no data store for team leaderboard.</t>
        </is>
      </c>
      <c r="BG94" s="29" t="inlineStr">
        <is>
          <t>Team leaderboard data service, server route, and populated UI</t>
        </is>
      </c>
      <c r="BH94" s="29" t="inlineStr"/>
      <c r="BI94" s="29" t="inlineStr"/>
      <c r="BJ94" s="29" t="inlineStr"/>
      <c r="BK94" s="29" t="inlineStr">
        <is>
          <t>Evidence reconciled against the reviewed source revision. No production approval is inferred from implementation or file presence.</t>
        </is>
      </c>
      <c r="BL94" s="29" t="inlineStr">
        <is>
          <t>2026-08-02</t>
        </is>
      </c>
    </row>
    <row r="95" ht="42" customHeight="1">
      <c r="A95" s="29" t="inlineStr">
        <is>
          <t>BLYP-05-014</t>
        </is>
      </c>
      <c r="B95" s="29" t="inlineStr"/>
      <c r="C95" s="29" t="inlineStr">
        <is>
          <t>Role-based Team Board</t>
        </is>
      </c>
      <c r="D95" s="29" t="n">
        <v>5</v>
      </c>
      <c r="E95" s="29" t="n">
        <v>14</v>
      </c>
      <c r="F95" s="29" t="inlineStr">
        <is>
          <t>Feature</t>
        </is>
      </c>
      <c r="G95" s="29" t="inlineStr">
        <is>
          <t>Roster comparison</t>
        </is>
      </c>
      <c r="H95" s="29" t="inlineStr">
        <is>
          <t>Roster comparison</t>
        </is>
      </c>
      <c r="I95" s="29" t="inlineStr">
        <is>
          <t>/home/ubuntu/blyp_product_requirements.md :: Section 5 — Role-based Team Board</t>
        </is>
      </c>
      <c r="J95" s="29" t="inlineStr">
        <is>
          <t>/home/ubuntu/BLYP_COMPLETE_FEATURE_LIST.md:129</t>
        </is>
      </c>
      <c r="K95" s="29" t="inlineStr">
        <is>
          <t>Required</t>
        </is>
      </c>
      <c r="L95" s="29" t="inlineStr">
        <is>
          <t>Applicable BLYP member</t>
        </is>
      </c>
      <c r="M95" s="29" t="inlineStr">
        <is>
          <t>BLYP mobile application and supporting production services</t>
        </is>
      </c>
      <c r="N95" s="29" t="inlineStr">
        <is>
          <t>Roster comparison</t>
        </is>
      </c>
      <c r="O95" s="29" t="inlineStr">
        <is>
          <t>Not explicitly defined in the product source; requires accountable product approval before production sign-off.</t>
        </is>
      </c>
      <c r="P95" s="29" t="inlineStr"/>
      <c r="Q95" s="29" t="inlineStr">
        <is>
          <t>No evidence</t>
        </is>
      </c>
      <c r="R95" s="29" t="inlineStr"/>
      <c r="S95" s="29" t="inlineStr">
        <is>
          <t>Not found</t>
        </is>
      </c>
      <c r="T95" s="29" t="inlineStr">
        <is>
          <t>Not found</t>
        </is>
      </c>
      <c r="U95" s="29" t="inlineStr">
        <is>
          <t>Not found</t>
        </is>
      </c>
      <c r="V95" s="29" t="inlineStr">
        <is>
          <t>Not found</t>
        </is>
      </c>
      <c r="W95" s="29" t="inlineStr">
        <is>
          <t>Not found</t>
        </is>
      </c>
      <c r="X95" s="29" t="inlineStr">
        <is>
          <t>Not found</t>
        </is>
      </c>
      <c r="Y95" s="29" t="inlineStr">
        <is>
          <t>Not found</t>
        </is>
      </c>
      <c r="Z95" s="29" t="inlineStr">
        <is>
          <t>Not found</t>
        </is>
      </c>
      <c r="AA95" s="29" t="inlineStr">
        <is>
          <t>Not found</t>
        </is>
      </c>
      <c r="AB95" s="29" t="inlineStr">
        <is>
          <t>Unknown</t>
        </is>
      </c>
      <c r="AC95" s="29" t="inlineStr"/>
      <c r="AD95" s="29" t="inlineStr">
        <is>
          <t>No runtime path identified.</t>
        </is>
      </c>
      <c r="AE95" s="29" t="inlineStr">
        <is>
          <t>Not wired</t>
        </is>
      </c>
      <c r="AF95" s="29" t="inlineStr">
        <is>
          <t>No runtime path identified.</t>
        </is>
      </c>
      <c r="AG95" s="29" t="inlineStr">
        <is>
          <t>Not started</t>
        </is>
      </c>
      <c r="AH95" s="29" t="inlineStr">
        <is>
          <t>No</t>
        </is>
      </c>
      <c r="AI95" s="29" t="inlineStr">
        <is>
          <t>Searched for 'roster', 'comparison', 'roster comparison'. No roster comparison feature found.</t>
        </is>
      </c>
      <c r="AJ95" s="29" t="inlineStr">
        <is>
          <t>Not verified</t>
        </is>
      </c>
      <c r="AK95" s="29" t="inlineStr">
        <is>
          <t>EV-05-0017</t>
        </is>
      </c>
      <c r="AL95" s="29" t="inlineStr"/>
      <c r="AM95" s="29" t="inlineStr"/>
      <c r="AN95" s="29" t="inlineStr"/>
      <c r="AO95" s="29" t="inlineStr">
        <is>
          <t>8bc0dcb2a1da1b21368c5536aaeef829d587f316</t>
        </is>
      </c>
      <c r="AP95" s="29" t="inlineStr">
        <is>
          <t>High</t>
        </is>
      </c>
      <c r="AQ95" s="29" t="inlineStr">
        <is>
          <t>Not assessed</t>
        </is>
      </c>
      <c r="AR95" s="29" t="inlineStr">
        <is>
          <t>Not assessed</t>
        </is>
      </c>
      <c r="AS95" s="29" t="inlineStr">
        <is>
          <t>Fail</t>
        </is>
      </c>
      <c r="AT95" s="29" t="inlineStr">
        <is>
          <t>Not assessed</t>
        </is>
      </c>
      <c r="AU95" s="29" t="inlineStr">
        <is>
          <t>Not assessed</t>
        </is>
      </c>
      <c r="AV95" s="29" t="inlineStr">
        <is>
          <t>Not assessed</t>
        </is>
      </c>
      <c r="AW95" s="29" t="inlineStr">
        <is>
          <t>Not assessed</t>
        </is>
      </c>
      <c r="AX95" s="29" t="inlineStr">
        <is>
          <t>Not assessed</t>
        </is>
      </c>
      <c r="AY95" s="29" t="inlineStr">
        <is>
          <t>Not assessed</t>
        </is>
      </c>
      <c r="AZ95" s="29" t="inlineStr">
        <is>
          <t>Not assessed</t>
        </is>
      </c>
      <c r="BA95" s="29" t="inlineStr">
        <is>
          <t>Not assessed</t>
        </is>
      </c>
      <c r="BB95" s="29" t="inlineStr">
        <is>
          <t>Not assessed</t>
        </is>
      </c>
      <c r="BC95" s="29" t="inlineStr">
        <is>
          <t>Not assessed</t>
        </is>
      </c>
      <c r="BD95" s="29" t="inlineStr">
        <is>
          <t>Not assessed</t>
        </is>
      </c>
      <c r="BE95" s="29" t="inlineStr">
        <is>
          <t>Development required</t>
        </is>
      </c>
      <c r="BF95" s="29" t="inlineStr">
        <is>
          <t>No source implementation found; Physical implementation is not complete against the stated requirement.; Searched for 'roster', 'comparison', 'roster comparison'. No roster comparison feature found.</t>
        </is>
      </c>
      <c r="BG95" s="29" t="inlineStr">
        <is>
          <t>Roster comparison service and UI</t>
        </is>
      </c>
      <c r="BH95" s="29" t="inlineStr"/>
      <c r="BI95" s="29" t="inlineStr"/>
      <c r="BJ95" s="29" t="inlineStr"/>
      <c r="BK95" s="29" t="inlineStr">
        <is>
          <t>Evidence reconciled against the reviewed source revision. No production approval is inferred from implementation or file presence.</t>
        </is>
      </c>
      <c r="BL95" s="29" t="inlineStr">
        <is>
          <t>2026-08-02</t>
        </is>
      </c>
    </row>
    <row r="96" ht="42" customHeight="1">
      <c r="A96" s="29" t="inlineStr">
        <is>
          <t>BLYP-05-015</t>
        </is>
      </c>
      <c r="B96" s="29" t="inlineStr"/>
      <c r="C96" s="29" t="inlineStr">
        <is>
          <t>Role-based Team Board</t>
        </is>
      </c>
      <c r="D96" s="29" t="n">
        <v>5</v>
      </c>
      <c r="E96" s="29" t="n">
        <v>15</v>
      </c>
      <c r="F96" s="29" t="inlineStr">
        <is>
          <t>Feature</t>
        </is>
      </c>
      <c r="G96" s="29" t="inlineStr">
        <is>
          <t>Member drill-down</t>
        </is>
      </c>
      <c r="H96" s="29" t="inlineStr">
        <is>
          <t>Member drill-down</t>
        </is>
      </c>
      <c r="I96" s="29" t="inlineStr">
        <is>
          <t>/home/ubuntu/blyp_product_requirements.md :: Section 5 — Role-based Team Board</t>
        </is>
      </c>
      <c r="J96" s="29" t="inlineStr">
        <is>
          <t>/home/ubuntu/BLYP_COMPLETE_FEATURE_LIST.md:130</t>
        </is>
      </c>
      <c r="K96" s="29" t="inlineStr">
        <is>
          <t>Required</t>
        </is>
      </c>
      <c r="L96" s="29" t="inlineStr">
        <is>
          <t>Applicable BLYP member</t>
        </is>
      </c>
      <c r="M96" s="29" t="inlineStr">
        <is>
          <t>BLYP mobile application and supporting production services</t>
        </is>
      </c>
      <c r="N96" s="29" t="inlineStr">
        <is>
          <t>Member drill-down</t>
        </is>
      </c>
      <c r="O96" s="29" t="inlineStr">
        <is>
          <t>Not explicitly defined in the product source; requires accountable product approval before production sign-off.</t>
        </is>
      </c>
      <c r="P96" s="29" t="inlineStr"/>
      <c r="Q96" s="29" t="inlineStr">
        <is>
          <t>No evidence</t>
        </is>
      </c>
      <c r="R96" s="29" t="inlineStr"/>
      <c r="S96" s="29" t="inlineStr">
        <is>
          <t>Not found</t>
        </is>
      </c>
      <c r="T96" s="29" t="inlineStr">
        <is>
          <t>Not found</t>
        </is>
      </c>
      <c r="U96" s="29" t="inlineStr">
        <is>
          <t>Not found</t>
        </is>
      </c>
      <c r="V96" s="29" t="inlineStr">
        <is>
          <t>Not found</t>
        </is>
      </c>
      <c r="W96" s="29" t="inlineStr">
        <is>
          <t>Not found</t>
        </is>
      </c>
      <c r="X96" s="29" t="inlineStr">
        <is>
          <t>Not found</t>
        </is>
      </c>
      <c r="Y96" s="29" t="inlineStr">
        <is>
          <t>Not found</t>
        </is>
      </c>
      <c r="Z96" s="29" t="inlineStr">
        <is>
          <t>Not found</t>
        </is>
      </c>
      <c r="AA96" s="29" t="inlineStr">
        <is>
          <t>Not found</t>
        </is>
      </c>
      <c r="AB96" s="29" t="inlineStr">
        <is>
          <t>Unknown</t>
        </is>
      </c>
      <c r="AC96" s="29" t="inlineStr"/>
      <c r="AD96" s="29" t="inlineStr">
        <is>
          <t>No runtime path identified.</t>
        </is>
      </c>
      <c r="AE96" s="29" t="inlineStr">
        <is>
          <t>Not wired</t>
        </is>
      </c>
      <c r="AF96" s="29" t="inlineStr">
        <is>
          <t>No runtime path identified.</t>
        </is>
      </c>
      <c r="AG96" s="29" t="inlineStr">
        <is>
          <t>Not started</t>
        </is>
      </c>
      <c r="AH96" s="29" t="inlineStr">
        <is>
          <t>No</t>
        </is>
      </c>
      <c r="AI96" s="29" t="inlineStr">
        <is>
          <t>Searched for 'drill', 'drill-down', 'member detail', 'member drill'. No member drill-down feature found.</t>
        </is>
      </c>
      <c r="AJ96" s="29" t="inlineStr">
        <is>
          <t>Not verified</t>
        </is>
      </c>
      <c r="AK96" s="29" t="inlineStr">
        <is>
          <t>EV-05-0017</t>
        </is>
      </c>
      <c r="AL96" s="29" t="inlineStr"/>
      <c r="AM96" s="29" t="inlineStr"/>
      <c r="AN96" s="29" t="inlineStr"/>
      <c r="AO96" s="29" t="inlineStr">
        <is>
          <t>8bc0dcb2a1da1b21368c5536aaeef829d587f316</t>
        </is>
      </c>
      <c r="AP96" s="29" t="inlineStr">
        <is>
          <t>High</t>
        </is>
      </c>
      <c r="AQ96" s="29" t="inlineStr">
        <is>
          <t>Not assessed</t>
        </is>
      </c>
      <c r="AR96" s="29" t="inlineStr">
        <is>
          <t>Not assessed</t>
        </is>
      </c>
      <c r="AS96" s="29" t="inlineStr">
        <is>
          <t>Fail</t>
        </is>
      </c>
      <c r="AT96" s="29" t="inlineStr">
        <is>
          <t>Not assessed</t>
        </is>
      </c>
      <c r="AU96" s="29" t="inlineStr">
        <is>
          <t>Not assessed</t>
        </is>
      </c>
      <c r="AV96" s="29" t="inlineStr">
        <is>
          <t>Not assessed</t>
        </is>
      </c>
      <c r="AW96" s="29" t="inlineStr">
        <is>
          <t>Not assessed</t>
        </is>
      </c>
      <c r="AX96" s="29" t="inlineStr">
        <is>
          <t>Not assessed</t>
        </is>
      </c>
      <c r="AY96" s="29" t="inlineStr">
        <is>
          <t>Not assessed</t>
        </is>
      </c>
      <c r="AZ96" s="29" t="inlineStr">
        <is>
          <t>Not assessed</t>
        </is>
      </c>
      <c r="BA96" s="29" t="inlineStr">
        <is>
          <t>Not assessed</t>
        </is>
      </c>
      <c r="BB96" s="29" t="inlineStr">
        <is>
          <t>Not assessed</t>
        </is>
      </c>
      <c r="BC96" s="29" t="inlineStr">
        <is>
          <t>Not assessed</t>
        </is>
      </c>
      <c r="BD96" s="29" t="inlineStr">
        <is>
          <t>Not assessed</t>
        </is>
      </c>
      <c r="BE96" s="29" t="inlineStr">
        <is>
          <t>Development required</t>
        </is>
      </c>
      <c r="BF96" s="29" t="inlineStr">
        <is>
          <t>No source implementation found; Physical implementation is not complete against the stated requirement.; Searched for 'drill', 'drill-down', 'member detail', 'member drill'. No member drill-down feature found.</t>
        </is>
      </c>
      <c r="BG96" s="29" t="inlineStr">
        <is>
          <t>Member drill-down screen and service</t>
        </is>
      </c>
      <c r="BH96" s="29" t="inlineStr"/>
      <c r="BI96" s="29" t="inlineStr"/>
      <c r="BJ96" s="29" t="inlineStr"/>
      <c r="BK96" s="29" t="inlineStr">
        <is>
          <t>Evidence reconciled against the reviewed source revision. No production approval is inferred from implementation or file presence.</t>
        </is>
      </c>
      <c r="BL96" s="29" t="inlineStr">
        <is>
          <t>2026-08-02</t>
        </is>
      </c>
    </row>
    <row r="97" ht="42" customHeight="1">
      <c r="A97" s="29" t="inlineStr">
        <is>
          <t>BLYP-05-016</t>
        </is>
      </c>
      <c r="B97" s="29" t="inlineStr"/>
      <c r="C97" s="29" t="inlineStr">
        <is>
          <t>Role-based Team Board</t>
        </is>
      </c>
      <c r="D97" s="29" t="n">
        <v>5</v>
      </c>
      <c r="E97" s="29" t="n">
        <v>16</v>
      </c>
      <c r="F97" s="29" t="inlineStr">
        <is>
          <t>Feature</t>
        </is>
      </c>
      <c r="G97" s="29" t="inlineStr">
        <is>
          <t>Team goals and challenges</t>
        </is>
      </c>
      <c r="H97" s="29" t="inlineStr">
        <is>
          <t>Team goals and challenges</t>
        </is>
      </c>
      <c r="I97" s="29" t="inlineStr">
        <is>
          <t>/home/ubuntu/blyp_product_requirements.md :: Section 5 — Role-based Team Board</t>
        </is>
      </c>
      <c r="J97" s="29" t="inlineStr">
        <is>
          <t>/home/ubuntu/BLYP_COMPLETE_FEATURE_LIST.md:131</t>
        </is>
      </c>
      <c r="K97" s="29" t="inlineStr">
        <is>
          <t>Required</t>
        </is>
      </c>
      <c r="L97" s="29" t="inlineStr">
        <is>
          <t>Applicable BLYP member</t>
        </is>
      </c>
      <c r="M97" s="29" t="inlineStr">
        <is>
          <t>BLYP mobile application and supporting production services</t>
        </is>
      </c>
      <c r="N97" s="29" t="inlineStr">
        <is>
          <t>Team goals and challenges</t>
        </is>
      </c>
      <c r="O97" s="29" t="inlineStr">
        <is>
          <t>Not explicitly defined in the product source; requires accountable product approval before production sign-off.</t>
        </is>
      </c>
      <c r="P97" s="29" t="inlineStr"/>
      <c r="Q97" s="29" t="inlineStr">
        <is>
          <t>No evidence</t>
        </is>
      </c>
      <c r="R97" s="29" t="inlineStr"/>
      <c r="S97" s="29" t="inlineStr">
        <is>
          <t>Not found</t>
        </is>
      </c>
      <c r="T97" s="29" t="inlineStr">
        <is>
          <t>Not found</t>
        </is>
      </c>
      <c r="U97" s="29" t="inlineStr">
        <is>
          <t>Not found</t>
        </is>
      </c>
      <c r="V97" s="29" t="inlineStr">
        <is>
          <t>Not found</t>
        </is>
      </c>
      <c r="W97" s="29" t="inlineStr">
        <is>
          <t>Not found</t>
        </is>
      </c>
      <c r="X97" s="29" t="inlineStr">
        <is>
          <t>Not found</t>
        </is>
      </c>
      <c r="Y97" s="29" t="inlineStr">
        <is>
          <t>Not found</t>
        </is>
      </c>
      <c r="Z97" s="29" t="inlineStr">
        <is>
          <t>Not found</t>
        </is>
      </c>
      <c r="AA97" s="29" t="inlineStr">
        <is>
          <t>Not found</t>
        </is>
      </c>
      <c r="AB97" s="29" t="inlineStr">
        <is>
          <t>Unknown</t>
        </is>
      </c>
      <c r="AC97" s="29" t="inlineStr"/>
      <c r="AD97" s="29" t="inlineStr">
        <is>
          <t>No runtime path identified.</t>
        </is>
      </c>
      <c r="AE97" s="29" t="inlineStr">
        <is>
          <t>Not wired</t>
        </is>
      </c>
      <c r="AF97" s="29" t="inlineStr">
        <is>
          <t>No runtime path identified.</t>
        </is>
      </c>
      <c r="AG97" s="29" t="inlineStr">
        <is>
          <t>Not started</t>
        </is>
      </c>
      <c r="AH97" s="29" t="inlineStr">
        <is>
          <t>No</t>
        </is>
      </c>
      <c r="AI97" s="29" t="inlineStr">
        <is>
          <t>Searched for 'team goals', 'team challenges', 'goal team', 'challenge team'. No team goals or challenges feature found.</t>
        </is>
      </c>
      <c r="AJ97" s="29" t="inlineStr">
        <is>
          <t>Not verified</t>
        </is>
      </c>
      <c r="AK97" s="29" t="inlineStr">
        <is>
          <t>EV-05-0017</t>
        </is>
      </c>
      <c r="AL97" s="29" t="inlineStr"/>
      <c r="AM97" s="29" t="inlineStr"/>
      <c r="AN97" s="29" t="inlineStr"/>
      <c r="AO97" s="29" t="inlineStr">
        <is>
          <t>8bc0dcb2a1da1b21368c5536aaeef829d587f316</t>
        </is>
      </c>
      <c r="AP97" s="29" t="inlineStr">
        <is>
          <t>High</t>
        </is>
      </c>
      <c r="AQ97" s="29" t="inlineStr">
        <is>
          <t>Not assessed</t>
        </is>
      </c>
      <c r="AR97" s="29" t="inlineStr">
        <is>
          <t>Not assessed</t>
        </is>
      </c>
      <c r="AS97" s="29" t="inlineStr">
        <is>
          <t>Fail</t>
        </is>
      </c>
      <c r="AT97" s="29" t="inlineStr">
        <is>
          <t>Not assessed</t>
        </is>
      </c>
      <c r="AU97" s="29" t="inlineStr">
        <is>
          <t>Not assessed</t>
        </is>
      </c>
      <c r="AV97" s="29" t="inlineStr">
        <is>
          <t>Not assessed</t>
        </is>
      </c>
      <c r="AW97" s="29" t="inlineStr">
        <is>
          <t>Not assessed</t>
        </is>
      </c>
      <c r="AX97" s="29" t="inlineStr">
        <is>
          <t>Not assessed</t>
        </is>
      </c>
      <c r="AY97" s="29" t="inlineStr">
        <is>
          <t>Not assessed</t>
        </is>
      </c>
      <c r="AZ97" s="29" t="inlineStr">
        <is>
          <t>Not assessed</t>
        </is>
      </c>
      <c r="BA97" s="29" t="inlineStr">
        <is>
          <t>Not assessed</t>
        </is>
      </c>
      <c r="BB97" s="29" t="inlineStr">
        <is>
          <t>Not assessed</t>
        </is>
      </c>
      <c r="BC97" s="29" t="inlineStr">
        <is>
          <t>Not assessed</t>
        </is>
      </c>
      <c r="BD97" s="29" t="inlineStr">
        <is>
          <t>Not assessed</t>
        </is>
      </c>
      <c r="BE97" s="29" t="inlineStr">
        <is>
          <t>Development required</t>
        </is>
      </c>
      <c r="BF97" s="29" t="inlineStr">
        <is>
          <t>No source implementation found; Physical implementation is not complete against the stated requirement.; Searched for 'team goals', 'team challenges', 'goal team', 'challenge team'. No team goals or challenges feature found.</t>
        </is>
      </c>
      <c r="BG97" s="29" t="inlineStr">
        <is>
          <t>Team goals and challenges service, data store, and UI</t>
        </is>
      </c>
      <c r="BH97" s="29" t="inlineStr"/>
      <c r="BI97" s="29" t="inlineStr"/>
      <c r="BJ97" s="29" t="inlineStr"/>
      <c r="BK97" s="29" t="inlineStr">
        <is>
          <t>Evidence reconciled against the reviewed source revision. No production approval is inferred from implementation or file presence.</t>
        </is>
      </c>
      <c r="BL97" s="29" t="inlineStr">
        <is>
          <t>2026-08-02</t>
        </is>
      </c>
    </row>
    <row r="98" ht="42" customHeight="1">
      <c r="A98" s="29" t="inlineStr">
        <is>
          <t>BLYP-05-017</t>
        </is>
      </c>
      <c r="B98" s="29" t="inlineStr"/>
      <c r="C98" s="29" t="inlineStr">
        <is>
          <t>Role-based Team Board</t>
        </is>
      </c>
      <c r="D98" s="29" t="n">
        <v>5</v>
      </c>
      <c r="E98" s="29" t="n">
        <v>17</v>
      </c>
      <c r="F98" s="29" t="inlineStr">
        <is>
          <t>Feature</t>
        </is>
      </c>
      <c r="G98" s="29" t="inlineStr">
        <is>
          <t>Team rewards</t>
        </is>
      </c>
      <c r="H98" s="29" t="inlineStr">
        <is>
          <t>Team rewards</t>
        </is>
      </c>
      <c r="I98" s="29" t="inlineStr">
        <is>
          <t>/home/ubuntu/blyp_product_requirements.md :: Section 5 — Role-based Team Board</t>
        </is>
      </c>
      <c r="J98" s="29" t="inlineStr">
        <is>
          <t>/home/ubuntu/BLYP_COMPLETE_FEATURE_LIST.md:132</t>
        </is>
      </c>
      <c r="K98" s="29" t="inlineStr">
        <is>
          <t>Required</t>
        </is>
      </c>
      <c r="L98" s="29" t="inlineStr">
        <is>
          <t>Applicable BLYP member</t>
        </is>
      </c>
      <c r="M98" s="29" t="inlineStr">
        <is>
          <t>BLYP mobile application and supporting production services</t>
        </is>
      </c>
      <c r="N98" s="29" t="inlineStr">
        <is>
          <t>Team rewards</t>
        </is>
      </c>
      <c r="O98" s="29" t="inlineStr">
        <is>
          <t>Not explicitly defined in the product source; requires accountable product approval before production sign-off.</t>
        </is>
      </c>
      <c r="P98" s="29" t="inlineStr"/>
      <c r="Q98" s="29" t="inlineStr">
        <is>
          <t>No evidence</t>
        </is>
      </c>
      <c r="R98" s="29" t="inlineStr"/>
      <c r="S98" s="29" t="inlineStr">
        <is>
          <t>Not found</t>
        </is>
      </c>
      <c r="T98" s="29" t="inlineStr">
        <is>
          <t>Not found</t>
        </is>
      </c>
      <c r="U98" s="29" t="inlineStr">
        <is>
          <t>Not found</t>
        </is>
      </c>
      <c r="V98" s="29" t="inlineStr">
        <is>
          <t>Not found</t>
        </is>
      </c>
      <c r="W98" s="29" t="inlineStr">
        <is>
          <t>Not found</t>
        </is>
      </c>
      <c r="X98" s="29" t="inlineStr">
        <is>
          <t>Not found</t>
        </is>
      </c>
      <c r="Y98" s="29" t="inlineStr">
        <is>
          <t>Not found</t>
        </is>
      </c>
      <c r="Z98" s="29" t="inlineStr">
        <is>
          <t>Not found</t>
        </is>
      </c>
      <c r="AA98" s="29" t="inlineStr">
        <is>
          <t>Not found</t>
        </is>
      </c>
      <c r="AB98" s="29" t="inlineStr">
        <is>
          <t>Unknown</t>
        </is>
      </c>
      <c r="AC98" s="29" t="inlineStr"/>
      <c r="AD98" s="29" t="inlineStr">
        <is>
          <t>No runtime path identified.</t>
        </is>
      </c>
      <c r="AE98" s="29" t="inlineStr">
        <is>
          <t>Not wired</t>
        </is>
      </c>
      <c r="AF98" s="29" t="inlineStr">
        <is>
          <t>No runtime path identified.</t>
        </is>
      </c>
      <c r="AG98" s="29" t="inlineStr">
        <is>
          <t>Not started</t>
        </is>
      </c>
      <c r="AH98" s="29" t="inlineStr">
        <is>
          <t>No</t>
        </is>
      </c>
      <c r="AI98" s="29" t="inlineStr">
        <is>
          <t>Searched for 'team rewards', 'rewards team'. Individual daily reward system (DailyRewards.js) exists but is not team-scoped. No team reward distribution or team goal completion rewards.</t>
        </is>
      </c>
      <c r="AJ98" s="29" t="inlineStr">
        <is>
          <t>Not verified</t>
        </is>
      </c>
      <c r="AK98" s="29" t="inlineStr">
        <is>
          <t>EV-05-0019; EV-05-0017</t>
        </is>
      </c>
      <c r="AL98" s="29" t="inlineStr"/>
      <c r="AM98" s="29" t="inlineStr"/>
      <c r="AN98" s="29" t="inlineStr"/>
      <c r="AO98" s="29" t="inlineStr">
        <is>
          <t>8bc0dcb2a1da1b21368c5536aaeef829d587f316</t>
        </is>
      </c>
      <c r="AP98" s="29" t="inlineStr">
        <is>
          <t>High</t>
        </is>
      </c>
      <c r="AQ98" s="29" t="inlineStr">
        <is>
          <t>Not assessed</t>
        </is>
      </c>
      <c r="AR98" s="29" t="inlineStr">
        <is>
          <t>Not assessed</t>
        </is>
      </c>
      <c r="AS98" s="29" t="inlineStr">
        <is>
          <t>Fail</t>
        </is>
      </c>
      <c r="AT98" s="29" t="inlineStr">
        <is>
          <t>Not assessed</t>
        </is>
      </c>
      <c r="AU98" s="29" t="inlineStr">
        <is>
          <t>Not assessed</t>
        </is>
      </c>
      <c r="AV98" s="29" t="inlineStr">
        <is>
          <t>Not assessed</t>
        </is>
      </c>
      <c r="AW98" s="29" t="inlineStr">
        <is>
          <t>Not assessed</t>
        </is>
      </c>
      <c r="AX98" s="29" t="inlineStr">
        <is>
          <t>Not assessed</t>
        </is>
      </c>
      <c r="AY98" s="29" t="inlineStr">
        <is>
          <t>Not assessed</t>
        </is>
      </c>
      <c r="AZ98" s="29" t="inlineStr">
        <is>
          <t>Not assessed</t>
        </is>
      </c>
      <c r="BA98" s="29" t="inlineStr">
        <is>
          <t>Not assessed</t>
        </is>
      </c>
      <c r="BB98" s="29" t="inlineStr">
        <is>
          <t>Not assessed</t>
        </is>
      </c>
      <c r="BC98" s="29" t="inlineStr">
        <is>
          <t>Not assessed</t>
        </is>
      </c>
      <c r="BD98" s="29" t="inlineStr">
        <is>
          <t>Not assessed</t>
        </is>
      </c>
      <c r="BE98" s="29" t="inlineStr">
        <is>
          <t>Development required</t>
        </is>
      </c>
      <c r="BF98" s="29" t="inlineStr">
        <is>
          <t>No team-scoped reward implementation found; Physical implementation is not complete against the stated requirement.; Searched for 'team rewards', 'rewards team'. Individual daily reward system (DailyRewards.js) exists but is not team-scoped. No team reward distribution or team goal completion rewards.</t>
        </is>
      </c>
      <c r="BG98" s="29" t="inlineStr">
        <is>
          <t>Team reward distribution service and UI</t>
        </is>
      </c>
      <c r="BH98" s="29" t="inlineStr"/>
      <c r="BI98" s="29" t="inlineStr"/>
      <c r="BJ98" s="29" t="inlineStr"/>
      <c r="BK98" s="29" t="inlineStr">
        <is>
          <t>Evidence reconciled against the reviewed source revision. No production approval is inferred from implementation or file presence.</t>
        </is>
      </c>
      <c r="BL98" s="29" t="inlineStr">
        <is>
          <t>2026-08-02</t>
        </is>
      </c>
    </row>
    <row r="99" ht="42" customHeight="1">
      <c r="A99" s="29" t="inlineStr">
        <is>
          <t>BLYP-05-018</t>
        </is>
      </c>
      <c r="B99" s="29" t="inlineStr"/>
      <c r="C99" s="29" t="inlineStr">
        <is>
          <t>Role-based Team Board</t>
        </is>
      </c>
      <c r="D99" s="29" t="n">
        <v>5</v>
      </c>
      <c r="E99" s="29" t="n">
        <v>18</v>
      </c>
      <c r="F99" s="29" t="inlineStr">
        <is>
          <t>Feature</t>
        </is>
      </c>
      <c r="G99" s="29" t="inlineStr">
        <is>
          <t>Applications management</t>
        </is>
      </c>
      <c r="H99" s="29" t="inlineStr">
        <is>
          <t>Applications management</t>
        </is>
      </c>
      <c r="I99" s="29" t="inlineStr">
        <is>
          <t>/home/ubuntu/blyp_product_requirements.md :: Section 5 — Role-based Team Board</t>
        </is>
      </c>
      <c r="J99" s="29" t="inlineStr">
        <is>
          <t>/home/ubuntu/BLYP_COMPLETE_FEATURE_LIST.md:133</t>
        </is>
      </c>
      <c r="K99" s="29" t="inlineStr">
        <is>
          <t>Required</t>
        </is>
      </c>
      <c r="L99" s="29" t="inlineStr">
        <is>
          <t>Applicable BLYP member</t>
        </is>
      </c>
      <c r="M99" s="29" t="inlineStr">
        <is>
          <t>BLYP mobile application and supporting production services</t>
        </is>
      </c>
      <c r="N99" s="29" t="inlineStr">
        <is>
          <t>Applications management</t>
        </is>
      </c>
      <c r="O99" s="29" t="inlineStr">
        <is>
          <t>Not explicitly defined in the product source; requires accountable product approval before production sign-off.</t>
        </is>
      </c>
      <c r="P99" s="29" t="inlineStr"/>
      <c r="Q99" s="29" t="inlineStr">
        <is>
          <t>Scaffold only</t>
        </is>
      </c>
      <c r="R99" s="29" t="inlineStr"/>
      <c r="S99" s="29" t="inlineStr">
        <is>
          <t>Not found</t>
        </is>
      </c>
      <c r="T99" s="29" t="inlineStr">
        <is>
          <t>Not found</t>
        </is>
      </c>
      <c r="U99" s="29" t="inlineStr">
        <is>
          <t>Not found</t>
        </is>
      </c>
      <c r="V99" s="29" t="inlineStr">
        <is>
          <t>Not found</t>
        </is>
      </c>
      <c r="W99" s="29" t="inlineStr">
        <is>
          <t>Not found</t>
        </is>
      </c>
      <c r="X99" s="29" t="inlineStr">
        <is>
          <t>Not found</t>
        </is>
      </c>
      <c r="Y99" s="29" t="inlineStr">
        <is>
          <t>Not found</t>
        </is>
      </c>
      <c r="Z99" s="29" t="inlineStr">
        <is>
          <t>Not found</t>
        </is>
      </c>
      <c r="AA99" s="29" t="inlineStr">
        <is>
          <t>Not found</t>
        </is>
      </c>
      <c r="AB99" s="29" t="inlineStr">
        <is>
          <t>Unknown</t>
        </is>
      </c>
      <c r="AC99" s="29" t="inlineStr"/>
      <c r="AD99" s="29" t="inlineStr">
        <is>
          <t>No runtime path identified.</t>
        </is>
      </c>
      <c r="AE99" s="29" t="inlineStr">
        <is>
          <t>Not wired</t>
        </is>
      </c>
      <c r="AF99" s="29" t="inlineStr">
        <is>
          <t>No runtime path identified.</t>
        </is>
      </c>
      <c r="AG99" s="29" t="inlineStr">
        <is>
          <t>Not started</t>
        </is>
      </c>
      <c r="AH99" s="29" t="inlineStr">
        <is>
          <t>No</t>
        </is>
      </c>
      <c r="AI99" s="29" t="inlineStr">
        <is>
          <t>Searched for 'applications management', 'team application', 'join team'. No team application management feature found.</t>
        </is>
      </c>
      <c r="AJ99" s="29" t="inlineStr">
        <is>
          <t>Not verified</t>
        </is>
      </c>
      <c r="AK99" s="29" t="inlineStr">
        <is>
          <t>EV-05-0017</t>
        </is>
      </c>
      <c r="AL99" s="29" t="inlineStr"/>
      <c r="AM99" s="29" t="inlineStr"/>
      <c r="AN99" s="29" t="inlineStr"/>
      <c r="AO99" s="29" t="inlineStr">
        <is>
          <t>8bc0dcb2a1da1b21368c5536aaeef829d587f316</t>
        </is>
      </c>
      <c r="AP99" s="29" t="inlineStr">
        <is>
          <t>High</t>
        </is>
      </c>
      <c r="AQ99" s="29" t="inlineStr">
        <is>
          <t>Not assessed</t>
        </is>
      </c>
      <c r="AR99" s="29" t="inlineStr">
        <is>
          <t>Not assessed</t>
        </is>
      </c>
      <c r="AS99" s="29" t="inlineStr">
        <is>
          <t>Fail</t>
        </is>
      </c>
      <c r="AT99" s="29" t="inlineStr">
        <is>
          <t>Not assessed</t>
        </is>
      </c>
      <c r="AU99" s="29" t="inlineStr">
        <is>
          <t>Not assessed</t>
        </is>
      </c>
      <c r="AV99" s="29" t="inlineStr">
        <is>
          <t>Not assessed</t>
        </is>
      </c>
      <c r="AW99" s="29" t="inlineStr">
        <is>
          <t>Not assessed</t>
        </is>
      </c>
      <c r="AX99" s="29" t="inlineStr">
        <is>
          <t>Not assessed</t>
        </is>
      </c>
      <c r="AY99" s="29" t="inlineStr">
        <is>
          <t>Not assessed</t>
        </is>
      </c>
      <c r="AZ99" s="29" t="inlineStr">
        <is>
          <t>Not assessed</t>
        </is>
      </c>
      <c r="BA99" s="29" t="inlineStr">
        <is>
          <t>Not assessed</t>
        </is>
      </c>
      <c r="BB99" s="29" t="inlineStr">
        <is>
          <t>Not assessed</t>
        </is>
      </c>
      <c r="BC99" s="29" t="inlineStr">
        <is>
          <t>Not assessed</t>
        </is>
      </c>
      <c r="BD99" s="29" t="inlineStr">
        <is>
          <t>Not assessed</t>
        </is>
      </c>
      <c r="BE99" s="29" t="inlineStr">
        <is>
          <t>Development required</t>
        </is>
      </c>
      <c r="BF99" s="29" t="inlineStr">
        <is>
          <t>No source implementation found; Physical implementation is not complete against the stated requirement.; Searched for 'applications management', 'team application', 'join team'. No team application management feature found.</t>
        </is>
      </c>
      <c r="BG99" s="29" t="inlineStr">
        <is>
          <t>Team application management service, data store, and UI</t>
        </is>
      </c>
      <c r="BH99" s="29" t="inlineStr"/>
      <c r="BI99" s="29" t="inlineStr"/>
      <c r="BJ99" s="29" t="inlineStr"/>
      <c r="BK99" s="29" t="inlineStr">
        <is>
          <t>Evidence reconciled against the reviewed source revision. No production approval is inferred from implementation or file presence.</t>
        </is>
      </c>
      <c r="BL99" s="29" t="inlineStr">
        <is>
          <t>2026-08-02</t>
        </is>
      </c>
    </row>
    <row r="100" ht="42" customHeight="1">
      <c r="A100" s="29" t="inlineStr">
        <is>
          <t>BLYP-05-019</t>
        </is>
      </c>
      <c r="B100" s="29" t="inlineStr"/>
      <c r="C100" s="29" t="inlineStr">
        <is>
          <t>Role-based Team Board</t>
        </is>
      </c>
      <c r="D100" s="29" t="n">
        <v>5</v>
      </c>
      <c r="E100" s="29" t="n">
        <v>19</v>
      </c>
      <c r="F100" s="29" t="inlineStr">
        <is>
          <t>Feature</t>
        </is>
      </c>
      <c r="G100" s="29" t="inlineStr">
        <is>
          <t>Invitations management</t>
        </is>
      </c>
      <c r="H100" s="29" t="inlineStr">
        <is>
          <t>Invitations management</t>
        </is>
      </c>
      <c r="I100" s="29" t="inlineStr">
        <is>
          <t>/home/ubuntu/blyp_product_requirements.md :: Section 5 — Role-based Team Board</t>
        </is>
      </c>
      <c r="J100" s="29" t="inlineStr">
        <is>
          <t>/home/ubuntu/BLYP_COMPLETE_FEATURE_LIST.md:134</t>
        </is>
      </c>
      <c r="K100" s="29" t="inlineStr">
        <is>
          <t>Required</t>
        </is>
      </c>
      <c r="L100" s="29" t="inlineStr">
        <is>
          <t>Applicable BLYP member</t>
        </is>
      </c>
      <c r="M100" s="29" t="inlineStr">
        <is>
          <t>BLYP mobile application and supporting production services</t>
        </is>
      </c>
      <c r="N100" s="29" t="inlineStr">
        <is>
          <t>Invitations management</t>
        </is>
      </c>
      <c r="O100" s="29" t="inlineStr">
        <is>
          <t>Not explicitly defined in the product source; requires accountable product approval before production sign-off.</t>
        </is>
      </c>
      <c r="P100" s="29" t="inlineStr"/>
      <c r="Q100" s="29" t="inlineStr">
        <is>
          <t>Scaffold only</t>
        </is>
      </c>
      <c r="R100" s="29" t="inlineStr"/>
      <c r="S100" s="29" t="inlineStr">
        <is>
          <t>Not found</t>
        </is>
      </c>
      <c r="T100" s="29" t="inlineStr">
        <is>
          <t>Not found</t>
        </is>
      </c>
      <c r="U100" s="29" t="inlineStr">
        <is>
          <t>Not found</t>
        </is>
      </c>
      <c r="V100" s="29" t="inlineStr">
        <is>
          <t>Not found</t>
        </is>
      </c>
      <c r="W100" s="29" t="inlineStr">
        <is>
          <t>Not found</t>
        </is>
      </c>
      <c r="X100" s="29" t="inlineStr">
        <is>
          <t>Not found</t>
        </is>
      </c>
      <c r="Y100" s="29" t="inlineStr">
        <is>
          <t>Not found</t>
        </is>
      </c>
      <c r="Z100" s="29" t="inlineStr">
        <is>
          <t>Not found</t>
        </is>
      </c>
      <c r="AA100" s="29" t="inlineStr">
        <is>
          <t>Not found</t>
        </is>
      </c>
      <c r="AB100" s="29" t="inlineStr">
        <is>
          <t>Unknown</t>
        </is>
      </c>
      <c r="AC100" s="29" t="inlineStr"/>
      <c r="AD100" s="29" t="inlineStr">
        <is>
          <t>No runtime path identified.</t>
        </is>
      </c>
      <c r="AE100" s="29" t="inlineStr">
        <is>
          <t>Not wired</t>
        </is>
      </c>
      <c r="AF100" s="29" t="inlineStr">
        <is>
          <t>No runtime path identified.</t>
        </is>
      </c>
      <c r="AG100" s="29" t="inlineStr">
        <is>
          <t>Not started</t>
        </is>
      </c>
      <c r="AH100" s="29" t="inlineStr">
        <is>
          <t>No</t>
        </is>
      </c>
      <c r="AI100" s="29" t="inlineStr">
        <is>
          <t>Searched for 'invitations management', 'team invitation', 'team invite'. Only game invitation alert found (GameRoomScreen.js). No team invitation management feature.</t>
        </is>
      </c>
      <c r="AJ100" s="29" t="inlineStr">
        <is>
          <t>Not verified</t>
        </is>
      </c>
      <c r="AK100" s="29" t="inlineStr">
        <is>
          <t>EV-05-0017</t>
        </is>
      </c>
      <c r="AL100" s="29" t="inlineStr"/>
      <c r="AM100" s="29" t="inlineStr"/>
      <c r="AN100" s="29" t="inlineStr"/>
      <c r="AO100" s="29" t="inlineStr">
        <is>
          <t>8bc0dcb2a1da1b21368c5536aaeef829d587f316</t>
        </is>
      </c>
      <c r="AP100" s="29" t="inlineStr">
        <is>
          <t>High</t>
        </is>
      </c>
      <c r="AQ100" s="29" t="inlineStr">
        <is>
          <t>Not assessed</t>
        </is>
      </c>
      <c r="AR100" s="29" t="inlineStr">
        <is>
          <t>Not assessed</t>
        </is>
      </c>
      <c r="AS100" s="29" t="inlineStr">
        <is>
          <t>Fail</t>
        </is>
      </c>
      <c r="AT100" s="29" t="inlineStr">
        <is>
          <t>Not assessed</t>
        </is>
      </c>
      <c r="AU100" s="29" t="inlineStr">
        <is>
          <t>Not assessed</t>
        </is>
      </c>
      <c r="AV100" s="29" t="inlineStr">
        <is>
          <t>Not assessed</t>
        </is>
      </c>
      <c r="AW100" s="29" t="inlineStr">
        <is>
          <t>Not assessed</t>
        </is>
      </c>
      <c r="AX100" s="29" t="inlineStr">
        <is>
          <t>Not assessed</t>
        </is>
      </c>
      <c r="AY100" s="29" t="inlineStr">
        <is>
          <t>Not assessed</t>
        </is>
      </c>
      <c r="AZ100" s="29" t="inlineStr">
        <is>
          <t>Not assessed</t>
        </is>
      </c>
      <c r="BA100" s="29" t="inlineStr">
        <is>
          <t>Not assessed</t>
        </is>
      </c>
      <c r="BB100" s="29" t="inlineStr">
        <is>
          <t>Not assessed</t>
        </is>
      </c>
      <c r="BC100" s="29" t="inlineStr">
        <is>
          <t>Not assessed</t>
        </is>
      </c>
      <c r="BD100" s="29" t="inlineStr">
        <is>
          <t>Not assessed</t>
        </is>
      </c>
      <c r="BE100" s="29" t="inlineStr">
        <is>
          <t>Development required</t>
        </is>
      </c>
      <c r="BF100" s="29" t="inlineStr">
        <is>
          <t>No source implementation found; Physical implementation is not complete against the stated requirement.; Searched for 'invitations management', 'team invitation', 'team invite'. Only game invitation alert found (GameRoomScreen.js). No team invitation management feature.</t>
        </is>
      </c>
      <c r="BG100" s="29" t="inlineStr">
        <is>
          <t>Team invitation management service, data store, and UI</t>
        </is>
      </c>
      <c r="BH100" s="29" t="inlineStr"/>
      <c r="BI100" s="29" t="inlineStr"/>
      <c r="BJ100" s="29" t="inlineStr"/>
      <c r="BK100" s="29" t="inlineStr">
        <is>
          <t>Evidence reconciled against the reviewed source revision. No production approval is inferred from implementation or file presence.</t>
        </is>
      </c>
      <c r="BL100" s="29" t="inlineStr">
        <is>
          <t>2026-08-02</t>
        </is>
      </c>
    </row>
    <row r="101" ht="42" customHeight="1">
      <c r="A101" s="29" t="inlineStr">
        <is>
          <t>BLYP-05-020</t>
        </is>
      </c>
      <c r="B101" s="29" t="inlineStr"/>
      <c r="C101" s="29" t="inlineStr">
        <is>
          <t>Role-based Team Board</t>
        </is>
      </c>
      <c r="D101" s="29" t="n">
        <v>5</v>
      </c>
      <c r="E101" s="29" t="n">
        <v>20</v>
      </c>
      <c r="F101" s="29" t="inlineStr">
        <is>
          <t>Rule</t>
        </is>
      </c>
      <c r="G101" s="29" t="inlineStr">
        <is>
          <t>Team roles and permissions</t>
        </is>
      </c>
      <c r="H101" s="29" t="inlineStr">
        <is>
          <t>Team roles and permissions</t>
        </is>
      </c>
      <c r="I101" s="29" t="inlineStr">
        <is>
          <t>/home/ubuntu/blyp_product_requirements.md :: Section 5 — Role-based Team Board</t>
        </is>
      </c>
      <c r="J101" s="29" t="inlineStr">
        <is>
          <t>/home/ubuntu/BLYP_COMPLETE_FEATURE_LIST.md:135</t>
        </is>
      </c>
      <c r="K101" s="29" t="inlineStr">
        <is>
          <t>Required</t>
        </is>
      </c>
      <c r="L101" s="29" t="inlineStr">
        <is>
          <t>Applicable BLYP member</t>
        </is>
      </c>
      <c r="M101" s="29" t="inlineStr">
        <is>
          <t>BLYP mobile application and supporting production services</t>
        </is>
      </c>
      <c r="N101" s="29" t="inlineStr">
        <is>
          <t>Team roles and permissions</t>
        </is>
      </c>
      <c r="O101" s="29" t="inlineStr">
        <is>
          <t>Not explicitly defined in the product source; requires accountable product approval before production sign-off.</t>
        </is>
      </c>
      <c r="P101" s="29" t="inlineStr">
        <is>
          <t>user_admin_state table (role column: user/admin/manager); adminSchemas.ts: role enum ['user', 'admin', 'manager']</t>
        </is>
      </c>
      <c r="Q101" s="29" t="inlineStr">
        <is>
          <t>Partial</t>
        </is>
      </c>
      <c r="R101" s="29" t="inlineStr"/>
      <c r="S101" s="29" t="inlineStr">
        <is>
          <t>Partial</t>
        </is>
      </c>
      <c r="T101" s="29" t="inlineStr">
        <is>
          <t>Not found in team context</t>
        </is>
      </c>
      <c r="U101" s="29" t="inlineStr">
        <is>
          <t>src/screens/ModerationQueueScreen.js (admin role check, incomplete gating noted)</t>
        </is>
      </c>
      <c r="V101" s="29" t="inlineStr">
        <is>
          <t>src/hooks/useIsAdmin.js (admin role check from Firestore)</t>
        </is>
      </c>
      <c r="W101" s="29" t="inlineStr">
        <is>
          <t>POST /admin/users/:userId/capabilities (role assignment, admin-only)</t>
        </is>
      </c>
      <c r="X101" s="29" t="inlineStr">
        <is>
          <t>user_admin_state table (role column: user/admin/manager)</t>
        </is>
      </c>
      <c r="Y101" s="29" t="inlineStr">
        <is>
          <t>Not found</t>
        </is>
      </c>
      <c r="Z101" s="29" t="inlineStr">
        <is>
          <t>Not found</t>
        </is>
      </c>
      <c r="AA101" s="29" t="inlineStr">
        <is>
          <t>adminSchemas.ts: role enum ['user', 'admin', 'manager']</t>
        </is>
      </c>
      <c r="AB101" s="29" t="inlineStr">
        <is>
          <t>Unknown</t>
        </is>
      </c>
      <c r="AC101" s="29" t="inlineStr"/>
      <c r="AD101" s="29" t="inlineStr">
        <is>
          <t>Role assignment exists in backend (user/admin/manager). Client reads admin role from Firestore. ModerationQueueScreen has incomplete gating. No team-scoped role system.</t>
        </is>
      </c>
      <c r="AE101" s="29" t="inlineStr">
        <is>
          <t>Not wired</t>
        </is>
      </c>
      <c r="AF101" s="29" t="inlineStr">
        <is>
          <t>Not found in team context; Role assignment exists in backend (user/admin/manager). Client reads admin role from Firestore. ModerationQueueScreen has incomplete gating. No team-scoped role system.</t>
        </is>
      </c>
      <c r="AG101" s="29" t="inlineStr">
        <is>
          <t>Incomplete</t>
        </is>
      </c>
      <c r="AH101" s="29" t="inlineStr">
        <is>
          <t>No</t>
        </is>
      </c>
      <c r="AI101" s="29" t="inlineStr">
        <is>
          <t>Role system exists for platform admin/manager/user but not for team-scoped roles (e.g., team owner, team member, team viewer). Firestore rules allow all authenticated users to read/write any document. ModerationQueueScreen comment explicitly states admin gating not implemented.</t>
        </is>
      </c>
      <c r="AJ101" s="29" t="inlineStr">
        <is>
          <t>Not verified</t>
        </is>
      </c>
      <c r="AK101" s="29" t="inlineStr">
        <is>
          <t>EV-05-0002; EV-05-0003; EV-05-0004; EV-05-0005; EV-05-0006; EV-05-0018</t>
        </is>
      </c>
      <c r="AL101" s="29" t="inlineStr"/>
      <c r="AM101" s="29" t="inlineStr"/>
      <c r="AN101" s="29" t="inlineStr"/>
      <c r="AO101" s="29" t="inlineStr">
        <is>
          <t>8bc0dcb2a1da1b21368c5536aaeef829d587f316</t>
        </is>
      </c>
      <c r="AP101" s="29" t="inlineStr">
        <is>
          <t>High</t>
        </is>
      </c>
      <c r="AQ101" s="29" t="inlineStr">
        <is>
          <t>Not assessed</t>
        </is>
      </c>
      <c r="AR101" s="29" t="inlineStr">
        <is>
          <t>Not assessed</t>
        </is>
      </c>
      <c r="AS101" s="29" t="inlineStr">
        <is>
          <t>Fail</t>
        </is>
      </c>
      <c r="AT101" s="29" t="inlineStr">
        <is>
          <t>Not assessed</t>
        </is>
      </c>
      <c r="AU101" s="29" t="inlineStr">
        <is>
          <t>Not assessed</t>
        </is>
      </c>
      <c r="AV101" s="29" t="inlineStr">
        <is>
          <t>Not assessed</t>
        </is>
      </c>
      <c r="AW101" s="29" t="inlineStr">
        <is>
          <t>Not assessed</t>
        </is>
      </c>
      <c r="AX101" s="29" t="inlineStr">
        <is>
          <t>Not assessed</t>
        </is>
      </c>
      <c r="AY101" s="29" t="inlineStr">
        <is>
          <t>Not assessed</t>
        </is>
      </c>
      <c r="AZ101" s="29" t="inlineStr">
        <is>
          <t>Not assessed</t>
        </is>
      </c>
      <c r="BA101" s="29" t="inlineStr">
        <is>
          <t>Not assessed</t>
        </is>
      </c>
      <c r="BB101" s="29" t="inlineStr">
        <is>
          <t>Not assessed</t>
        </is>
      </c>
      <c r="BC101" s="29" t="inlineStr">
        <is>
          <t>Not assessed</t>
        </is>
      </c>
      <c r="BD101" s="29" t="inlineStr">
        <is>
          <t>Not assessed</t>
        </is>
      </c>
      <c r="BE101" s="29" t="inlineStr">
        <is>
          <t>Development required</t>
        </is>
      </c>
      <c r="BF101" s="29" t="inlineStr">
        <is>
          <t>No team-scoped role/permission system; admin gating incomplete per source comment; Physical implementation is not complete against the stated requirement.; Role system exists for platform admin/manager/user but not for team-scoped roles (e.g., team owner, team member, team viewer). Firestore rules allow all authenticated users to read/write any document. ModerationQueueScreen comment explicitly states admin gating not implemented.</t>
        </is>
      </c>
      <c r="BG101" s="29" t="inlineStr">
        <is>
          <t>Team-scoped role/permission enforcement in Firestore rules and backend routes</t>
        </is>
      </c>
      <c r="BH101" s="29" t="inlineStr"/>
      <c r="BI101" s="29" t="inlineStr"/>
      <c r="BJ101" s="29" t="inlineStr"/>
      <c r="BK101" s="29" t="inlineStr">
        <is>
          <t>Evidence reconciled against the reviewed source revision. No production approval is inferred from implementation or file presence.</t>
        </is>
      </c>
      <c r="BL101" s="29" t="inlineStr">
        <is>
          <t>2026-08-02</t>
        </is>
      </c>
    </row>
    <row r="102" ht="42" customHeight="1">
      <c r="A102" s="29" t="inlineStr">
        <is>
          <t>BLYP-05-021</t>
        </is>
      </c>
      <c r="B102" s="29" t="inlineStr"/>
      <c r="C102" s="29" t="inlineStr">
        <is>
          <t>Role-based Team Board</t>
        </is>
      </c>
      <c r="D102" s="29" t="n">
        <v>5</v>
      </c>
      <c r="E102" s="29" t="n">
        <v>21</v>
      </c>
      <c r="F102" s="29" t="inlineStr">
        <is>
          <t>Feature</t>
        </is>
      </c>
      <c r="G102" s="29" t="inlineStr">
        <is>
          <t>Team announcements</t>
        </is>
      </c>
      <c r="H102" s="29" t="inlineStr">
        <is>
          <t>Team announcements</t>
        </is>
      </c>
      <c r="I102" s="29" t="inlineStr">
        <is>
          <t>/home/ubuntu/blyp_product_requirements.md :: Section 5 — Role-based Team Board</t>
        </is>
      </c>
      <c r="J102" s="29" t="inlineStr">
        <is>
          <t>/home/ubuntu/BLYP_COMPLETE_FEATURE_LIST.md:136</t>
        </is>
      </c>
      <c r="K102" s="29" t="inlineStr">
        <is>
          <t>Required</t>
        </is>
      </c>
      <c r="L102" s="29" t="inlineStr">
        <is>
          <t>Applicable BLYP member</t>
        </is>
      </c>
      <c r="M102" s="29" t="inlineStr">
        <is>
          <t>BLYP mobile application and supporting production services</t>
        </is>
      </c>
      <c r="N102" s="29" t="inlineStr">
        <is>
          <t>Team announcements</t>
        </is>
      </c>
      <c r="O102" s="29" t="inlineStr">
        <is>
          <t>Not explicitly defined in the product source; requires accountable product approval before production sign-off.</t>
        </is>
      </c>
      <c r="P102" s="29" t="inlineStr"/>
      <c r="Q102" s="29" t="inlineStr">
        <is>
          <t>No evidence</t>
        </is>
      </c>
      <c r="R102" s="29" t="inlineStr"/>
      <c r="S102" s="29" t="inlineStr">
        <is>
          <t>Not found</t>
        </is>
      </c>
      <c r="T102" s="29" t="inlineStr">
        <is>
          <t>Not found</t>
        </is>
      </c>
      <c r="U102" s="29" t="inlineStr">
        <is>
          <t>Not found</t>
        </is>
      </c>
      <c r="V102" s="29" t="inlineStr">
        <is>
          <t>Not found</t>
        </is>
      </c>
      <c r="W102" s="29" t="inlineStr">
        <is>
          <t>Not found</t>
        </is>
      </c>
      <c r="X102" s="29" t="inlineStr">
        <is>
          <t>Not found</t>
        </is>
      </c>
      <c r="Y102" s="29" t="inlineStr">
        <is>
          <t>Not found</t>
        </is>
      </c>
      <c r="Z102" s="29" t="inlineStr">
        <is>
          <t>Not found</t>
        </is>
      </c>
      <c r="AA102" s="29" t="inlineStr">
        <is>
          <t>Not found</t>
        </is>
      </c>
      <c r="AB102" s="29" t="inlineStr">
        <is>
          <t>Unknown</t>
        </is>
      </c>
      <c r="AC102" s="29" t="inlineStr"/>
      <c r="AD102" s="29" t="inlineStr">
        <is>
          <t>No runtime path identified.</t>
        </is>
      </c>
      <c r="AE102" s="29" t="inlineStr">
        <is>
          <t>Not wired</t>
        </is>
      </c>
      <c r="AF102" s="29" t="inlineStr">
        <is>
          <t>No runtime path identified.</t>
        </is>
      </c>
      <c r="AG102" s="29" t="inlineStr">
        <is>
          <t>Not started</t>
        </is>
      </c>
      <c r="AH102" s="29" t="inlineStr">
        <is>
          <t>No</t>
        </is>
      </c>
      <c r="AI102" s="29" t="inlineStr">
        <is>
          <t>Searched for 'team announcements', 'announcement team'. No team announcement feature found.</t>
        </is>
      </c>
      <c r="AJ102" s="29" t="inlineStr">
        <is>
          <t>Not verified</t>
        </is>
      </c>
      <c r="AK102" s="29" t="inlineStr">
        <is>
          <t>EV-05-0017</t>
        </is>
      </c>
      <c r="AL102" s="29" t="inlineStr"/>
      <c r="AM102" s="29" t="inlineStr"/>
      <c r="AN102" s="29" t="inlineStr"/>
      <c r="AO102" s="29" t="inlineStr">
        <is>
          <t>8bc0dcb2a1da1b21368c5536aaeef829d587f316</t>
        </is>
      </c>
      <c r="AP102" s="29" t="inlineStr">
        <is>
          <t>High</t>
        </is>
      </c>
      <c r="AQ102" s="29" t="inlineStr">
        <is>
          <t>Not assessed</t>
        </is>
      </c>
      <c r="AR102" s="29" t="inlineStr">
        <is>
          <t>Not assessed</t>
        </is>
      </c>
      <c r="AS102" s="29" t="inlineStr">
        <is>
          <t>Fail</t>
        </is>
      </c>
      <c r="AT102" s="29" t="inlineStr">
        <is>
          <t>Not assessed</t>
        </is>
      </c>
      <c r="AU102" s="29" t="inlineStr">
        <is>
          <t>Not assessed</t>
        </is>
      </c>
      <c r="AV102" s="29" t="inlineStr">
        <is>
          <t>Not assessed</t>
        </is>
      </c>
      <c r="AW102" s="29" t="inlineStr">
        <is>
          <t>Not assessed</t>
        </is>
      </c>
      <c r="AX102" s="29" t="inlineStr">
        <is>
          <t>Not assessed</t>
        </is>
      </c>
      <c r="AY102" s="29" t="inlineStr">
        <is>
          <t>Not assessed</t>
        </is>
      </c>
      <c r="AZ102" s="29" t="inlineStr">
        <is>
          <t>Not assessed</t>
        </is>
      </c>
      <c r="BA102" s="29" t="inlineStr">
        <is>
          <t>Not assessed</t>
        </is>
      </c>
      <c r="BB102" s="29" t="inlineStr">
        <is>
          <t>Not assessed</t>
        </is>
      </c>
      <c r="BC102" s="29" t="inlineStr">
        <is>
          <t>Not assessed</t>
        </is>
      </c>
      <c r="BD102" s="29" t="inlineStr">
        <is>
          <t>Not assessed</t>
        </is>
      </c>
      <c r="BE102" s="29" t="inlineStr">
        <is>
          <t>Development required</t>
        </is>
      </c>
      <c r="BF102" s="29" t="inlineStr">
        <is>
          <t>No source implementation found; Physical implementation is not complete against the stated requirement.; Searched for 'team announcements', 'announcement team'. No team announcement feature found.</t>
        </is>
      </c>
      <c r="BG102" s="29" t="inlineStr">
        <is>
          <t>Team announcement service, data store, and UI</t>
        </is>
      </c>
      <c r="BH102" s="29" t="inlineStr"/>
      <c r="BI102" s="29" t="inlineStr"/>
      <c r="BJ102" s="29" t="inlineStr"/>
      <c r="BK102" s="29" t="inlineStr">
        <is>
          <t>Evidence reconciled against the reviewed source revision. No production approval is inferred from implementation or file presence.</t>
        </is>
      </c>
      <c r="BL102" s="29" t="inlineStr">
        <is>
          <t>2026-08-02</t>
        </is>
      </c>
    </row>
    <row r="103" ht="42" customHeight="1">
      <c r="A103" s="29" t="inlineStr">
        <is>
          <t>BLYP-05-022</t>
        </is>
      </c>
      <c r="B103" s="29" t="inlineStr"/>
      <c r="C103" s="29" t="inlineStr">
        <is>
          <t>Role-based Team Board</t>
        </is>
      </c>
      <c r="D103" s="29" t="n">
        <v>5</v>
      </c>
      <c r="E103" s="29" t="n">
        <v>22</v>
      </c>
      <c r="F103" s="29" t="inlineStr">
        <is>
          <t>Feature</t>
        </is>
      </c>
      <c r="G103" s="29" t="inlineStr">
        <is>
          <t>Team scheduling</t>
        </is>
      </c>
      <c r="H103" s="29" t="inlineStr">
        <is>
          <t>Team scheduling</t>
        </is>
      </c>
      <c r="I103" s="29" t="inlineStr">
        <is>
          <t>/home/ubuntu/blyp_product_requirements.md :: Section 5 — Role-based Team Board</t>
        </is>
      </c>
      <c r="J103" s="29" t="inlineStr">
        <is>
          <t>/home/ubuntu/BLYP_COMPLETE_FEATURE_LIST.md:137</t>
        </is>
      </c>
      <c r="K103" s="29" t="inlineStr">
        <is>
          <t>Required</t>
        </is>
      </c>
      <c r="L103" s="29" t="inlineStr">
        <is>
          <t>Applicable BLYP member</t>
        </is>
      </c>
      <c r="M103" s="29" t="inlineStr">
        <is>
          <t>BLYP mobile application and supporting production services</t>
        </is>
      </c>
      <c r="N103" s="29" t="inlineStr">
        <is>
          <t>Team scheduling</t>
        </is>
      </c>
      <c r="O103" s="29" t="inlineStr">
        <is>
          <t>Not explicitly defined in the product source; requires accountable product approval before production sign-off.</t>
        </is>
      </c>
      <c r="P103" s="29" t="inlineStr"/>
      <c r="Q103" s="29" t="inlineStr">
        <is>
          <t>No evidence</t>
        </is>
      </c>
      <c r="R103" s="29" t="inlineStr"/>
      <c r="S103" s="29" t="inlineStr">
        <is>
          <t>Not found</t>
        </is>
      </c>
      <c r="T103" s="29" t="inlineStr">
        <is>
          <t>Not found</t>
        </is>
      </c>
      <c r="U103" s="29" t="inlineStr">
        <is>
          <t>Not found</t>
        </is>
      </c>
      <c r="V103" s="29" t="inlineStr">
        <is>
          <t>Not found</t>
        </is>
      </c>
      <c r="W103" s="29" t="inlineStr">
        <is>
          <t>Not found</t>
        </is>
      </c>
      <c r="X103" s="29" t="inlineStr">
        <is>
          <t>Not found</t>
        </is>
      </c>
      <c r="Y103" s="29" t="inlineStr">
        <is>
          <t>Not found</t>
        </is>
      </c>
      <c r="Z103" s="29" t="inlineStr">
        <is>
          <t>Not found</t>
        </is>
      </c>
      <c r="AA103" s="29" t="inlineStr">
        <is>
          <t>Not found</t>
        </is>
      </c>
      <c r="AB103" s="29" t="inlineStr">
        <is>
          <t>Unknown</t>
        </is>
      </c>
      <c r="AC103" s="29" t="inlineStr"/>
      <c r="AD103" s="29" t="inlineStr">
        <is>
          <t>No runtime path identified.</t>
        </is>
      </c>
      <c r="AE103" s="29" t="inlineStr">
        <is>
          <t>Not wired</t>
        </is>
      </c>
      <c r="AF103" s="29" t="inlineStr">
        <is>
          <t>No runtime path identified.</t>
        </is>
      </c>
      <c r="AG103" s="29" t="inlineStr">
        <is>
          <t>Not started</t>
        </is>
      </c>
      <c r="AH103" s="29" t="inlineStr">
        <is>
          <t>No</t>
        </is>
      </c>
      <c r="AI103" s="29" t="inlineStr">
        <is>
          <t>Searched for 'team scheduling', 'scheduling team'. Only Firebase scheduled functions and stream status 'scheduled' found. No team scheduling feature.</t>
        </is>
      </c>
      <c r="AJ103" s="29" t="inlineStr">
        <is>
          <t>Not verified</t>
        </is>
      </c>
      <c r="AK103" s="29" t="inlineStr">
        <is>
          <t>EV-05-0017</t>
        </is>
      </c>
      <c r="AL103" s="29" t="inlineStr"/>
      <c r="AM103" s="29" t="inlineStr"/>
      <c r="AN103" s="29" t="inlineStr"/>
      <c r="AO103" s="29" t="inlineStr">
        <is>
          <t>8bc0dcb2a1da1b21368c5536aaeef829d587f316</t>
        </is>
      </c>
      <c r="AP103" s="29" t="inlineStr">
        <is>
          <t>High</t>
        </is>
      </c>
      <c r="AQ103" s="29" t="inlineStr">
        <is>
          <t>Not assessed</t>
        </is>
      </c>
      <c r="AR103" s="29" t="inlineStr">
        <is>
          <t>Not assessed</t>
        </is>
      </c>
      <c r="AS103" s="29" t="inlineStr">
        <is>
          <t>Fail</t>
        </is>
      </c>
      <c r="AT103" s="29" t="inlineStr">
        <is>
          <t>Not assessed</t>
        </is>
      </c>
      <c r="AU103" s="29" t="inlineStr">
        <is>
          <t>Not assessed</t>
        </is>
      </c>
      <c r="AV103" s="29" t="inlineStr">
        <is>
          <t>Not assessed</t>
        </is>
      </c>
      <c r="AW103" s="29" t="inlineStr">
        <is>
          <t>Not assessed</t>
        </is>
      </c>
      <c r="AX103" s="29" t="inlineStr">
        <is>
          <t>Not assessed</t>
        </is>
      </c>
      <c r="AY103" s="29" t="inlineStr">
        <is>
          <t>Not assessed</t>
        </is>
      </c>
      <c r="AZ103" s="29" t="inlineStr">
        <is>
          <t>Not assessed</t>
        </is>
      </c>
      <c r="BA103" s="29" t="inlineStr">
        <is>
          <t>Not assessed</t>
        </is>
      </c>
      <c r="BB103" s="29" t="inlineStr">
        <is>
          <t>Not assessed</t>
        </is>
      </c>
      <c r="BC103" s="29" t="inlineStr">
        <is>
          <t>Not assessed</t>
        </is>
      </c>
      <c r="BD103" s="29" t="inlineStr">
        <is>
          <t>Not assessed</t>
        </is>
      </c>
      <c r="BE103" s="29" t="inlineStr">
        <is>
          <t>Development required</t>
        </is>
      </c>
      <c r="BF103" s="29" t="inlineStr">
        <is>
          <t>No source implementation found; Physical implementation is not complete against the stated requirement.; Searched for 'team scheduling', 'scheduling team'. Only Firebase scheduled functions and stream status 'scheduled' found. No team scheduling feature.</t>
        </is>
      </c>
      <c r="BG103" s="29" t="inlineStr">
        <is>
          <t>Team scheduling service, data store, and UI</t>
        </is>
      </c>
      <c r="BH103" s="29" t="inlineStr"/>
      <c r="BI103" s="29" t="inlineStr"/>
      <c r="BJ103" s="29" t="inlineStr"/>
      <c r="BK103" s="29" t="inlineStr">
        <is>
          <t>Evidence reconciled against the reviewed source revision. No production approval is inferred from implementation or file presence.</t>
        </is>
      </c>
      <c r="BL103" s="29" t="inlineStr">
        <is>
          <t>2026-08-02</t>
        </is>
      </c>
    </row>
    <row r="104" ht="42" customHeight="1">
      <c r="A104" s="29" t="inlineStr">
        <is>
          <t>BLYP-05-023</t>
        </is>
      </c>
      <c r="B104" s="29" t="inlineStr"/>
      <c r="C104" s="29" t="inlineStr">
        <is>
          <t>Role-based Team Board</t>
        </is>
      </c>
      <c r="D104" s="29" t="n">
        <v>5</v>
      </c>
      <c r="E104" s="29" t="n">
        <v>23</v>
      </c>
      <c r="F104" s="29" t="inlineStr">
        <is>
          <t>Feature</t>
        </is>
      </c>
      <c r="G104" s="29" t="inlineStr">
        <is>
          <t>Inactive/rising/high-performing member identification</t>
        </is>
      </c>
      <c r="H104" s="29" t="inlineStr">
        <is>
          <t>Inactive/rising/high-performing member identification</t>
        </is>
      </c>
      <c r="I104" s="29" t="inlineStr">
        <is>
          <t>/home/ubuntu/blyp_product_requirements.md :: Section 5 — Role-based Team Board</t>
        </is>
      </c>
      <c r="J104" s="29" t="inlineStr">
        <is>
          <t>/home/ubuntu/BLYP_COMPLETE_FEATURE_LIST.md:138</t>
        </is>
      </c>
      <c r="K104" s="29" t="inlineStr">
        <is>
          <t>Required</t>
        </is>
      </c>
      <c r="L104" s="29" t="inlineStr">
        <is>
          <t>Applicable BLYP member</t>
        </is>
      </c>
      <c r="M104" s="29" t="inlineStr">
        <is>
          <t>BLYP mobile application and supporting production services</t>
        </is>
      </c>
      <c r="N104" s="29" t="inlineStr">
        <is>
          <t>Inactive/rising/high-performing member identification</t>
        </is>
      </c>
      <c r="O104" s="29" t="inlineStr">
        <is>
          <t>Not explicitly defined in the product source; requires accountable product approval before production sign-off.</t>
        </is>
      </c>
      <c r="P104" s="29" t="inlineStr"/>
      <c r="Q104" s="29" t="inlineStr">
        <is>
          <t>No evidence</t>
        </is>
      </c>
      <c r="R104" s="29" t="inlineStr"/>
      <c r="S104" s="29" t="inlineStr">
        <is>
          <t>Not found</t>
        </is>
      </c>
      <c r="T104" s="29" t="inlineStr">
        <is>
          <t>Not found</t>
        </is>
      </c>
      <c r="U104" s="29" t="inlineStr">
        <is>
          <t>Not found</t>
        </is>
      </c>
      <c r="V104" s="29" t="inlineStr">
        <is>
          <t>Not found</t>
        </is>
      </c>
      <c r="W104" s="29" t="inlineStr">
        <is>
          <t>Not found</t>
        </is>
      </c>
      <c r="X104" s="29" t="inlineStr">
        <is>
          <t>Not found</t>
        </is>
      </c>
      <c r="Y104" s="29" t="inlineStr">
        <is>
          <t>Not found</t>
        </is>
      </c>
      <c r="Z104" s="29" t="inlineStr">
        <is>
          <t>Not found</t>
        </is>
      </c>
      <c r="AA104" s="29" t="inlineStr">
        <is>
          <t>Not found</t>
        </is>
      </c>
      <c r="AB104" s="29" t="inlineStr">
        <is>
          <t>Unknown</t>
        </is>
      </c>
      <c r="AC104" s="29" t="inlineStr"/>
      <c r="AD104" s="29" t="inlineStr">
        <is>
          <t>No runtime path identified.</t>
        </is>
      </c>
      <c r="AE104" s="29" t="inlineStr">
        <is>
          <t>Not wired</t>
        </is>
      </c>
      <c r="AF104" s="29" t="inlineStr">
        <is>
          <t>No runtime path identified.</t>
        </is>
      </c>
      <c r="AG104" s="29" t="inlineStr">
        <is>
          <t>Not started</t>
        </is>
      </c>
      <c r="AH104" s="29" t="inlineStr">
        <is>
          <t>No</t>
        </is>
      </c>
      <c r="AI104" s="29" t="inlineStr">
        <is>
          <t>Searched for 'inactive', 'rising', 'high-performing', 'high_performing'. Only app state 'inactive/background' and 'rising_stars' content category in smartListGenerator found. No team member identification feature.</t>
        </is>
      </c>
      <c r="AJ104" s="29" t="inlineStr">
        <is>
          <t>Not verified</t>
        </is>
      </c>
      <c r="AK104" s="29" t="inlineStr">
        <is>
          <t>EV-05-0017</t>
        </is>
      </c>
      <c r="AL104" s="29" t="inlineStr"/>
      <c r="AM104" s="29" t="inlineStr"/>
      <c r="AN104" s="29" t="inlineStr"/>
      <c r="AO104" s="29" t="inlineStr">
        <is>
          <t>8bc0dcb2a1da1b21368c5536aaeef829d587f316</t>
        </is>
      </c>
      <c r="AP104" s="29" t="inlineStr">
        <is>
          <t>High</t>
        </is>
      </c>
      <c r="AQ104" s="29" t="inlineStr">
        <is>
          <t>Not assessed</t>
        </is>
      </c>
      <c r="AR104" s="29" t="inlineStr">
        <is>
          <t>Not assessed</t>
        </is>
      </c>
      <c r="AS104" s="29" t="inlineStr">
        <is>
          <t>Fail</t>
        </is>
      </c>
      <c r="AT104" s="29" t="inlineStr">
        <is>
          <t>Not assessed</t>
        </is>
      </c>
      <c r="AU104" s="29" t="inlineStr">
        <is>
          <t>Not assessed</t>
        </is>
      </c>
      <c r="AV104" s="29" t="inlineStr">
        <is>
          <t>Not assessed</t>
        </is>
      </c>
      <c r="AW104" s="29" t="inlineStr">
        <is>
          <t>Not assessed</t>
        </is>
      </c>
      <c r="AX104" s="29" t="inlineStr">
        <is>
          <t>Not assessed</t>
        </is>
      </c>
      <c r="AY104" s="29" t="inlineStr">
        <is>
          <t>Not assessed</t>
        </is>
      </c>
      <c r="AZ104" s="29" t="inlineStr">
        <is>
          <t>Not assessed</t>
        </is>
      </c>
      <c r="BA104" s="29" t="inlineStr">
        <is>
          <t>Not assessed</t>
        </is>
      </c>
      <c r="BB104" s="29" t="inlineStr">
        <is>
          <t>Not assessed</t>
        </is>
      </c>
      <c r="BC104" s="29" t="inlineStr">
        <is>
          <t>Not assessed</t>
        </is>
      </c>
      <c r="BD104" s="29" t="inlineStr">
        <is>
          <t>Not assessed</t>
        </is>
      </c>
      <c r="BE104" s="29" t="inlineStr">
        <is>
          <t>Development required</t>
        </is>
      </c>
      <c r="BF104" s="29" t="inlineStr">
        <is>
          <t>No source implementation found; Physical implementation is not complete against the stated requirement.; Searched for 'inactive', 'rising', 'high-performing', 'high_performing'. Only app state 'inactive/background' and 'rising_stars' content category in smartListGenerator found. No team member identification feature.</t>
        </is>
      </c>
      <c r="BG104" s="29" t="inlineStr">
        <is>
          <t>Member activity classification service and UI</t>
        </is>
      </c>
      <c r="BH104" s="29" t="inlineStr"/>
      <c r="BI104" s="29" t="inlineStr"/>
      <c r="BJ104" s="29" t="inlineStr"/>
      <c r="BK104" s="29" t="inlineStr">
        <is>
          <t>Evidence reconciled against the reviewed source revision. No production approval is inferred from implementation or file presence.</t>
        </is>
      </c>
      <c r="BL104" s="29" t="inlineStr">
        <is>
          <t>2026-08-02</t>
        </is>
      </c>
    </row>
    <row r="105" ht="42" customHeight="1">
      <c r="A105" s="29" t="inlineStr">
        <is>
          <t>BLYP-05-024</t>
        </is>
      </c>
      <c r="B105" s="29" t="inlineStr"/>
      <c r="C105" s="29" t="inlineStr">
        <is>
          <t>Role-based Team Board</t>
        </is>
      </c>
      <c r="D105" s="29" t="n">
        <v>5</v>
      </c>
      <c r="E105" s="29" t="n">
        <v>24</v>
      </c>
      <c r="F105" s="29" t="inlineStr">
        <is>
          <t>Feature</t>
        </is>
      </c>
      <c r="G105" s="29" t="inlineStr">
        <is>
          <t>Sensitive Team-data restrictions</t>
        </is>
      </c>
      <c r="H105" s="29" t="inlineStr">
        <is>
          <t>Sensitive Team-data restrictions</t>
        </is>
      </c>
      <c r="I105" s="29" t="inlineStr">
        <is>
          <t>/home/ubuntu/blyp_product_requirements.md :: Section 5 — Role-based Team Board</t>
        </is>
      </c>
      <c r="J105" s="29" t="inlineStr">
        <is>
          <t>/home/ubuntu/BLYP_COMPLETE_FEATURE_LIST.md:139</t>
        </is>
      </c>
      <c r="K105" s="29" t="inlineStr">
        <is>
          <t>Required</t>
        </is>
      </c>
      <c r="L105" s="29" t="inlineStr">
        <is>
          <t>Applicable BLYP member</t>
        </is>
      </c>
      <c r="M105" s="29" t="inlineStr">
        <is>
          <t>BLYP mobile application and supporting production services</t>
        </is>
      </c>
      <c r="N105" s="29" t="inlineStr">
        <is>
          <t>Sensitive Team-data restrictions</t>
        </is>
      </c>
      <c r="O105" s="29" t="inlineStr">
        <is>
          <t>Not explicitly defined in the product source; requires accountable product approval before production sign-off.</t>
        </is>
      </c>
      <c r="P105" s="29" t="inlineStr"/>
      <c r="Q105" s="29" t="inlineStr">
        <is>
          <t>Needs verification</t>
        </is>
      </c>
      <c r="R105" s="29" t="inlineStr"/>
      <c r="S105" s="29" t="inlineStr">
        <is>
          <t>Not found</t>
        </is>
      </c>
      <c r="T105" s="29" t="inlineStr">
        <is>
          <t>Not found</t>
        </is>
      </c>
      <c r="U105" s="29" t="inlineStr">
        <is>
          <t>Not found</t>
        </is>
      </c>
      <c r="V105" s="29" t="inlineStr">
        <is>
          <t>Not found</t>
        </is>
      </c>
      <c r="W105" s="29" t="inlineStr">
        <is>
          <t>Not found</t>
        </is>
      </c>
      <c r="X105" s="29" t="inlineStr">
        <is>
          <t>Not found</t>
        </is>
      </c>
      <c r="Y105" s="29" t="inlineStr">
        <is>
          <t>Not found</t>
        </is>
      </c>
      <c r="Z105" s="29" t="inlineStr">
        <is>
          <t>Not found</t>
        </is>
      </c>
      <c r="AA105" s="29" t="inlineStr">
        <is>
          <t>Not found</t>
        </is>
      </c>
      <c r="AB105" s="29" t="inlineStr">
        <is>
          <t>Unknown</t>
        </is>
      </c>
      <c r="AC105" s="29" t="inlineStr"/>
      <c r="AD105" s="29" t="inlineStr">
        <is>
          <t>No runtime path identified.</t>
        </is>
      </c>
      <c r="AE105" s="29" t="inlineStr">
        <is>
          <t>Not wired</t>
        </is>
      </c>
      <c r="AF105" s="29" t="inlineStr">
        <is>
          <t>No runtime path identified.</t>
        </is>
      </c>
      <c r="AG105" s="29" t="inlineStr">
        <is>
          <t>Not started</t>
        </is>
      </c>
      <c r="AH105" s="29" t="inlineStr">
        <is>
          <t>No</t>
        </is>
      </c>
      <c r="AI105" s="29" t="inlineStr">
        <is>
          <t>Searched for 'sensitive team data', 'team data restriction', 'sensitive'. Firestore rules allow all authenticated users to read/write any document. No team-scoped data restrictions found.</t>
        </is>
      </c>
      <c r="AJ105" s="29" t="inlineStr">
        <is>
          <t>Not verified</t>
        </is>
      </c>
      <c r="AK105" s="29" t="inlineStr">
        <is>
          <t>EV-05-0018; EV-05-0017</t>
        </is>
      </c>
      <c r="AL105" s="29" t="inlineStr"/>
      <c r="AM105" s="29" t="inlineStr"/>
      <c r="AN105" s="29" t="inlineStr"/>
      <c r="AO105" s="29" t="inlineStr">
        <is>
          <t>8bc0dcb2a1da1b21368c5536aaeef829d587f316</t>
        </is>
      </c>
      <c r="AP105" s="29" t="inlineStr">
        <is>
          <t>High</t>
        </is>
      </c>
      <c r="AQ105" s="29" t="inlineStr">
        <is>
          <t>Not assessed</t>
        </is>
      </c>
      <c r="AR105" s="29" t="inlineStr">
        <is>
          <t>Not assessed</t>
        </is>
      </c>
      <c r="AS105" s="29" t="inlineStr">
        <is>
          <t>Fail</t>
        </is>
      </c>
      <c r="AT105" s="29" t="inlineStr">
        <is>
          <t>Not assessed</t>
        </is>
      </c>
      <c r="AU105" s="29" t="inlineStr">
        <is>
          <t>Not assessed</t>
        </is>
      </c>
      <c r="AV105" s="29" t="inlineStr">
        <is>
          <t>Not assessed</t>
        </is>
      </c>
      <c r="AW105" s="29" t="inlineStr">
        <is>
          <t>Not assessed</t>
        </is>
      </c>
      <c r="AX105" s="29" t="inlineStr">
        <is>
          <t>Not assessed</t>
        </is>
      </c>
      <c r="AY105" s="29" t="inlineStr">
        <is>
          <t>Not assessed</t>
        </is>
      </c>
      <c r="AZ105" s="29" t="inlineStr">
        <is>
          <t>Not assessed</t>
        </is>
      </c>
      <c r="BA105" s="29" t="inlineStr">
        <is>
          <t>Not assessed</t>
        </is>
      </c>
      <c r="BB105" s="29" t="inlineStr">
        <is>
          <t>Not assessed</t>
        </is>
      </c>
      <c r="BC105" s="29" t="inlineStr">
        <is>
          <t>Not assessed</t>
        </is>
      </c>
      <c r="BD105" s="29" t="inlineStr">
        <is>
          <t>Not assessed</t>
        </is>
      </c>
      <c r="BE105" s="29" t="inlineStr">
        <is>
          <t>Development required</t>
        </is>
      </c>
      <c r="BF105" s="29" t="inlineStr">
        <is>
          <t>No team-scoped data restriction implementation found; Firestore rules are permissive; Physical implementation is not complete against the stated requirement.; Searched for 'sensitive team data', 'team data restriction', 'sensitive'. Firestore rules allow all authenticated users to read/write any document. No team-scoped data restrictions found.</t>
        </is>
      </c>
      <c r="BG105" s="29" t="inlineStr">
        <is>
          <t>Team-scoped Firestore rules and backend access control</t>
        </is>
      </c>
      <c r="BH105" s="29" t="inlineStr"/>
      <c r="BI105" s="29" t="inlineStr"/>
      <c r="BJ105" s="29" t="inlineStr"/>
      <c r="BK105" s="29" t="inlineStr">
        <is>
          <t>Evidence reconciled against the reviewed source revision. No production approval is inferred from implementation or file presence.</t>
        </is>
      </c>
      <c r="BL105" s="29" t="inlineStr">
        <is>
          <t>2026-08-02</t>
        </is>
      </c>
    </row>
    <row r="106" ht="42" customHeight="1">
      <c r="A106" s="29" t="inlineStr">
        <is>
          <t>BLYP-05-025</t>
        </is>
      </c>
      <c r="B106" s="29" t="inlineStr"/>
      <c r="C106" s="29" t="inlineStr">
        <is>
          <t>Role-based Team Board</t>
        </is>
      </c>
      <c r="D106" s="29" t="n">
        <v>5</v>
      </c>
      <c r="E106" s="29" t="n">
        <v>25</v>
      </c>
      <c r="F106" s="29" t="inlineStr">
        <is>
          <t>Non-functional requirement</t>
        </is>
      </c>
      <c r="G106" s="29" t="inlineStr">
        <is>
          <t>Genuine activity-based performance formula</t>
        </is>
      </c>
      <c r="H106" s="29" t="inlineStr">
        <is>
          <t>Genuine activity-based performance formula</t>
        </is>
      </c>
      <c r="I106" s="29" t="inlineStr">
        <is>
          <t>/home/ubuntu/blyp_product_requirements.md :: Section 5 — Role-based Team Board</t>
        </is>
      </c>
      <c r="J106" s="29" t="inlineStr">
        <is>
          <t>/home/ubuntu/BLYP_COMPLETE_FEATURE_LIST.md:140</t>
        </is>
      </c>
      <c r="K106" s="29" t="inlineStr">
        <is>
          <t>Required</t>
        </is>
      </c>
      <c r="L106" s="29" t="inlineStr">
        <is>
          <t>Applicable BLYP member</t>
        </is>
      </c>
      <c r="M106" s="29" t="inlineStr">
        <is>
          <t>Production platform and operations</t>
        </is>
      </c>
      <c r="N106" s="29" t="inlineStr">
        <is>
          <t>Genuine activity-based performance formula</t>
        </is>
      </c>
      <c r="O106" s="29" t="inlineStr">
        <is>
          <t>Not explicitly defined in the product source; requires accountable product approval before production sign-off.</t>
        </is>
      </c>
      <c r="P106" s="29" t="inlineStr"/>
      <c r="Q106" s="29" t="inlineStr">
        <is>
          <t>No evidence</t>
        </is>
      </c>
      <c r="R106" s="29" t="inlineStr"/>
      <c r="S106" s="29" t="inlineStr">
        <is>
          <t>Not found</t>
        </is>
      </c>
      <c r="T106" s="29" t="inlineStr">
        <is>
          <t>Not found</t>
        </is>
      </c>
      <c r="U106" s="29" t="inlineStr">
        <is>
          <t>Not found</t>
        </is>
      </c>
      <c r="V106" s="29" t="inlineStr">
        <is>
          <t>Not found</t>
        </is>
      </c>
      <c r="W106" s="29" t="inlineStr">
        <is>
          <t>Not found</t>
        </is>
      </c>
      <c r="X106" s="29" t="inlineStr">
        <is>
          <t>Not found</t>
        </is>
      </c>
      <c r="Y106" s="29" t="inlineStr">
        <is>
          <t>Not found</t>
        </is>
      </c>
      <c r="Z106" s="29" t="inlineStr">
        <is>
          <t>Not found</t>
        </is>
      </c>
      <c r="AA106" s="29" t="inlineStr">
        <is>
          <t>Not found</t>
        </is>
      </c>
      <c r="AB106" s="29" t="inlineStr">
        <is>
          <t>Unknown</t>
        </is>
      </c>
      <c r="AC106" s="29" t="inlineStr"/>
      <c r="AD106" s="29" t="inlineStr">
        <is>
          <t>No runtime path identified.</t>
        </is>
      </c>
      <c r="AE106" s="29" t="inlineStr">
        <is>
          <t>Not wired</t>
        </is>
      </c>
      <c r="AF106" s="29" t="inlineStr">
        <is>
          <t>No runtime path identified.</t>
        </is>
      </c>
      <c r="AG106" s="29" t="inlineStr">
        <is>
          <t>Not started</t>
        </is>
      </c>
      <c r="AH106" s="29" t="inlineStr">
        <is>
          <t>No</t>
        </is>
      </c>
      <c r="AI106" s="29" t="inlineStr">
        <is>
          <t>Searched for 'genuine activity-based performance formula', 'activity based performance', 'performance formula'. activityTracker.js tracks raw events (like, share, comment, follow) but no weighted formula for team member performance scoring exists.</t>
        </is>
      </c>
      <c r="AJ106" s="29" t="inlineStr">
        <is>
          <t>Not verified</t>
        </is>
      </c>
      <c r="AK106" s="29" t="inlineStr">
        <is>
          <t>EV-05-0016; EV-05-0017</t>
        </is>
      </c>
      <c r="AL106" s="29" t="inlineStr"/>
      <c r="AM106" s="29" t="inlineStr"/>
      <c r="AN106" s="29" t="inlineStr"/>
      <c r="AO106" s="29" t="inlineStr">
        <is>
          <t>8bc0dcb2a1da1b21368c5536aaeef829d587f316</t>
        </is>
      </c>
      <c r="AP106" s="29" t="inlineStr">
        <is>
          <t>High</t>
        </is>
      </c>
      <c r="AQ106" s="29" t="inlineStr">
        <is>
          <t>Not assessed</t>
        </is>
      </c>
      <c r="AR106" s="29" t="inlineStr">
        <is>
          <t>Not assessed</t>
        </is>
      </c>
      <c r="AS106" s="29" t="inlineStr">
        <is>
          <t>Fail</t>
        </is>
      </c>
      <c r="AT106" s="29" t="inlineStr">
        <is>
          <t>Not assessed</t>
        </is>
      </c>
      <c r="AU106" s="29" t="inlineStr">
        <is>
          <t>Not assessed</t>
        </is>
      </c>
      <c r="AV106" s="29" t="inlineStr">
        <is>
          <t>Not assessed</t>
        </is>
      </c>
      <c r="AW106" s="29" t="inlineStr">
        <is>
          <t>Not assessed</t>
        </is>
      </c>
      <c r="AX106" s="29" t="inlineStr">
        <is>
          <t>Not assessed</t>
        </is>
      </c>
      <c r="AY106" s="29" t="inlineStr">
        <is>
          <t>Not assessed</t>
        </is>
      </c>
      <c r="AZ106" s="29" t="inlineStr">
        <is>
          <t>Not assessed</t>
        </is>
      </c>
      <c r="BA106" s="29" t="inlineStr">
        <is>
          <t>Not assessed</t>
        </is>
      </c>
      <c r="BB106" s="29" t="inlineStr">
        <is>
          <t>Not assessed</t>
        </is>
      </c>
      <c r="BC106" s="29" t="inlineStr">
        <is>
          <t>Not assessed</t>
        </is>
      </c>
      <c r="BD106" s="29" t="inlineStr">
        <is>
          <t>Not assessed</t>
        </is>
      </c>
      <c r="BE106" s="29" t="inlineStr">
        <is>
          <t>Development required</t>
        </is>
      </c>
      <c r="BF106" s="29" t="inlineStr">
        <is>
          <t>No source implementation found; Physical implementation is not complete against the stated requirement.; Searched for 'genuine activity-based performance formula', 'activity based performance', 'performance formula'. activityTracker.js tracks raw events (like, share, comment, follow) but no weighted formula for team member performance scoring exists.</t>
        </is>
      </c>
      <c r="BG106" s="29" t="inlineStr">
        <is>
          <t>Activity-based performance formula implementation and team member scoring service</t>
        </is>
      </c>
      <c r="BH106" s="29" t="inlineStr"/>
      <c r="BI106" s="29" t="inlineStr"/>
      <c r="BJ106" s="29" t="inlineStr"/>
      <c r="BK106" s="29" t="inlineStr">
        <is>
          <t>Evidence reconciled against the reviewed source revision. No production approval is inferred from implementation or file presence.</t>
        </is>
      </c>
      <c r="BL106" s="29" t="inlineStr">
        <is>
          <t>2026-08-02</t>
        </is>
      </c>
    </row>
    <row r="107" ht="42" customHeight="1">
      <c r="A107" s="29" t="inlineStr">
        <is>
          <t>BLYP-06-001</t>
        </is>
      </c>
      <c r="B107" s="29" t="inlineStr"/>
      <c r="C107" s="29" t="inlineStr">
        <is>
          <t>Homepage feeds and header</t>
        </is>
      </c>
      <c r="D107" s="29" t="n">
        <v>6</v>
      </c>
      <c r="E107" s="29" t="n">
        <v>1</v>
      </c>
      <c r="F107" s="29" t="inlineStr">
        <is>
          <t>Feature</t>
        </is>
      </c>
      <c r="G107" s="29" t="inlineStr">
        <is>
          <t>Home feed</t>
        </is>
      </c>
      <c r="H107" s="29" t="inlineStr">
        <is>
          <t>Home feed</t>
        </is>
      </c>
      <c r="I107" s="29" t="inlineStr">
        <is>
          <t>/home/ubuntu/blyp_product_requirements.md :: Section 6 — Homepage feeds and header</t>
        </is>
      </c>
      <c r="J107" s="29" t="inlineStr">
        <is>
          <t>/home/ubuntu/BLYP_COMPLETE_FEATURE_LIST.md:146</t>
        </is>
      </c>
      <c r="K107" s="29" t="inlineStr">
        <is>
          <t>Required</t>
        </is>
      </c>
      <c r="L107" s="29" t="inlineStr">
        <is>
          <t>Applicable BLYP member</t>
        </is>
      </c>
      <c r="M107" s="29" t="inlineStr">
        <is>
          <t>BLYP mobile application and supporting production services</t>
        </is>
      </c>
      <c r="N107" s="29" t="inlineStr">
        <is>
          <t>Home feed</t>
        </is>
      </c>
      <c r="O107" s="29" t="inlineStr">
        <is>
          <t>Not explicitly defined in the product source; requires accountable product approval before production sign-off.</t>
        </is>
      </c>
      <c r="P107" s="29" t="inlineStr"/>
      <c r="Q107" s="29" t="inlineStr">
        <is>
          <t>Yes</t>
        </is>
      </c>
      <c r="R107" s="29" t="inlineStr"/>
      <c r="S107" s="29" t="inlineStr">
        <is>
          <t>Partial</t>
        </is>
      </c>
      <c r="T107" s="29" t="inlineStr">
        <is>
          <t>BottomTabNavigator</t>
        </is>
      </c>
      <c r="U107" s="29" t="inlineStr">
        <is>
          <t>HomeScreen</t>
        </is>
      </c>
      <c r="V107" s="29" t="inlineStr"/>
      <c r="W107" s="29" t="inlineStr"/>
      <c r="X107" s="29" t="inlineStr"/>
      <c r="Y107" s="29" t="inlineStr"/>
      <c r="Z107" s="29" t="inlineStr"/>
      <c r="AA107" s="29" t="inlineStr"/>
      <c r="AB107" s="29" t="inlineStr"/>
      <c r="AC107" s="29" t="inlineStr"/>
      <c r="AD107" s="29" t="inlineStr"/>
      <c r="AE107" s="29" t="inlineStr">
        <is>
          <t>User reachable</t>
        </is>
      </c>
      <c r="AF107" s="29" t="inlineStr">
        <is>
          <t>BottomTabNavigator</t>
        </is>
      </c>
      <c r="AG107" s="29" t="inlineStr">
        <is>
          <t>Incomplete</t>
        </is>
      </c>
      <c r="AH107" s="29" t="inlineStr">
        <is>
          <t>No</t>
        </is>
      </c>
      <c r="AI107" s="29" t="inlineStr"/>
      <c r="AJ107" s="29" t="inlineStr">
        <is>
          <t>Source traced</t>
        </is>
      </c>
      <c r="AK107" s="29" t="inlineStr">
        <is>
          <t>EV-06-0001</t>
        </is>
      </c>
      <c r="AL107" s="29" t="inlineStr"/>
      <c r="AM107" s="29" t="inlineStr"/>
      <c r="AN107" s="29" t="inlineStr"/>
      <c r="AO107" s="29" t="inlineStr">
        <is>
          <t>8bc0dcb2a1da1b21368c5536aaeef829d587f316</t>
        </is>
      </c>
      <c r="AP107" s="29" t="inlineStr">
        <is>
          <t>Medium</t>
        </is>
      </c>
      <c r="AQ107" s="29" t="inlineStr">
        <is>
          <t>Not assessed</t>
        </is>
      </c>
      <c r="AR107" s="29" t="inlineStr">
        <is>
          <t>Not assessed</t>
        </is>
      </c>
      <c r="AS107" s="29" t="inlineStr">
        <is>
          <t>Fail</t>
        </is>
      </c>
      <c r="AT107" s="29" t="inlineStr">
        <is>
          <t>Not assessed</t>
        </is>
      </c>
      <c r="AU107" s="29" t="inlineStr">
        <is>
          <t>Not assessed</t>
        </is>
      </c>
      <c r="AV107" s="29" t="inlineStr">
        <is>
          <t>Not assessed</t>
        </is>
      </c>
      <c r="AW107" s="29" t="inlineStr">
        <is>
          <t>Not assessed</t>
        </is>
      </c>
      <c r="AX107" s="29" t="inlineStr">
        <is>
          <t>Not assessed</t>
        </is>
      </c>
      <c r="AY107" s="29" t="inlineStr">
        <is>
          <t>Not assessed</t>
        </is>
      </c>
      <c r="AZ107" s="29" t="inlineStr">
        <is>
          <t>Not assessed</t>
        </is>
      </c>
      <c r="BA107" s="29" t="inlineStr">
        <is>
          <t>Not assessed</t>
        </is>
      </c>
      <c r="BB107" s="29" t="inlineStr">
        <is>
          <t>Not assessed</t>
        </is>
      </c>
      <c r="BC107" s="29" t="inlineStr">
        <is>
          <t>Not assessed</t>
        </is>
      </c>
      <c r="BD107" s="29" t="inlineStr">
        <is>
          <t>Not assessed</t>
        </is>
      </c>
      <c r="BE107" s="29" t="inlineStr">
        <is>
          <t>Development required</t>
        </is>
      </c>
      <c r="BF107" s="29" t="inlineStr">
        <is>
          <t>Physical implementation is not complete against the stated requirement.</t>
        </is>
      </c>
      <c r="BG107" s="29" t="inlineStr"/>
      <c r="BH107" s="29" t="inlineStr"/>
      <c r="BI107" s="29" t="inlineStr"/>
      <c r="BJ107" s="29" t="inlineStr"/>
      <c r="BK107" s="29" t="inlineStr">
        <is>
          <t>Evidence reconciled against the reviewed source revision. No production approval is inferred from implementation or file presence.</t>
        </is>
      </c>
      <c r="BL107" s="29" t="inlineStr">
        <is>
          <t>2026-08-02</t>
        </is>
      </c>
    </row>
    <row r="108" ht="42" customHeight="1">
      <c r="A108" s="29" t="inlineStr">
        <is>
          <t>BLYP-06-002</t>
        </is>
      </c>
      <c r="B108" s="29" t="inlineStr"/>
      <c r="C108" s="29" t="inlineStr">
        <is>
          <t>Homepage feeds and header</t>
        </is>
      </c>
      <c r="D108" s="29" t="n">
        <v>6</v>
      </c>
      <c r="E108" s="29" t="n">
        <v>2</v>
      </c>
      <c r="F108" s="29" t="inlineStr">
        <is>
          <t>Feature</t>
        </is>
      </c>
      <c r="G108" s="29" t="inlineStr">
        <is>
          <t>For You/#4ME feed</t>
        </is>
      </c>
      <c r="H108" s="29" t="inlineStr">
        <is>
          <t>For You/#4ME feed</t>
        </is>
      </c>
      <c r="I108" s="29" t="inlineStr">
        <is>
          <t>/home/ubuntu/blyp_product_requirements.md :: Section 6 — Homepage feeds and header</t>
        </is>
      </c>
      <c r="J108" s="29" t="inlineStr">
        <is>
          <t>/home/ubuntu/BLYP_COMPLETE_FEATURE_LIST.md:147</t>
        </is>
      </c>
      <c r="K108" s="29" t="inlineStr">
        <is>
          <t>Required</t>
        </is>
      </c>
      <c r="L108" s="29" t="inlineStr">
        <is>
          <t>Applicable BLYP member</t>
        </is>
      </c>
      <c r="M108" s="29" t="inlineStr">
        <is>
          <t>BLYP mobile application and supporting production services</t>
        </is>
      </c>
      <c r="N108" s="29" t="inlineStr">
        <is>
          <t>For You/#4ME feed</t>
        </is>
      </c>
      <c r="O108" s="29" t="inlineStr">
        <is>
          <t>Not explicitly defined in the product source; requires accountable product approval before production sign-off.</t>
        </is>
      </c>
      <c r="P108" s="29" t="inlineStr"/>
      <c r="Q108" s="29" t="inlineStr">
        <is>
          <t>Yes</t>
        </is>
      </c>
      <c r="R108" s="29" t="inlineStr"/>
      <c r="S108" s="29" t="inlineStr">
        <is>
          <t>Partial</t>
        </is>
      </c>
      <c r="T108" s="29" t="inlineStr"/>
      <c r="U108" s="29" t="inlineStr">
        <is>
          <t>HomeScreen tabs</t>
        </is>
      </c>
      <c r="V108" s="29" t="inlineStr"/>
      <c r="W108" s="29" t="inlineStr"/>
      <c r="X108" s="29" t="inlineStr"/>
      <c r="Y108" s="29" t="inlineStr"/>
      <c r="Z108" s="29" t="inlineStr"/>
      <c r="AA108" s="29" t="inlineStr"/>
      <c r="AB108" s="29" t="inlineStr"/>
      <c r="AC108" s="29" t="inlineStr"/>
      <c r="AD108" s="29" t="inlineStr"/>
      <c r="AE108" s="29" t="inlineStr">
        <is>
          <t>User reachable</t>
        </is>
      </c>
      <c r="AF108" s="29" t="inlineStr"/>
      <c r="AG108" s="29" t="inlineStr">
        <is>
          <t>Incomplete</t>
        </is>
      </c>
      <c r="AH108" s="29" t="inlineStr">
        <is>
          <t>No</t>
        </is>
      </c>
      <c r="AI108" s="29" t="inlineStr"/>
      <c r="AJ108" s="29" t="inlineStr">
        <is>
          <t>Source traced</t>
        </is>
      </c>
      <c r="AK108" s="29" t="inlineStr">
        <is>
          <t>EV-06-0002</t>
        </is>
      </c>
      <c r="AL108" s="29" t="inlineStr"/>
      <c r="AM108" s="29" t="inlineStr"/>
      <c r="AN108" s="29" t="inlineStr"/>
      <c r="AO108" s="29" t="inlineStr">
        <is>
          <t>8bc0dcb2a1da1b21368c5536aaeef829d587f316</t>
        </is>
      </c>
      <c r="AP108" s="29" t="inlineStr">
        <is>
          <t>Medium</t>
        </is>
      </c>
      <c r="AQ108" s="29" t="inlineStr">
        <is>
          <t>Not assessed</t>
        </is>
      </c>
      <c r="AR108" s="29" t="inlineStr">
        <is>
          <t>Not assessed</t>
        </is>
      </c>
      <c r="AS108" s="29" t="inlineStr">
        <is>
          <t>Fail</t>
        </is>
      </c>
      <c r="AT108" s="29" t="inlineStr">
        <is>
          <t>Not assessed</t>
        </is>
      </c>
      <c r="AU108" s="29" t="inlineStr">
        <is>
          <t>Not assessed</t>
        </is>
      </c>
      <c r="AV108" s="29" t="inlineStr">
        <is>
          <t>Not assessed</t>
        </is>
      </c>
      <c r="AW108" s="29" t="inlineStr">
        <is>
          <t>Not assessed</t>
        </is>
      </c>
      <c r="AX108" s="29" t="inlineStr">
        <is>
          <t>Not assessed</t>
        </is>
      </c>
      <c r="AY108" s="29" t="inlineStr">
        <is>
          <t>Not assessed</t>
        </is>
      </c>
      <c r="AZ108" s="29" t="inlineStr">
        <is>
          <t>Not assessed</t>
        </is>
      </c>
      <c r="BA108" s="29" t="inlineStr">
        <is>
          <t>Not assessed</t>
        </is>
      </c>
      <c r="BB108" s="29" t="inlineStr">
        <is>
          <t>Not assessed</t>
        </is>
      </c>
      <c r="BC108" s="29" t="inlineStr">
        <is>
          <t>Not assessed</t>
        </is>
      </c>
      <c r="BD108" s="29" t="inlineStr">
        <is>
          <t>Not assessed</t>
        </is>
      </c>
      <c r="BE108" s="29" t="inlineStr">
        <is>
          <t>Development required</t>
        </is>
      </c>
      <c r="BF108" s="29" t="inlineStr">
        <is>
          <t>Physical implementation is not complete against the stated requirement.</t>
        </is>
      </c>
      <c r="BG108" s="29" t="inlineStr"/>
      <c r="BH108" s="29" t="inlineStr"/>
      <c r="BI108" s="29" t="inlineStr"/>
      <c r="BJ108" s="29" t="inlineStr"/>
      <c r="BK108" s="29" t="inlineStr">
        <is>
          <t>Evidence reconciled against the reviewed source revision. No production approval is inferred from implementation or file presence.</t>
        </is>
      </c>
      <c r="BL108" s="29" t="inlineStr">
        <is>
          <t>2026-08-02</t>
        </is>
      </c>
    </row>
    <row r="109" ht="42" customHeight="1">
      <c r="A109" s="29" t="inlineStr">
        <is>
          <t>BLYP-06-003</t>
        </is>
      </c>
      <c r="B109" s="29" t="inlineStr"/>
      <c r="C109" s="29" t="inlineStr">
        <is>
          <t>Homepage feeds and header</t>
        </is>
      </c>
      <c r="D109" s="29" t="n">
        <v>6</v>
      </c>
      <c r="E109" s="29" t="n">
        <v>3</v>
      </c>
      <c r="F109" s="29" t="inlineStr">
        <is>
          <t>Feature</t>
        </is>
      </c>
      <c r="G109" s="29" t="inlineStr">
        <is>
          <t>Following feed</t>
        </is>
      </c>
      <c r="H109" s="29" t="inlineStr">
        <is>
          <t>Following feed</t>
        </is>
      </c>
      <c r="I109" s="29" t="inlineStr">
        <is>
          <t>/home/ubuntu/blyp_product_requirements.md :: Section 6 — Homepage feeds and header</t>
        </is>
      </c>
      <c r="J109" s="29" t="inlineStr">
        <is>
          <t>/home/ubuntu/BLYP_COMPLETE_FEATURE_LIST.md:148</t>
        </is>
      </c>
      <c r="K109" s="29" t="inlineStr">
        <is>
          <t>Required</t>
        </is>
      </c>
      <c r="L109" s="29" t="inlineStr">
        <is>
          <t>Applicable BLYP member</t>
        </is>
      </c>
      <c r="M109" s="29" t="inlineStr">
        <is>
          <t>BLYP mobile application and supporting production services</t>
        </is>
      </c>
      <c r="N109" s="29" t="inlineStr">
        <is>
          <t>Following feed</t>
        </is>
      </c>
      <c r="O109" s="29" t="inlineStr">
        <is>
          <t>Not explicitly defined in the product source; requires accountable product approval before production sign-off.</t>
        </is>
      </c>
      <c r="P109" s="29" t="inlineStr"/>
      <c r="Q109" s="29" t="inlineStr">
        <is>
          <t>Yes</t>
        </is>
      </c>
      <c r="R109" s="29" t="inlineStr"/>
      <c r="S109" s="29" t="inlineStr">
        <is>
          <t>Not found</t>
        </is>
      </c>
      <c r="T109" s="29" t="inlineStr"/>
      <c r="U109" s="29" t="inlineStr"/>
      <c r="V109" s="29" t="inlineStr"/>
      <c r="W109" s="29" t="inlineStr"/>
      <c r="X109" s="29" t="inlineStr"/>
      <c r="Y109" s="29" t="inlineStr"/>
      <c r="Z109" s="29" t="inlineStr"/>
      <c r="AA109" s="29" t="inlineStr"/>
      <c r="AB109" s="29" t="inlineStr"/>
      <c r="AC109" s="29" t="inlineStr"/>
      <c r="AD109" s="29" t="inlineStr"/>
      <c r="AE109" s="29" t="inlineStr">
        <is>
          <t>Unknown</t>
        </is>
      </c>
      <c r="AF109" s="29" t="inlineStr"/>
      <c r="AG109" s="29" t="inlineStr">
        <is>
          <t>Unknown</t>
        </is>
      </c>
      <c r="AH109" s="29" t="inlineStr">
        <is>
          <t>Unknown</t>
        </is>
      </c>
      <c r="AI109" s="29" t="inlineStr"/>
      <c r="AJ109" s="29" t="inlineStr">
        <is>
          <t>Not verified</t>
        </is>
      </c>
      <c r="AK109" s="29" t="inlineStr"/>
      <c r="AL109" s="29" t="inlineStr"/>
      <c r="AM109" s="29" t="inlineStr"/>
      <c r="AN109" s="29" t="inlineStr"/>
      <c r="AO109" s="29" t="inlineStr">
        <is>
          <t>8bc0dcb2a1da1b21368c5536aaeef829d587f316</t>
        </is>
      </c>
      <c r="AP109" s="29" t="inlineStr">
        <is>
          <t>Low</t>
        </is>
      </c>
      <c r="AQ109" s="29" t="inlineStr">
        <is>
          <t>Not assessed</t>
        </is>
      </c>
      <c r="AR109" s="29" t="inlineStr">
        <is>
          <t>Not assessed</t>
        </is>
      </c>
      <c r="AS109" s="29" t="inlineStr">
        <is>
          <t>Not assessed</t>
        </is>
      </c>
      <c r="AT109" s="29" t="inlineStr">
        <is>
          <t>Not assessed</t>
        </is>
      </c>
      <c r="AU109" s="29" t="inlineStr">
        <is>
          <t>Not assessed</t>
        </is>
      </c>
      <c r="AV109" s="29" t="inlineStr">
        <is>
          <t>Not assessed</t>
        </is>
      </c>
      <c r="AW109" s="29" t="inlineStr">
        <is>
          <t>Not assessed</t>
        </is>
      </c>
      <c r="AX109" s="29" t="inlineStr">
        <is>
          <t>Not assessed</t>
        </is>
      </c>
      <c r="AY109" s="29" t="inlineStr">
        <is>
          <t>Not assessed</t>
        </is>
      </c>
      <c r="AZ109" s="29" t="inlineStr">
        <is>
          <t>Not assessed</t>
        </is>
      </c>
      <c r="BA109" s="29" t="inlineStr">
        <is>
          <t>Not assessed</t>
        </is>
      </c>
      <c r="BB109" s="29" t="inlineStr">
        <is>
          <t>Not assessed</t>
        </is>
      </c>
      <c r="BC109" s="29" t="inlineStr">
        <is>
          <t>Not assessed</t>
        </is>
      </c>
      <c r="BD109" s="29" t="inlineStr">
        <is>
          <t>Not assessed</t>
        </is>
      </c>
      <c r="BE109" s="29" t="inlineStr">
        <is>
          <t>Development required</t>
        </is>
      </c>
      <c r="BF109" s="29" t="inlineStr">
        <is>
          <t>Physical implementation is not complete against the stated requirement.</t>
        </is>
      </c>
      <c r="BG109" s="29" t="inlineStr"/>
      <c r="BH109" s="29" t="inlineStr"/>
      <c r="BI109" s="29" t="inlineStr"/>
      <c r="BJ109" s="29" t="inlineStr"/>
      <c r="BK109" s="29" t="inlineStr">
        <is>
          <t>Evidence reconciled against the reviewed source revision. No production approval is inferred from implementation or file presence.</t>
        </is>
      </c>
      <c r="BL109" s="29" t="inlineStr">
        <is>
          <t>2026-08-02</t>
        </is>
      </c>
    </row>
    <row r="110" ht="42" customHeight="1">
      <c r="A110" s="29" t="inlineStr">
        <is>
          <t>BLYP-06-004</t>
        </is>
      </c>
      <c r="B110" s="29" t="inlineStr"/>
      <c r="C110" s="29" t="inlineStr">
        <is>
          <t>Homepage feeds and header</t>
        </is>
      </c>
      <c r="D110" s="29" t="n">
        <v>6</v>
      </c>
      <c r="E110" s="29" t="n">
        <v>4</v>
      </c>
      <c r="F110" s="29" t="inlineStr">
        <is>
          <t>Feature</t>
        </is>
      </c>
      <c r="G110" s="29" t="inlineStr">
        <is>
          <t>New and unseen followed-account activity</t>
        </is>
      </c>
      <c r="H110" s="29" t="inlineStr">
        <is>
          <t>New and unseen followed-account activity</t>
        </is>
      </c>
      <c r="I110" s="29" t="inlineStr">
        <is>
          <t>/home/ubuntu/blyp_product_requirements.md :: Section 6 — Homepage feeds and header</t>
        </is>
      </c>
      <c r="J110" s="29" t="inlineStr">
        <is>
          <t>/home/ubuntu/BLYP_COMPLETE_FEATURE_LIST.md:149</t>
        </is>
      </c>
      <c r="K110" s="29" t="inlineStr">
        <is>
          <t>Required</t>
        </is>
      </c>
      <c r="L110" s="29" t="inlineStr">
        <is>
          <t>Applicable BLYP member</t>
        </is>
      </c>
      <c r="M110" s="29" t="inlineStr">
        <is>
          <t>BLYP mobile application and supporting production services</t>
        </is>
      </c>
      <c r="N110" s="29" t="inlineStr">
        <is>
          <t>New and unseen followed-account activity</t>
        </is>
      </c>
      <c r="O110" s="29" t="inlineStr">
        <is>
          <t>Not explicitly defined in the product source; requires accountable product approval before production sign-off.</t>
        </is>
      </c>
      <c r="P110" s="29" t="inlineStr"/>
      <c r="Q110" s="29" t="inlineStr">
        <is>
          <t>Partial</t>
        </is>
      </c>
      <c r="R110" s="29" t="inlineStr"/>
      <c r="S110" s="29" t="inlineStr">
        <is>
          <t>Not found</t>
        </is>
      </c>
      <c r="T110" s="29" t="inlineStr"/>
      <c r="U110" s="29" t="inlineStr"/>
      <c r="V110" s="29" t="inlineStr"/>
      <c r="W110" s="29" t="inlineStr"/>
      <c r="X110" s="29" t="inlineStr"/>
      <c r="Y110" s="29" t="inlineStr"/>
      <c r="Z110" s="29" t="inlineStr"/>
      <c r="AA110" s="29" t="inlineStr"/>
      <c r="AB110" s="29" t="inlineStr"/>
      <c r="AC110" s="29" t="inlineStr"/>
      <c r="AD110" s="29" t="inlineStr"/>
      <c r="AE110" s="29" t="inlineStr">
        <is>
          <t>Unknown</t>
        </is>
      </c>
      <c r="AF110" s="29" t="inlineStr"/>
      <c r="AG110" s="29" t="inlineStr">
        <is>
          <t>Unknown</t>
        </is>
      </c>
      <c r="AH110" s="29" t="inlineStr">
        <is>
          <t>Unknown</t>
        </is>
      </c>
      <c r="AI110" s="29" t="inlineStr"/>
      <c r="AJ110" s="29" t="inlineStr">
        <is>
          <t>Not verified</t>
        </is>
      </c>
      <c r="AK110" s="29" t="inlineStr"/>
      <c r="AL110" s="29" t="inlineStr"/>
      <c r="AM110" s="29" t="inlineStr"/>
      <c r="AN110" s="29" t="inlineStr"/>
      <c r="AO110" s="29" t="inlineStr">
        <is>
          <t>8bc0dcb2a1da1b21368c5536aaeef829d587f316</t>
        </is>
      </c>
      <c r="AP110" s="29" t="inlineStr">
        <is>
          <t>Low</t>
        </is>
      </c>
      <c r="AQ110" s="29" t="inlineStr">
        <is>
          <t>Not assessed</t>
        </is>
      </c>
      <c r="AR110" s="29" t="inlineStr">
        <is>
          <t>Not assessed</t>
        </is>
      </c>
      <c r="AS110" s="29" t="inlineStr">
        <is>
          <t>Not assessed</t>
        </is>
      </c>
      <c r="AT110" s="29" t="inlineStr">
        <is>
          <t>Not assessed</t>
        </is>
      </c>
      <c r="AU110" s="29" t="inlineStr">
        <is>
          <t>Not assessed</t>
        </is>
      </c>
      <c r="AV110" s="29" t="inlineStr">
        <is>
          <t>Not assessed</t>
        </is>
      </c>
      <c r="AW110" s="29" t="inlineStr">
        <is>
          <t>Not assessed</t>
        </is>
      </c>
      <c r="AX110" s="29" t="inlineStr">
        <is>
          <t>Not assessed</t>
        </is>
      </c>
      <c r="AY110" s="29" t="inlineStr">
        <is>
          <t>Not assessed</t>
        </is>
      </c>
      <c r="AZ110" s="29" t="inlineStr">
        <is>
          <t>Not assessed</t>
        </is>
      </c>
      <c r="BA110" s="29" t="inlineStr">
        <is>
          <t>Not assessed</t>
        </is>
      </c>
      <c r="BB110" s="29" t="inlineStr">
        <is>
          <t>Not assessed</t>
        </is>
      </c>
      <c r="BC110" s="29" t="inlineStr">
        <is>
          <t>Not assessed</t>
        </is>
      </c>
      <c r="BD110" s="29" t="inlineStr">
        <is>
          <t>Not assessed</t>
        </is>
      </c>
      <c r="BE110" s="29" t="inlineStr">
        <is>
          <t>Development required</t>
        </is>
      </c>
      <c r="BF110" s="29" t="inlineStr">
        <is>
          <t>Physical implementation is not complete against the stated requirement.</t>
        </is>
      </c>
      <c r="BG110" s="29" t="inlineStr"/>
      <c r="BH110" s="29" t="inlineStr"/>
      <c r="BI110" s="29" t="inlineStr"/>
      <c r="BJ110" s="29" t="inlineStr"/>
      <c r="BK110" s="29" t="inlineStr">
        <is>
          <t>Evidence reconciled against the reviewed source revision. No production approval is inferred from implementation or file presence.</t>
        </is>
      </c>
      <c r="BL110" s="29" t="inlineStr">
        <is>
          <t>2026-08-02</t>
        </is>
      </c>
    </row>
    <row r="111" ht="42" customHeight="1">
      <c r="A111" s="29" t="inlineStr">
        <is>
          <t>BLYP-06-005</t>
        </is>
      </c>
      <c r="B111" s="29" t="inlineStr"/>
      <c r="C111" s="29" t="inlineStr">
        <is>
          <t>Homepage feeds and header</t>
        </is>
      </c>
      <c r="D111" s="29" t="n">
        <v>6</v>
      </c>
      <c r="E111" s="29" t="n">
        <v>5</v>
      </c>
      <c r="F111" s="29" t="inlineStr">
        <is>
          <t>Feature</t>
        </is>
      </c>
      <c r="G111" s="29" t="inlineStr">
        <is>
          <t>Followed-Interest activity</t>
        </is>
      </c>
      <c r="H111" s="29" t="inlineStr">
        <is>
          <t>Followed-Interest activity</t>
        </is>
      </c>
      <c r="I111" s="29" t="inlineStr">
        <is>
          <t>/home/ubuntu/blyp_product_requirements.md :: Section 6 — Homepage feeds and header</t>
        </is>
      </c>
      <c r="J111" s="29" t="inlineStr">
        <is>
          <t>/home/ubuntu/BLYP_COMPLETE_FEATURE_LIST.md:150</t>
        </is>
      </c>
      <c r="K111" s="29" t="inlineStr">
        <is>
          <t>Required</t>
        </is>
      </c>
      <c r="L111" s="29" t="inlineStr">
        <is>
          <t>Applicable BLYP member</t>
        </is>
      </c>
      <c r="M111" s="29" t="inlineStr">
        <is>
          <t>BLYP mobile application and supporting production services</t>
        </is>
      </c>
      <c r="N111" s="29" t="inlineStr">
        <is>
          <t>Followed-Interest activity</t>
        </is>
      </c>
      <c r="O111" s="29" t="inlineStr">
        <is>
          <t>Not explicitly defined in the product source; requires accountable product approval before production sign-off.</t>
        </is>
      </c>
      <c r="P111" s="29" t="inlineStr"/>
      <c r="Q111" s="29" t="inlineStr">
        <is>
          <t>Partial</t>
        </is>
      </c>
      <c r="R111" s="29" t="inlineStr"/>
      <c r="S111" s="29" t="inlineStr">
        <is>
          <t>Not found</t>
        </is>
      </c>
      <c r="T111" s="29" t="inlineStr"/>
      <c r="U111" s="29" t="inlineStr"/>
      <c r="V111" s="29" t="inlineStr"/>
      <c r="W111" s="29" t="inlineStr"/>
      <c r="X111" s="29" t="inlineStr"/>
      <c r="Y111" s="29" t="inlineStr"/>
      <c r="Z111" s="29" t="inlineStr"/>
      <c r="AA111" s="29" t="inlineStr"/>
      <c r="AB111" s="29" t="inlineStr"/>
      <c r="AC111" s="29" t="inlineStr"/>
      <c r="AD111" s="29" t="inlineStr"/>
      <c r="AE111" s="29" t="inlineStr">
        <is>
          <t>Unknown</t>
        </is>
      </c>
      <c r="AF111" s="29" t="inlineStr"/>
      <c r="AG111" s="29" t="inlineStr">
        <is>
          <t>Unknown</t>
        </is>
      </c>
      <c r="AH111" s="29" t="inlineStr">
        <is>
          <t>Unknown</t>
        </is>
      </c>
      <c r="AI111" s="29" t="inlineStr"/>
      <c r="AJ111" s="29" t="inlineStr">
        <is>
          <t>Not verified</t>
        </is>
      </c>
      <c r="AK111" s="29" t="inlineStr"/>
      <c r="AL111" s="29" t="inlineStr"/>
      <c r="AM111" s="29" t="inlineStr"/>
      <c r="AN111" s="29" t="inlineStr"/>
      <c r="AO111" s="29" t="inlineStr">
        <is>
          <t>8bc0dcb2a1da1b21368c5536aaeef829d587f316</t>
        </is>
      </c>
      <c r="AP111" s="29" t="inlineStr">
        <is>
          <t>Low</t>
        </is>
      </c>
      <c r="AQ111" s="29" t="inlineStr">
        <is>
          <t>Not assessed</t>
        </is>
      </c>
      <c r="AR111" s="29" t="inlineStr">
        <is>
          <t>Not assessed</t>
        </is>
      </c>
      <c r="AS111" s="29" t="inlineStr">
        <is>
          <t>Not assessed</t>
        </is>
      </c>
      <c r="AT111" s="29" t="inlineStr">
        <is>
          <t>Not assessed</t>
        </is>
      </c>
      <c r="AU111" s="29" t="inlineStr">
        <is>
          <t>Not assessed</t>
        </is>
      </c>
      <c r="AV111" s="29" t="inlineStr">
        <is>
          <t>Not assessed</t>
        </is>
      </c>
      <c r="AW111" s="29" t="inlineStr">
        <is>
          <t>Not assessed</t>
        </is>
      </c>
      <c r="AX111" s="29" t="inlineStr">
        <is>
          <t>Not assessed</t>
        </is>
      </c>
      <c r="AY111" s="29" t="inlineStr">
        <is>
          <t>Not assessed</t>
        </is>
      </c>
      <c r="AZ111" s="29" t="inlineStr">
        <is>
          <t>Not assessed</t>
        </is>
      </c>
      <c r="BA111" s="29" t="inlineStr">
        <is>
          <t>Not assessed</t>
        </is>
      </c>
      <c r="BB111" s="29" t="inlineStr">
        <is>
          <t>Not assessed</t>
        </is>
      </c>
      <c r="BC111" s="29" t="inlineStr">
        <is>
          <t>Not assessed</t>
        </is>
      </c>
      <c r="BD111" s="29" t="inlineStr">
        <is>
          <t>Not assessed</t>
        </is>
      </c>
      <c r="BE111" s="29" t="inlineStr">
        <is>
          <t>Development required</t>
        </is>
      </c>
      <c r="BF111" s="29" t="inlineStr">
        <is>
          <t>Physical implementation is not complete against the stated requirement.</t>
        </is>
      </c>
      <c r="BG111" s="29" t="inlineStr"/>
      <c r="BH111" s="29" t="inlineStr"/>
      <c r="BI111" s="29" t="inlineStr"/>
      <c r="BJ111" s="29" t="inlineStr"/>
      <c r="BK111" s="29" t="inlineStr">
        <is>
          <t>Evidence reconciled against the reviewed source revision. No production approval is inferred from implementation or file presence.</t>
        </is>
      </c>
      <c r="BL111" s="29" t="inlineStr">
        <is>
          <t>2026-08-02</t>
        </is>
      </c>
    </row>
    <row r="112" ht="42" customHeight="1">
      <c r="A112" s="29" t="inlineStr">
        <is>
          <t>BLYP-06-006</t>
        </is>
      </c>
      <c r="B112" s="29" t="inlineStr"/>
      <c r="C112" s="29" t="inlineStr">
        <is>
          <t>Homepage feeds and header</t>
        </is>
      </c>
      <c r="D112" s="29" t="n">
        <v>6</v>
      </c>
      <c r="E112" s="29" t="n">
        <v>6</v>
      </c>
      <c r="F112" s="29" t="inlineStr">
        <is>
          <t>Feature</t>
        </is>
      </c>
      <c r="G112" s="29" t="inlineStr">
        <is>
          <t>Posts in Following</t>
        </is>
      </c>
      <c r="H112" s="29" t="inlineStr">
        <is>
          <t>Posts in Following</t>
        </is>
      </c>
      <c r="I112" s="29" t="inlineStr">
        <is>
          <t>/home/ubuntu/blyp_product_requirements.md :: Section 6 — Homepage feeds and header</t>
        </is>
      </c>
      <c r="J112" s="29" t="inlineStr">
        <is>
          <t>/home/ubuntu/BLYP_COMPLETE_FEATURE_LIST.md:151</t>
        </is>
      </c>
      <c r="K112" s="29" t="inlineStr">
        <is>
          <t>Required</t>
        </is>
      </c>
      <c r="L112" s="29" t="inlineStr">
        <is>
          <t>Applicable BLYP member</t>
        </is>
      </c>
      <c r="M112" s="29" t="inlineStr">
        <is>
          <t>BLYP mobile application and supporting production services</t>
        </is>
      </c>
      <c r="N112" s="29" t="inlineStr">
        <is>
          <t>Posts in Following</t>
        </is>
      </c>
      <c r="O112" s="29" t="inlineStr">
        <is>
          <t>Not explicitly defined in the product source; requires accountable product approval before production sign-off.</t>
        </is>
      </c>
      <c r="P112" s="29" t="inlineStr"/>
      <c r="Q112" s="29" t="inlineStr">
        <is>
          <t>Yes</t>
        </is>
      </c>
      <c r="R112" s="29" t="inlineStr"/>
      <c r="S112" s="29" t="inlineStr">
        <is>
          <t>Not found</t>
        </is>
      </c>
      <c r="T112" s="29" t="inlineStr"/>
      <c r="U112" s="29" t="inlineStr"/>
      <c r="V112" s="29" t="inlineStr"/>
      <c r="W112" s="29" t="inlineStr"/>
      <c r="X112" s="29" t="inlineStr"/>
      <c r="Y112" s="29" t="inlineStr"/>
      <c r="Z112" s="29" t="inlineStr"/>
      <c r="AA112" s="29" t="inlineStr"/>
      <c r="AB112" s="29" t="inlineStr"/>
      <c r="AC112" s="29" t="inlineStr"/>
      <c r="AD112" s="29" t="inlineStr"/>
      <c r="AE112" s="29" t="inlineStr">
        <is>
          <t>Unknown</t>
        </is>
      </c>
      <c r="AF112" s="29" t="inlineStr"/>
      <c r="AG112" s="29" t="inlineStr">
        <is>
          <t>Unknown</t>
        </is>
      </c>
      <c r="AH112" s="29" t="inlineStr">
        <is>
          <t>Unknown</t>
        </is>
      </c>
      <c r="AI112" s="29" t="inlineStr"/>
      <c r="AJ112" s="29" t="inlineStr">
        <is>
          <t>Not verified</t>
        </is>
      </c>
      <c r="AK112" s="29" t="inlineStr"/>
      <c r="AL112" s="29" t="inlineStr"/>
      <c r="AM112" s="29" t="inlineStr"/>
      <c r="AN112" s="29" t="inlineStr"/>
      <c r="AO112" s="29" t="inlineStr">
        <is>
          <t>8bc0dcb2a1da1b21368c5536aaeef829d587f316</t>
        </is>
      </c>
      <c r="AP112" s="29" t="inlineStr">
        <is>
          <t>Low</t>
        </is>
      </c>
      <c r="AQ112" s="29" t="inlineStr">
        <is>
          <t>Not assessed</t>
        </is>
      </c>
      <c r="AR112" s="29" t="inlineStr">
        <is>
          <t>Not assessed</t>
        </is>
      </c>
      <c r="AS112" s="29" t="inlineStr">
        <is>
          <t>Not assessed</t>
        </is>
      </c>
      <c r="AT112" s="29" t="inlineStr">
        <is>
          <t>Not assessed</t>
        </is>
      </c>
      <c r="AU112" s="29" t="inlineStr">
        <is>
          <t>Not assessed</t>
        </is>
      </c>
      <c r="AV112" s="29" t="inlineStr">
        <is>
          <t>Not assessed</t>
        </is>
      </c>
      <c r="AW112" s="29" t="inlineStr">
        <is>
          <t>Not assessed</t>
        </is>
      </c>
      <c r="AX112" s="29" t="inlineStr">
        <is>
          <t>Not assessed</t>
        </is>
      </c>
      <c r="AY112" s="29" t="inlineStr">
        <is>
          <t>Not assessed</t>
        </is>
      </c>
      <c r="AZ112" s="29" t="inlineStr">
        <is>
          <t>Not assessed</t>
        </is>
      </c>
      <c r="BA112" s="29" t="inlineStr">
        <is>
          <t>Not assessed</t>
        </is>
      </c>
      <c r="BB112" s="29" t="inlineStr">
        <is>
          <t>Not assessed</t>
        </is>
      </c>
      <c r="BC112" s="29" t="inlineStr">
        <is>
          <t>Not assessed</t>
        </is>
      </c>
      <c r="BD112" s="29" t="inlineStr">
        <is>
          <t>Not assessed</t>
        </is>
      </c>
      <c r="BE112" s="29" t="inlineStr">
        <is>
          <t>Development required</t>
        </is>
      </c>
      <c r="BF112" s="29" t="inlineStr">
        <is>
          <t>Physical implementation is not complete against the stated requirement.</t>
        </is>
      </c>
      <c r="BG112" s="29" t="inlineStr"/>
      <c r="BH112" s="29" t="inlineStr"/>
      <c r="BI112" s="29" t="inlineStr"/>
      <c r="BJ112" s="29" t="inlineStr"/>
      <c r="BK112" s="29" t="inlineStr">
        <is>
          <t>Evidence reconciled against the reviewed source revision. No production approval is inferred from implementation or file presence.</t>
        </is>
      </c>
      <c r="BL112" s="29" t="inlineStr">
        <is>
          <t>2026-08-02</t>
        </is>
      </c>
    </row>
    <row r="113" ht="42" customHeight="1">
      <c r="A113" s="29" t="inlineStr">
        <is>
          <t>BLYP-06-007</t>
        </is>
      </c>
      <c r="B113" s="29" t="inlineStr"/>
      <c r="C113" s="29" t="inlineStr">
        <is>
          <t>Homepage feeds and header</t>
        </is>
      </c>
      <c r="D113" s="29" t="n">
        <v>6</v>
      </c>
      <c r="E113" s="29" t="n">
        <v>7</v>
      </c>
      <c r="F113" s="29" t="inlineStr">
        <is>
          <t>Feature</t>
        </is>
      </c>
      <c r="G113" s="29" t="inlineStr">
        <is>
          <t>Videos in Following</t>
        </is>
      </c>
      <c r="H113" s="29" t="inlineStr">
        <is>
          <t>Videos in Following</t>
        </is>
      </c>
      <c r="I113" s="29" t="inlineStr">
        <is>
          <t>/home/ubuntu/blyp_product_requirements.md :: Section 6 — Homepage feeds and header</t>
        </is>
      </c>
      <c r="J113" s="29" t="inlineStr">
        <is>
          <t>/home/ubuntu/BLYP_COMPLETE_FEATURE_LIST.md:152</t>
        </is>
      </c>
      <c r="K113" s="29" t="inlineStr">
        <is>
          <t>Required</t>
        </is>
      </c>
      <c r="L113" s="29" t="inlineStr">
        <is>
          <t>Applicable BLYP member</t>
        </is>
      </c>
      <c r="M113" s="29" t="inlineStr">
        <is>
          <t>BLYP mobile application and supporting production services</t>
        </is>
      </c>
      <c r="N113" s="29" t="inlineStr">
        <is>
          <t>Videos in Following</t>
        </is>
      </c>
      <c r="O113" s="29" t="inlineStr">
        <is>
          <t>Not explicitly defined in the product source; requires accountable product approval before production sign-off.</t>
        </is>
      </c>
      <c r="P113" s="29" t="inlineStr"/>
      <c r="Q113" s="29" t="inlineStr">
        <is>
          <t>Yes</t>
        </is>
      </c>
      <c r="R113" s="29" t="inlineStr"/>
      <c r="S113" s="29" t="inlineStr">
        <is>
          <t>Not found</t>
        </is>
      </c>
      <c r="T113" s="29" t="inlineStr"/>
      <c r="U113" s="29" t="inlineStr"/>
      <c r="V113" s="29" t="inlineStr"/>
      <c r="W113" s="29" t="inlineStr"/>
      <c r="X113" s="29" t="inlineStr"/>
      <c r="Y113" s="29" t="inlineStr"/>
      <c r="Z113" s="29" t="inlineStr"/>
      <c r="AA113" s="29" t="inlineStr"/>
      <c r="AB113" s="29" t="inlineStr"/>
      <c r="AC113" s="29" t="inlineStr"/>
      <c r="AD113" s="29" t="inlineStr"/>
      <c r="AE113" s="29" t="inlineStr">
        <is>
          <t>Unknown</t>
        </is>
      </c>
      <c r="AF113" s="29" t="inlineStr"/>
      <c r="AG113" s="29" t="inlineStr">
        <is>
          <t>Unknown</t>
        </is>
      </c>
      <c r="AH113" s="29" t="inlineStr">
        <is>
          <t>Unknown</t>
        </is>
      </c>
      <c r="AI113" s="29" t="inlineStr"/>
      <c r="AJ113" s="29" t="inlineStr">
        <is>
          <t>Not verified</t>
        </is>
      </c>
      <c r="AK113" s="29" t="inlineStr"/>
      <c r="AL113" s="29" t="inlineStr"/>
      <c r="AM113" s="29" t="inlineStr"/>
      <c r="AN113" s="29" t="inlineStr"/>
      <c r="AO113" s="29" t="inlineStr">
        <is>
          <t>8bc0dcb2a1da1b21368c5536aaeef829d587f316</t>
        </is>
      </c>
      <c r="AP113" s="29" t="inlineStr">
        <is>
          <t>Low</t>
        </is>
      </c>
      <c r="AQ113" s="29" t="inlineStr">
        <is>
          <t>Not assessed</t>
        </is>
      </c>
      <c r="AR113" s="29" t="inlineStr">
        <is>
          <t>Not assessed</t>
        </is>
      </c>
      <c r="AS113" s="29" t="inlineStr">
        <is>
          <t>Not assessed</t>
        </is>
      </c>
      <c r="AT113" s="29" t="inlineStr">
        <is>
          <t>Not assessed</t>
        </is>
      </c>
      <c r="AU113" s="29" t="inlineStr">
        <is>
          <t>Not assessed</t>
        </is>
      </c>
      <c r="AV113" s="29" t="inlineStr">
        <is>
          <t>Not assessed</t>
        </is>
      </c>
      <c r="AW113" s="29" t="inlineStr">
        <is>
          <t>Not assessed</t>
        </is>
      </c>
      <c r="AX113" s="29" t="inlineStr">
        <is>
          <t>Not assessed</t>
        </is>
      </c>
      <c r="AY113" s="29" t="inlineStr">
        <is>
          <t>Not assessed</t>
        </is>
      </c>
      <c r="AZ113" s="29" t="inlineStr">
        <is>
          <t>Not assessed</t>
        </is>
      </c>
      <c r="BA113" s="29" t="inlineStr">
        <is>
          <t>Not assessed</t>
        </is>
      </c>
      <c r="BB113" s="29" t="inlineStr">
        <is>
          <t>Not assessed</t>
        </is>
      </c>
      <c r="BC113" s="29" t="inlineStr">
        <is>
          <t>Not assessed</t>
        </is>
      </c>
      <c r="BD113" s="29" t="inlineStr">
        <is>
          <t>Not assessed</t>
        </is>
      </c>
      <c r="BE113" s="29" t="inlineStr">
        <is>
          <t>Development required</t>
        </is>
      </c>
      <c r="BF113" s="29" t="inlineStr">
        <is>
          <t>Physical implementation is not complete against the stated requirement.</t>
        </is>
      </c>
      <c r="BG113" s="29" t="inlineStr"/>
      <c r="BH113" s="29" t="inlineStr"/>
      <c r="BI113" s="29" t="inlineStr"/>
      <c r="BJ113" s="29" t="inlineStr"/>
      <c r="BK113" s="29" t="inlineStr">
        <is>
          <t>Evidence reconciled against the reviewed source revision. No production approval is inferred from implementation or file presence.</t>
        </is>
      </c>
      <c r="BL113" s="29" t="inlineStr">
        <is>
          <t>2026-08-02</t>
        </is>
      </c>
    </row>
    <row r="114" ht="42" customHeight="1">
      <c r="A114" s="29" t="inlineStr">
        <is>
          <t>BLYP-06-008</t>
        </is>
      </c>
      <c r="B114" s="29" t="inlineStr"/>
      <c r="C114" s="29" t="inlineStr">
        <is>
          <t>Homepage feeds and header</t>
        </is>
      </c>
      <c r="D114" s="29" t="n">
        <v>6</v>
      </c>
      <c r="E114" s="29" t="n">
        <v>8</v>
      </c>
      <c r="F114" s="29" t="inlineStr">
        <is>
          <t>Feature</t>
        </is>
      </c>
      <c r="G114" s="29" t="inlineStr">
        <is>
          <t>Lives in Following</t>
        </is>
      </c>
      <c r="H114" s="29" t="inlineStr">
        <is>
          <t>Lives in Following</t>
        </is>
      </c>
      <c r="I114" s="29" t="inlineStr">
        <is>
          <t>/home/ubuntu/blyp_product_requirements.md :: Section 6 — Homepage feeds and header</t>
        </is>
      </c>
      <c r="J114" s="29" t="inlineStr">
        <is>
          <t>/home/ubuntu/BLYP_COMPLETE_FEATURE_LIST.md:153</t>
        </is>
      </c>
      <c r="K114" s="29" t="inlineStr">
        <is>
          <t>Required</t>
        </is>
      </c>
      <c r="L114" s="29" t="inlineStr">
        <is>
          <t>Applicable BLYP member</t>
        </is>
      </c>
      <c r="M114" s="29" t="inlineStr">
        <is>
          <t>BLYP mobile application and supporting production services</t>
        </is>
      </c>
      <c r="N114" s="29" t="inlineStr">
        <is>
          <t>Lives in Following</t>
        </is>
      </c>
      <c r="O114" s="29" t="inlineStr">
        <is>
          <t>Not explicitly defined in the product source; requires accountable product approval before production sign-off.</t>
        </is>
      </c>
      <c r="P114" s="29" t="inlineStr"/>
      <c r="Q114" s="29" t="inlineStr">
        <is>
          <t>Partial</t>
        </is>
      </c>
      <c r="R114" s="29" t="inlineStr"/>
      <c r="S114" s="29" t="inlineStr">
        <is>
          <t>Not found</t>
        </is>
      </c>
      <c r="T114" s="29" t="inlineStr"/>
      <c r="U114" s="29" t="inlineStr"/>
      <c r="V114" s="29" t="inlineStr"/>
      <c r="W114" s="29" t="inlineStr"/>
      <c r="X114" s="29" t="inlineStr"/>
      <c r="Y114" s="29" t="inlineStr"/>
      <c r="Z114" s="29" t="inlineStr"/>
      <c r="AA114" s="29" t="inlineStr"/>
      <c r="AB114" s="29" t="inlineStr"/>
      <c r="AC114" s="29" t="inlineStr"/>
      <c r="AD114" s="29" t="inlineStr"/>
      <c r="AE114" s="29" t="inlineStr">
        <is>
          <t>Unknown</t>
        </is>
      </c>
      <c r="AF114" s="29" t="inlineStr"/>
      <c r="AG114" s="29" t="inlineStr">
        <is>
          <t>Unknown</t>
        </is>
      </c>
      <c r="AH114" s="29" t="inlineStr">
        <is>
          <t>Unknown</t>
        </is>
      </c>
      <c r="AI114" s="29" t="inlineStr"/>
      <c r="AJ114" s="29" t="inlineStr">
        <is>
          <t>Not verified</t>
        </is>
      </c>
      <c r="AK114" s="29" t="inlineStr"/>
      <c r="AL114" s="29" t="inlineStr"/>
      <c r="AM114" s="29" t="inlineStr"/>
      <c r="AN114" s="29" t="inlineStr"/>
      <c r="AO114" s="29" t="inlineStr">
        <is>
          <t>8bc0dcb2a1da1b21368c5536aaeef829d587f316</t>
        </is>
      </c>
      <c r="AP114" s="29" t="inlineStr">
        <is>
          <t>Low</t>
        </is>
      </c>
      <c r="AQ114" s="29" t="inlineStr">
        <is>
          <t>Not assessed</t>
        </is>
      </c>
      <c r="AR114" s="29" t="inlineStr">
        <is>
          <t>Not assessed</t>
        </is>
      </c>
      <c r="AS114" s="29" t="inlineStr">
        <is>
          <t>Not assessed</t>
        </is>
      </c>
      <c r="AT114" s="29" t="inlineStr">
        <is>
          <t>Not assessed</t>
        </is>
      </c>
      <c r="AU114" s="29" t="inlineStr">
        <is>
          <t>Not assessed</t>
        </is>
      </c>
      <c r="AV114" s="29" t="inlineStr">
        <is>
          <t>Not assessed</t>
        </is>
      </c>
      <c r="AW114" s="29" t="inlineStr">
        <is>
          <t>Not assessed</t>
        </is>
      </c>
      <c r="AX114" s="29" t="inlineStr">
        <is>
          <t>Not assessed</t>
        </is>
      </c>
      <c r="AY114" s="29" t="inlineStr">
        <is>
          <t>Not assessed</t>
        </is>
      </c>
      <c r="AZ114" s="29" t="inlineStr">
        <is>
          <t>Not assessed</t>
        </is>
      </c>
      <c r="BA114" s="29" t="inlineStr">
        <is>
          <t>Not assessed</t>
        </is>
      </c>
      <c r="BB114" s="29" t="inlineStr">
        <is>
          <t>Not assessed</t>
        </is>
      </c>
      <c r="BC114" s="29" t="inlineStr">
        <is>
          <t>Not assessed</t>
        </is>
      </c>
      <c r="BD114" s="29" t="inlineStr">
        <is>
          <t>Not assessed</t>
        </is>
      </c>
      <c r="BE114" s="29" t="inlineStr">
        <is>
          <t>Development required</t>
        </is>
      </c>
      <c r="BF114" s="29" t="inlineStr">
        <is>
          <t>Physical implementation is not complete against the stated requirement.</t>
        </is>
      </c>
      <c r="BG114" s="29" t="inlineStr"/>
      <c r="BH114" s="29" t="inlineStr"/>
      <c r="BI114" s="29" t="inlineStr"/>
      <c r="BJ114" s="29" t="inlineStr"/>
      <c r="BK114" s="29" t="inlineStr">
        <is>
          <t>Evidence reconciled against the reviewed source revision. No production approval is inferred from implementation or file presence.</t>
        </is>
      </c>
      <c r="BL114" s="29" t="inlineStr">
        <is>
          <t>2026-08-02</t>
        </is>
      </c>
    </row>
    <row r="115" ht="42" customHeight="1">
      <c r="A115" s="29" t="inlineStr">
        <is>
          <t>BLYP-06-009</t>
        </is>
      </c>
      <c r="B115" s="29" t="inlineStr"/>
      <c r="C115" s="29" t="inlineStr">
        <is>
          <t>Homepage feeds and header</t>
        </is>
      </c>
      <c r="D115" s="29" t="n">
        <v>6</v>
      </c>
      <c r="E115" s="29" t="n">
        <v>9</v>
      </c>
      <c r="F115" s="29" t="inlineStr">
        <is>
          <t>Feature</t>
        </is>
      </c>
      <c r="G115" s="29" t="inlineStr">
        <is>
          <t>Topic rooms in Following</t>
        </is>
      </c>
      <c r="H115" s="29" t="inlineStr">
        <is>
          <t>Topic rooms in Following</t>
        </is>
      </c>
      <c r="I115" s="29" t="inlineStr">
        <is>
          <t>/home/ubuntu/blyp_product_requirements.md :: Section 6 — Homepage feeds and header</t>
        </is>
      </c>
      <c r="J115" s="29" t="inlineStr">
        <is>
          <t>/home/ubuntu/BLYP_COMPLETE_FEATURE_LIST.md:154</t>
        </is>
      </c>
      <c r="K115" s="29" t="inlineStr">
        <is>
          <t>Required</t>
        </is>
      </c>
      <c r="L115" s="29" t="inlineStr">
        <is>
          <t>Applicable BLYP member</t>
        </is>
      </c>
      <c r="M115" s="29" t="inlineStr">
        <is>
          <t>BLYP mobile application and supporting production services</t>
        </is>
      </c>
      <c r="N115" s="29" t="inlineStr">
        <is>
          <t>Topic rooms in Following</t>
        </is>
      </c>
      <c r="O115" s="29" t="inlineStr">
        <is>
          <t>Not explicitly defined in the product source; requires accountable product approval before production sign-off.</t>
        </is>
      </c>
      <c r="P115" s="29" t="inlineStr"/>
      <c r="Q115" s="29" t="inlineStr">
        <is>
          <t>No evidence</t>
        </is>
      </c>
      <c r="R115" s="29" t="inlineStr"/>
      <c r="S115" s="29" t="inlineStr">
        <is>
          <t>Not found</t>
        </is>
      </c>
      <c r="T115" s="29" t="inlineStr"/>
      <c r="U115" s="29" t="inlineStr"/>
      <c r="V115" s="29" t="inlineStr"/>
      <c r="W115" s="29" t="inlineStr"/>
      <c r="X115" s="29" t="inlineStr"/>
      <c r="Y115" s="29" t="inlineStr"/>
      <c r="Z115" s="29" t="inlineStr"/>
      <c r="AA115" s="29" t="inlineStr"/>
      <c r="AB115" s="29" t="inlineStr"/>
      <c r="AC115" s="29" t="inlineStr"/>
      <c r="AD115" s="29" t="inlineStr"/>
      <c r="AE115" s="29" t="inlineStr">
        <is>
          <t>Unknown</t>
        </is>
      </c>
      <c r="AF115" s="29" t="inlineStr"/>
      <c r="AG115" s="29" t="inlineStr">
        <is>
          <t>Unknown</t>
        </is>
      </c>
      <c r="AH115" s="29" t="inlineStr">
        <is>
          <t>Unknown</t>
        </is>
      </c>
      <c r="AI115" s="29" t="inlineStr"/>
      <c r="AJ115" s="29" t="inlineStr">
        <is>
          <t>Not verified</t>
        </is>
      </c>
      <c r="AK115" s="29" t="inlineStr"/>
      <c r="AL115" s="29" t="inlineStr"/>
      <c r="AM115" s="29" t="inlineStr"/>
      <c r="AN115" s="29" t="inlineStr"/>
      <c r="AO115" s="29" t="inlineStr">
        <is>
          <t>8bc0dcb2a1da1b21368c5536aaeef829d587f316</t>
        </is>
      </c>
      <c r="AP115" s="29" t="inlineStr">
        <is>
          <t>Low</t>
        </is>
      </c>
      <c r="AQ115" s="29" t="inlineStr">
        <is>
          <t>Not assessed</t>
        </is>
      </c>
      <c r="AR115" s="29" t="inlineStr">
        <is>
          <t>Not assessed</t>
        </is>
      </c>
      <c r="AS115" s="29" t="inlineStr">
        <is>
          <t>Not assessed</t>
        </is>
      </c>
      <c r="AT115" s="29" t="inlineStr">
        <is>
          <t>Not assessed</t>
        </is>
      </c>
      <c r="AU115" s="29" t="inlineStr">
        <is>
          <t>Not assessed</t>
        </is>
      </c>
      <c r="AV115" s="29" t="inlineStr">
        <is>
          <t>Not assessed</t>
        </is>
      </c>
      <c r="AW115" s="29" t="inlineStr">
        <is>
          <t>Not assessed</t>
        </is>
      </c>
      <c r="AX115" s="29" t="inlineStr">
        <is>
          <t>Not assessed</t>
        </is>
      </c>
      <c r="AY115" s="29" t="inlineStr">
        <is>
          <t>Not assessed</t>
        </is>
      </c>
      <c r="AZ115" s="29" t="inlineStr">
        <is>
          <t>Not assessed</t>
        </is>
      </c>
      <c r="BA115" s="29" t="inlineStr">
        <is>
          <t>Not assessed</t>
        </is>
      </c>
      <c r="BB115" s="29" t="inlineStr">
        <is>
          <t>Not assessed</t>
        </is>
      </c>
      <c r="BC115" s="29" t="inlineStr">
        <is>
          <t>Not assessed</t>
        </is>
      </c>
      <c r="BD115" s="29" t="inlineStr">
        <is>
          <t>Not assessed</t>
        </is>
      </c>
      <c r="BE115" s="29" t="inlineStr">
        <is>
          <t>Development required</t>
        </is>
      </c>
      <c r="BF115" s="29" t="inlineStr">
        <is>
          <t>Physical implementation is not complete against the stated requirement.</t>
        </is>
      </c>
      <c r="BG115" s="29" t="inlineStr"/>
      <c r="BH115" s="29" t="inlineStr"/>
      <c r="BI115" s="29" t="inlineStr"/>
      <c r="BJ115" s="29" t="inlineStr"/>
      <c r="BK115" s="29" t="inlineStr">
        <is>
          <t>Evidence reconciled against the reviewed source revision. No production approval is inferred from implementation or file presence.</t>
        </is>
      </c>
      <c r="BL115" s="29" t="inlineStr">
        <is>
          <t>2026-08-02</t>
        </is>
      </c>
    </row>
    <row r="116" ht="42" customHeight="1">
      <c r="A116" s="29" t="inlineStr">
        <is>
          <t>BLYP-06-010</t>
        </is>
      </c>
      <c r="B116" s="29" t="inlineStr"/>
      <c r="C116" s="29" t="inlineStr">
        <is>
          <t>Homepage feeds and header</t>
        </is>
      </c>
      <c r="D116" s="29" t="n">
        <v>6</v>
      </c>
      <c r="E116" s="29" t="n">
        <v>10</v>
      </c>
      <c r="F116" s="29" t="inlineStr">
        <is>
          <t>Feature</t>
        </is>
      </c>
      <c r="G116" s="29" t="inlineStr">
        <is>
          <t>What’s Hot surface</t>
        </is>
      </c>
      <c r="H116" s="29" t="inlineStr">
        <is>
          <t>What’s Hot surface</t>
        </is>
      </c>
      <c r="I116" s="29" t="inlineStr">
        <is>
          <t>/home/ubuntu/blyp_product_requirements.md :: Section 6 — Homepage feeds and header</t>
        </is>
      </c>
      <c r="J116" s="29" t="inlineStr">
        <is>
          <t>/home/ubuntu/BLYP_COMPLETE_FEATURE_LIST.md:155</t>
        </is>
      </c>
      <c r="K116" s="29" t="inlineStr">
        <is>
          <t>Required</t>
        </is>
      </c>
      <c r="L116" s="29" t="inlineStr">
        <is>
          <t>Applicable BLYP member</t>
        </is>
      </c>
      <c r="M116" s="29" t="inlineStr">
        <is>
          <t>BLYP mobile application and supporting production services</t>
        </is>
      </c>
      <c r="N116" s="29" t="inlineStr">
        <is>
          <t>What’s Hot surface</t>
        </is>
      </c>
      <c r="O116" s="29" t="inlineStr">
        <is>
          <t>Not explicitly defined in the product source; requires accountable product approval before production sign-off.</t>
        </is>
      </c>
      <c r="P116" s="29" t="inlineStr"/>
      <c r="Q116" s="29" t="inlineStr">
        <is>
          <t>Yes</t>
        </is>
      </c>
      <c r="R116" s="29" t="inlineStr"/>
      <c r="S116" s="29" t="inlineStr">
        <is>
          <t>Not found</t>
        </is>
      </c>
      <c r="T116" s="29" t="inlineStr"/>
      <c r="U116" s="29" t="inlineStr"/>
      <c r="V116" s="29" t="inlineStr"/>
      <c r="W116" s="29" t="inlineStr"/>
      <c r="X116" s="29" t="inlineStr"/>
      <c r="Y116" s="29" t="inlineStr"/>
      <c r="Z116" s="29" t="inlineStr"/>
      <c r="AA116" s="29" t="inlineStr"/>
      <c r="AB116" s="29" t="inlineStr"/>
      <c r="AC116" s="29" t="inlineStr"/>
      <c r="AD116" s="29" t="inlineStr"/>
      <c r="AE116" s="29" t="inlineStr">
        <is>
          <t>Unknown</t>
        </is>
      </c>
      <c r="AF116" s="29" t="inlineStr"/>
      <c r="AG116" s="29" t="inlineStr">
        <is>
          <t>Unknown</t>
        </is>
      </c>
      <c r="AH116" s="29" t="inlineStr">
        <is>
          <t>Unknown</t>
        </is>
      </c>
      <c r="AI116" s="29" t="inlineStr"/>
      <c r="AJ116" s="29" t="inlineStr">
        <is>
          <t>Not verified</t>
        </is>
      </c>
      <c r="AK116" s="29" t="inlineStr"/>
      <c r="AL116" s="29" t="inlineStr"/>
      <c r="AM116" s="29" t="inlineStr"/>
      <c r="AN116" s="29" t="inlineStr"/>
      <c r="AO116" s="29" t="inlineStr">
        <is>
          <t>8bc0dcb2a1da1b21368c5536aaeef829d587f316</t>
        </is>
      </c>
      <c r="AP116" s="29" t="inlineStr">
        <is>
          <t>Low</t>
        </is>
      </c>
      <c r="AQ116" s="29" t="inlineStr">
        <is>
          <t>Not assessed</t>
        </is>
      </c>
      <c r="AR116" s="29" t="inlineStr">
        <is>
          <t>Not assessed</t>
        </is>
      </c>
      <c r="AS116" s="29" t="inlineStr">
        <is>
          <t>Not assessed</t>
        </is>
      </c>
      <c r="AT116" s="29" t="inlineStr">
        <is>
          <t>Not assessed</t>
        </is>
      </c>
      <c r="AU116" s="29" t="inlineStr">
        <is>
          <t>Not assessed</t>
        </is>
      </c>
      <c r="AV116" s="29" t="inlineStr">
        <is>
          <t>Not assessed</t>
        </is>
      </c>
      <c r="AW116" s="29" t="inlineStr">
        <is>
          <t>Not assessed</t>
        </is>
      </c>
      <c r="AX116" s="29" t="inlineStr">
        <is>
          <t>Not assessed</t>
        </is>
      </c>
      <c r="AY116" s="29" t="inlineStr">
        <is>
          <t>Not assessed</t>
        </is>
      </c>
      <c r="AZ116" s="29" t="inlineStr">
        <is>
          <t>Not assessed</t>
        </is>
      </c>
      <c r="BA116" s="29" t="inlineStr">
        <is>
          <t>Not assessed</t>
        </is>
      </c>
      <c r="BB116" s="29" t="inlineStr">
        <is>
          <t>Not assessed</t>
        </is>
      </c>
      <c r="BC116" s="29" t="inlineStr">
        <is>
          <t>Not assessed</t>
        </is>
      </c>
      <c r="BD116" s="29" t="inlineStr">
        <is>
          <t>Not assessed</t>
        </is>
      </c>
      <c r="BE116" s="29" t="inlineStr">
        <is>
          <t>Development required</t>
        </is>
      </c>
      <c r="BF116" s="29" t="inlineStr">
        <is>
          <t>Physical implementation is not complete against the stated requirement.</t>
        </is>
      </c>
      <c r="BG116" s="29" t="inlineStr"/>
      <c r="BH116" s="29" t="inlineStr"/>
      <c r="BI116" s="29" t="inlineStr"/>
      <c r="BJ116" s="29" t="inlineStr"/>
      <c r="BK116" s="29" t="inlineStr">
        <is>
          <t>Evidence reconciled against the reviewed source revision. No production approval is inferred from implementation or file presence.</t>
        </is>
      </c>
      <c r="BL116" s="29" t="inlineStr">
        <is>
          <t>2026-08-02</t>
        </is>
      </c>
    </row>
    <row r="117" ht="42" customHeight="1">
      <c r="A117" s="29" t="inlineStr">
        <is>
          <t>BLYP-06-011</t>
        </is>
      </c>
      <c r="B117" s="29" t="inlineStr"/>
      <c r="C117" s="29" t="inlineStr">
        <is>
          <t>Homepage feeds and header</t>
        </is>
      </c>
      <c r="D117" s="29" t="n">
        <v>6</v>
      </c>
      <c r="E117" s="29" t="n">
        <v>11</v>
      </c>
      <c r="F117" s="29" t="inlineStr">
        <is>
          <t>Feature</t>
        </is>
      </c>
      <c r="G117" s="29" t="inlineStr">
        <is>
          <t>Authentic Trending destination</t>
        </is>
      </c>
      <c r="H117" s="29" t="inlineStr">
        <is>
          <t>Authentic Trending destination</t>
        </is>
      </c>
      <c r="I117" s="29" t="inlineStr">
        <is>
          <t>/home/ubuntu/blyp_product_requirements.md :: Section 6 — Homepage feeds and header</t>
        </is>
      </c>
      <c r="J117" s="29" t="inlineStr">
        <is>
          <t>/home/ubuntu/BLYP_COMPLETE_FEATURE_LIST.md:156</t>
        </is>
      </c>
      <c r="K117" s="29" t="inlineStr">
        <is>
          <t>Required</t>
        </is>
      </c>
      <c r="L117" s="29" t="inlineStr">
        <is>
          <t>Applicable BLYP member</t>
        </is>
      </c>
      <c r="M117" s="29" t="inlineStr">
        <is>
          <t>BLYP mobile application and supporting production services</t>
        </is>
      </c>
      <c r="N117" s="29" t="inlineStr">
        <is>
          <t>Authentic Trending destination</t>
        </is>
      </c>
      <c r="O117" s="29" t="inlineStr">
        <is>
          <t>Not explicitly defined in the product source; requires accountable product approval before production sign-off.</t>
        </is>
      </c>
      <c r="P117" s="29" t="inlineStr"/>
      <c r="Q117" s="29" t="inlineStr">
        <is>
          <t>Partial</t>
        </is>
      </c>
      <c r="R117" s="29" t="inlineStr">
        <is>
          <t>the surface exists, but ranking is not fully authentic.</t>
        </is>
      </c>
      <c r="S117" s="29" t="inlineStr">
        <is>
          <t>Not found</t>
        </is>
      </c>
      <c r="T117" s="29" t="inlineStr"/>
      <c r="U117" s="29" t="inlineStr"/>
      <c r="V117" s="29" t="inlineStr"/>
      <c r="W117" s="29" t="inlineStr"/>
      <c r="X117" s="29" t="inlineStr"/>
      <c r="Y117" s="29" t="inlineStr"/>
      <c r="Z117" s="29" t="inlineStr"/>
      <c r="AA117" s="29" t="inlineStr"/>
      <c r="AB117" s="29" t="inlineStr"/>
      <c r="AC117" s="29" t="inlineStr"/>
      <c r="AD117" s="29" t="inlineStr"/>
      <c r="AE117" s="29" t="inlineStr">
        <is>
          <t>Unknown</t>
        </is>
      </c>
      <c r="AF117" s="29" t="inlineStr"/>
      <c r="AG117" s="29" t="inlineStr">
        <is>
          <t>Unknown</t>
        </is>
      </c>
      <c r="AH117" s="29" t="inlineStr">
        <is>
          <t>Unknown</t>
        </is>
      </c>
      <c r="AI117" s="29" t="inlineStr"/>
      <c r="AJ117" s="29" t="inlineStr">
        <is>
          <t>Not verified</t>
        </is>
      </c>
      <c r="AK117" s="29" t="inlineStr"/>
      <c r="AL117" s="29" t="inlineStr"/>
      <c r="AM117" s="29" t="inlineStr"/>
      <c r="AN117" s="29" t="inlineStr"/>
      <c r="AO117" s="29" t="inlineStr">
        <is>
          <t>8bc0dcb2a1da1b21368c5536aaeef829d587f316</t>
        </is>
      </c>
      <c r="AP117" s="29" t="inlineStr">
        <is>
          <t>Low</t>
        </is>
      </c>
      <c r="AQ117" s="29" t="inlineStr">
        <is>
          <t>Not assessed</t>
        </is>
      </c>
      <c r="AR117" s="29" t="inlineStr">
        <is>
          <t>Not assessed</t>
        </is>
      </c>
      <c r="AS117" s="29" t="inlineStr">
        <is>
          <t>Not assessed</t>
        </is>
      </c>
      <c r="AT117" s="29" t="inlineStr">
        <is>
          <t>Not assessed</t>
        </is>
      </c>
      <c r="AU117" s="29" t="inlineStr">
        <is>
          <t>Not assessed</t>
        </is>
      </c>
      <c r="AV117" s="29" t="inlineStr">
        <is>
          <t>Not assessed</t>
        </is>
      </c>
      <c r="AW117" s="29" t="inlineStr">
        <is>
          <t>Not assessed</t>
        </is>
      </c>
      <c r="AX117" s="29" t="inlineStr">
        <is>
          <t>Not assessed</t>
        </is>
      </c>
      <c r="AY117" s="29" t="inlineStr">
        <is>
          <t>Not assessed</t>
        </is>
      </c>
      <c r="AZ117" s="29" t="inlineStr">
        <is>
          <t>Not assessed</t>
        </is>
      </c>
      <c r="BA117" s="29" t="inlineStr">
        <is>
          <t>Not assessed</t>
        </is>
      </c>
      <c r="BB117" s="29" t="inlineStr">
        <is>
          <t>Not assessed</t>
        </is>
      </c>
      <c r="BC117" s="29" t="inlineStr">
        <is>
          <t>Not assessed</t>
        </is>
      </c>
      <c r="BD117" s="29" t="inlineStr">
        <is>
          <t>Not assessed</t>
        </is>
      </c>
      <c r="BE117" s="29" t="inlineStr">
        <is>
          <t>Development required</t>
        </is>
      </c>
      <c r="BF117" s="29" t="inlineStr">
        <is>
          <t>Physical implementation is not complete against the stated requirement.</t>
        </is>
      </c>
      <c r="BG117" s="29" t="inlineStr"/>
      <c r="BH117" s="29" t="inlineStr"/>
      <c r="BI117" s="29" t="inlineStr"/>
      <c r="BJ117" s="29" t="inlineStr"/>
      <c r="BK117" s="29" t="inlineStr">
        <is>
          <t>Evidence reconciled against the reviewed source revision. No production approval is inferred from implementation or file presence.</t>
        </is>
      </c>
      <c r="BL117" s="29" t="inlineStr">
        <is>
          <t>2026-08-02</t>
        </is>
      </c>
    </row>
    <row r="118" ht="42" customHeight="1">
      <c r="A118" s="29" t="inlineStr">
        <is>
          <t>BLYP-06-012</t>
        </is>
      </c>
      <c r="B118" s="29" t="inlineStr"/>
      <c r="C118" s="29" t="inlineStr">
        <is>
          <t>Homepage feeds and header</t>
        </is>
      </c>
      <c r="D118" s="29" t="n">
        <v>6</v>
      </c>
      <c r="E118" s="29" t="n">
        <v>12</v>
      </c>
      <c r="F118" s="29" t="inlineStr">
        <is>
          <t>Feature</t>
        </is>
      </c>
      <c r="G118" s="29" t="inlineStr">
        <is>
          <t>Trending posts</t>
        </is>
      </c>
      <c r="H118" s="29" t="inlineStr">
        <is>
          <t>Trending posts</t>
        </is>
      </c>
      <c r="I118" s="29" t="inlineStr">
        <is>
          <t>/home/ubuntu/blyp_product_requirements.md :: Section 6 — Homepage feeds and header</t>
        </is>
      </c>
      <c r="J118" s="29" t="inlineStr">
        <is>
          <t>/home/ubuntu/BLYP_COMPLETE_FEATURE_LIST.md:157</t>
        </is>
      </c>
      <c r="K118" s="29" t="inlineStr">
        <is>
          <t>Required</t>
        </is>
      </c>
      <c r="L118" s="29" t="inlineStr">
        <is>
          <t>Applicable BLYP member</t>
        </is>
      </c>
      <c r="M118" s="29" t="inlineStr">
        <is>
          <t>BLYP mobile application and supporting production services</t>
        </is>
      </c>
      <c r="N118" s="29" t="inlineStr">
        <is>
          <t>Trending posts</t>
        </is>
      </c>
      <c r="O118" s="29" t="inlineStr">
        <is>
          <t>Not explicitly defined in the product source; requires accountable product approval before production sign-off.</t>
        </is>
      </c>
      <c r="P118" s="29" t="inlineStr"/>
      <c r="Q118" s="29" t="inlineStr">
        <is>
          <t>Partial</t>
        </is>
      </c>
      <c r="R118" s="29" t="inlineStr"/>
      <c r="S118" s="29" t="inlineStr">
        <is>
          <t>Not found</t>
        </is>
      </c>
      <c r="T118" s="29" t="inlineStr"/>
      <c r="U118" s="29" t="inlineStr"/>
      <c r="V118" s="29" t="inlineStr"/>
      <c r="W118" s="29" t="inlineStr"/>
      <c r="X118" s="29" t="inlineStr"/>
      <c r="Y118" s="29" t="inlineStr"/>
      <c r="Z118" s="29" t="inlineStr"/>
      <c r="AA118" s="29" t="inlineStr"/>
      <c r="AB118" s="29" t="inlineStr"/>
      <c r="AC118" s="29" t="inlineStr"/>
      <c r="AD118" s="29" t="inlineStr"/>
      <c r="AE118" s="29" t="inlineStr">
        <is>
          <t>Unknown</t>
        </is>
      </c>
      <c r="AF118" s="29" t="inlineStr"/>
      <c r="AG118" s="29" t="inlineStr">
        <is>
          <t>Unknown</t>
        </is>
      </c>
      <c r="AH118" s="29" t="inlineStr">
        <is>
          <t>Unknown</t>
        </is>
      </c>
      <c r="AI118" s="29" t="inlineStr"/>
      <c r="AJ118" s="29" t="inlineStr">
        <is>
          <t>Not verified</t>
        </is>
      </c>
      <c r="AK118" s="29" t="inlineStr"/>
      <c r="AL118" s="29" t="inlineStr"/>
      <c r="AM118" s="29" t="inlineStr"/>
      <c r="AN118" s="29" t="inlineStr"/>
      <c r="AO118" s="29" t="inlineStr">
        <is>
          <t>8bc0dcb2a1da1b21368c5536aaeef829d587f316</t>
        </is>
      </c>
      <c r="AP118" s="29" t="inlineStr">
        <is>
          <t>Low</t>
        </is>
      </c>
      <c r="AQ118" s="29" t="inlineStr">
        <is>
          <t>Not assessed</t>
        </is>
      </c>
      <c r="AR118" s="29" t="inlineStr">
        <is>
          <t>Not assessed</t>
        </is>
      </c>
      <c r="AS118" s="29" t="inlineStr">
        <is>
          <t>Not assessed</t>
        </is>
      </c>
      <c r="AT118" s="29" t="inlineStr">
        <is>
          <t>Not assessed</t>
        </is>
      </c>
      <c r="AU118" s="29" t="inlineStr">
        <is>
          <t>Not assessed</t>
        </is>
      </c>
      <c r="AV118" s="29" t="inlineStr">
        <is>
          <t>Not assessed</t>
        </is>
      </c>
      <c r="AW118" s="29" t="inlineStr">
        <is>
          <t>Not assessed</t>
        </is>
      </c>
      <c r="AX118" s="29" t="inlineStr">
        <is>
          <t>Not assessed</t>
        </is>
      </c>
      <c r="AY118" s="29" t="inlineStr">
        <is>
          <t>Not assessed</t>
        </is>
      </c>
      <c r="AZ118" s="29" t="inlineStr">
        <is>
          <t>Not assessed</t>
        </is>
      </c>
      <c r="BA118" s="29" t="inlineStr">
        <is>
          <t>Not assessed</t>
        </is>
      </c>
      <c r="BB118" s="29" t="inlineStr">
        <is>
          <t>Not assessed</t>
        </is>
      </c>
      <c r="BC118" s="29" t="inlineStr">
        <is>
          <t>Not assessed</t>
        </is>
      </c>
      <c r="BD118" s="29" t="inlineStr">
        <is>
          <t>Not assessed</t>
        </is>
      </c>
      <c r="BE118" s="29" t="inlineStr">
        <is>
          <t>Development required</t>
        </is>
      </c>
      <c r="BF118" s="29" t="inlineStr">
        <is>
          <t>Physical implementation is not complete against the stated requirement.</t>
        </is>
      </c>
      <c r="BG118" s="29" t="inlineStr"/>
      <c r="BH118" s="29" t="inlineStr"/>
      <c r="BI118" s="29" t="inlineStr"/>
      <c r="BJ118" s="29" t="inlineStr"/>
      <c r="BK118" s="29" t="inlineStr">
        <is>
          <t>Evidence reconciled against the reviewed source revision. No production approval is inferred from implementation or file presence.</t>
        </is>
      </c>
      <c r="BL118" s="29" t="inlineStr">
        <is>
          <t>2026-08-02</t>
        </is>
      </c>
    </row>
    <row r="119" ht="42" customHeight="1">
      <c r="A119" s="29" t="inlineStr">
        <is>
          <t>BLYP-06-013</t>
        </is>
      </c>
      <c r="B119" s="29" t="inlineStr"/>
      <c r="C119" s="29" t="inlineStr">
        <is>
          <t>Homepage feeds and header</t>
        </is>
      </c>
      <c r="D119" s="29" t="n">
        <v>6</v>
      </c>
      <c r="E119" s="29" t="n">
        <v>13</v>
      </c>
      <c r="F119" s="29" t="inlineStr">
        <is>
          <t>Feature</t>
        </is>
      </c>
      <c r="G119" s="29" t="inlineStr">
        <is>
          <t>Trending creators</t>
        </is>
      </c>
      <c r="H119" s="29" t="inlineStr">
        <is>
          <t>Trending creators</t>
        </is>
      </c>
      <c r="I119" s="29" t="inlineStr">
        <is>
          <t>/home/ubuntu/blyp_product_requirements.md :: Section 6 — Homepage feeds and header</t>
        </is>
      </c>
      <c r="J119" s="29" t="inlineStr">
        <is>
          <t>/home/ubuntu/BLYP_COMPLETE_FEATURE_LIST.md:158</t>
        </is>
      </c>
      <c r="K119" s="29" t="inlineStr">
        <is>
          <t>Required</t>
        </is>
      </c>
      <c r="L119" s="29" t="inlineStr">
        <is>
          <t>Authenticated creator or host</t>
        </is>
      </c>
      <c r="M119" s="29" t="inlineStr">
        <is>
          <t>BLYP mobile application and supporting production services</t>
        </is>
      </c>
      <c r="N119" s="29" t="inlineStr">
        <is>
          <t>Trending creators</t>
        </is>
      </c>
      <c r="O119" s="29" t="inlineStr">
        <is>
          <t>Not explicitly defined in the product source; requires accountable product approval before production sign-off.</t>
        </is>
      </c>
      <c r="P119" s="29" t="inlineStr"/>
      <c r="Q119" s="29" t="inlineStr">
        <is>
          <t>Partial</t>
        </is>
      </c>
      <c r="R119" s="29" t="inlineStr"/>
      <c r="S119" s="29" t="inlineStr">
        <is>
          <t>Not found</t>
        </is>
      </c>
      <c r="T119" s="29" t="inlineStr"/>
      <c r="U119" s="29" t="inlineStr"/>
      <c r="V119" s="29" t="inlineStr"/>
      <c r="W119" s="29" t="inlineStr"/>
      <c r="X119" s="29" t="inlineStr"/>
      <c r="Y119" s="29" t="inlineStr"/>
      <c r="Z119" s="29" t="inlineStr"/>
      <c r="AA119" s="29" t="inlineStr"/>
      <c r="AB119" s="29" t="inlineStr"/>
      <c r="AC119" s="29" t="inlineStr"/>
      <c r="AD119" s="29" t="inlineStr"/>
      <c r="AE119" s="29" t="inlineStr">
        <is>
          <t>Unknown</t>
        </is>
      </c>
      <c r="AF119" s="29" t="inlineStr"/>
      <c r="AG119" s="29" t="inlineStr">
        <is>
          <t>Unknown</t>
        </is>
      </c>
      <c r="AH119" s="29" t="inlineStr">
        <is>
          <t>Unknown</t>
        </is>
      </c>
      <c r="AI119" s="29" t="inlineStr"/>
      <c r="AJ119" s="29" t="inlineStr">
        <is>
          <t>Not verified</t>
        </is>
      </c>
      <c r="AK119" s="29" t="inlineStr"/>
      <c r="AL119" s="29" t="inlineStr"/>
      <c r="AM119" s="29" t="inlineStr"/>
      <c r="AN119" s="29" t="inlineStr"/>
      <c r="AO119" s="29" t="inlineStr">
        <is>
          <t>8bc0dcb2a1da1b21368c5536aaeef829d587f316</t>
        </is>
      </c>
      <c r="AP119" s="29" t="inlineStr">
        <is>
          <t>Low</t>
        </is>
      </c>
      <c r="AQ119" s="29" t="inlineStr">
        <is>
          <t>Not assessed</t>
        </is>
      </c>
      <c r="AR119" s="29" t="inlineStr">
        <is>
          <t>Not assessed</t>
        </is>
      </c>
      <c r="AS119" s="29" t="inlineStr">
        <is>
          <t>Not assessed</t>
        </is>
      </c>
      <c r="AT119" s="29" t="inlineStr">
        <is>
          <t>Not assessed</t>
        </is>
      </c>
      <c r="AU119" s="29" t="inlineStr">
        <is>
          <t>Not assessed</t>
        </is>
      </c>
      <c r="AV119" s="29" t="inlineStr">
        <is>
          <t>Not assessed</t>
        </is>
      </c>
      <c r="AW119" s="29" t="inlineStr">
        <is>
          <t>Not assessed</t>
        </is>
      </c>
      <c r="AX119" s="29" t="inlineStr">
        <is>
          <t>Not assessed</t>
        </is>
      </c>
      <c r="AY119" s="29" t="inlineStr">
        <is>
          <t>Not assessed</t>
        </is>
      </c>
      <c r="AZ119" s="29" t="inlineStr">
        <is>
          <t>Not assessed</t>
        </is>
      </c>
      <c r="BA119" s="29" t="inlineStr">
        <is>
          <t>Not assessed</t>
        </is>
      </c>
      <c r="BB119" s="29" t="inlineStr">
        <is>
          <t>Not assessed</t>
        </is>
      </c>
      <c r="BC119" s="29" t="inlineStr">
        <is>
          <t>Not assessed</t>
        </is>
      </c>
      <c r="BD119" s="29" t="inlineStr">
        <is>
          <t>Not assessed</t>
        </is>
      </c>
      <c r="BE119" s="29" t="inlineStr">
        <is>
          <t>Development required</t>
        </is>
      </c>
      <c r="BF119" s="29" t="inlineStr">
        <is>
          <t>Physical implementation is not complete against the stated requirement.</t>
        </is>
      </c>
      <c r="BG119" s="29" t="inlineStr"/>
      <c r="BH119" s="29" t="inlineStr"/>
      <c r="BI119" s="29" t="inlineStr"/>
      <c r="BJ119" s="29" t="inlineStr"/>
      <c r="BK119" s="29" t="inlineStr">
        <is>
          <t>Evidence reconciled against the reviewed source revision. No production approval is inferred from implementation or file presence.</t>
        </is>
      </c>
      <c r="BL119" s="29" t="inlineStr">
        <is>
          <t>2026-08-02</t>
        </is>
      </c>
    </row>
    <row r="120" ht="42" customHeight="1">
      <c r="A120" s="29" t="inlineStr">
        <is>
          <t>BLYP-06-014</t>
        </is>
      </c>
      <c r="B120" s="29" t="inlineStr"/>
      <c r="C120" s="29" t="inlineStr">
        <is>
          <t>Homepage feeds and header</t>
        </is>
      </c>
      <c r="D120" s="29" t="n">
        <v>6</v>
      </c>
      <c r="E120" s="29" t="n">
        <v>14</v>
      </c>
      <c r="F120" s="29" t="inlineStr">
        <is>
          <t>Feature</t>
        </is>
      </c>
      <c r="G120" s="29" t="inlineStr">
        <is>
          <t>Trending rooms</t>
        </is>
      </c>
      <c r="H120" s="29" t="inlineStr">
        <is>
          <t>Trending rooms</t>
        </is>
      </c>
      <c r="I120" s="29" t="inlineStr">
        <is>
          <t>/home/ubuntu/blyp_product_requirements.md :: Section 6 — Homepage feeds and header</t>
        </is>
      </c>
      <c r="J120" s="29" t="inlineStr">
        <is>
          <t>/home/ubuntu/BLYP_COMPLETE_FEATURE_LIST.md:159</t>
        </is>
      </c>
      <c r="K120" s="29" t="inlineStr">
        <is>
          <t>Required</t>
        </is>
      </c>
      <c r="L120" s="29" t="inlineStr">
        <is>
          <t>Applicable BLYP member</t>
        </is>
      </c>
      <c r="M120" s="29" t="inlineStr">
        <is>
          <t>BLYP mobile application and supporting production services</t>
        </is>
      </c>
      <c r="N120" s="29" t="inlineStr">
        <is>
          <t>Trending rooms</t>
        </is>
      </c>
      <c r="O120" s="29" t="inlineStr">
        <is>
          <t>Not explicitly defined in the product source; requires accountable product approval before production sign-off.</t>
        </is>
      </c>
      <c r="P120" s="29" t="inlineStr"/>
      <c r="Q120" s="29" t="inlineStr">
        <is>
          <t>No evidence</t>
        </is>
      </c>
      <c r="R120" s="29" t="inlineStr"/>
      <c r="S120" s="29" t="inlineStr">
        <is>
          <t>Not found</t>
        </is>
      </c>
      <c r="T120" s="29" t="inlineStr"/>
      <c r="U120" s="29" t="inlineStr"/>
      <c r="V120" s="29" t="inlineStr"/>
      <c r="W120" s="29" t="inlineStr"/>
      <c r="X120" s="29" t="inlineStr"/>
      <c r="Y120" s="29" t="inlineStr"/>
      <c r="Z120" s="29" t="inlineStr"/>
      <c r="AA120" s="29" t="inlineStr"/>
      <c r="AB120" s="29" t="inlineStr"/>
      <c r="AC120" s="29" t="inlineStr"/>
      <c r="AD120" s="29" t="inlineStr"/>
      <c r="AE120" s="29" t="inlineStr">
        <is>
          <t>Unknown</t>
        </is>
      </c>
      <c r="AF120" s="29" t="inlineStr"/>
      <c r="AG120" s="29" t="inlineStr">
        <is>
          <t>Unknown</t>
        </is>
      </c>
      <c r="AH120" s="29" t="inlineStr">
        <is>
          <t>Unknown</t>
        </is>
      </c>
      <c r="AI120" s="29" t="inlineStr"/>
      <c r="AJ120" s="29" t="inlineStr">
        <is>
          <t>Not verified</t>
        </is>
      </c>
      <c r="AK120" s="29" t="inlineStr"/>
      <c r="AL120" s="29" t="inlineStr"/>
      <c r="AM120" s="29" t="inlineStr"/>
      <c r="AN120" s="29" t="inlineStr"/>
      <c r="AO120" s="29" t="inlineStr">
        <is>
          <t>8bc0dcb2a1da1b21368c5536aaeef829d587f316</t>
        </is>
      </c>
      <c r="AP120" s="29" t="inlineStr">
        <is>
          <t>Low</t>
        </is>
      </c>
      <c r="AQ120" s="29" t="inlineStr">
        <is>
          <t>Not assessed</t>
        </is>
      </c>
      <c r="AR120" s="29" t="inlineStr">
        <is>
          <t>Not assessed</t>
        </is>
      </c>
      <c r="AS120" s="29" t="inlineStr">
        <is>
          <t>Not assessed</t>
        </is>
      </c>
      <c r="AT120" s="29" t="inlineStr">
        <is>
          <t>Not assessed</t>
        </is>
      </c>
      <c r="AU120" s="29" t="inlineStr">
        <is>
          <t>Not assessed</t>
        </is>
      </c>
      <c r="AV120" s="29" t="inlineStr">
        <is>
          <t>Not assessed</t>
        </is>
      </c>
      <c r="AW120" s="29" t="inlineStr">
        <is>
          <t>Not assessed</t>
        </is>
      </c>
      <c r="AX120" s="29" t="inlineStr">
        <is>
          <t>Not assessed</t>
        </is>
      </c>
      <c r="AY120" s="29" t="inlineStr">
        <is>
          <t>Not assessed</t>
        </is>
      </c>
      <c r="AZ120" s="29" t="inlineStr">
        <is>
          <t>Not assessed</t>
        </is>
      </c>
      <c r="BA120" s="29" t="inlineStr">
        <is>
          <t>Not assessed</t>
        </is>
      </c>
      <c r="BB120" s="29" t="inlineStr">
        <is>
          <t>Not assessed</t>
        </is>
      </c>
      <c r="BC120" s="29" t="inlineStr">
        <is>
          <t>Not assessed</t>
        </is>
      </c>
      <c r="BD120" s="29" t="inlineStr">
        <is>
          <t>Not assessed</t>
        </is>
      </c>
      <c r="BE120" s="29" t="inlineStr">
        <is>
          <t>Development required</t>
        </is>
      </c>
      <c r="BF120" s="29" t="inlineStr">
        <is>
          <t>Physical implementation is not complete against the stated requirement.</t>
        </is>
      </c>
      <c r="BG120" s="29" t="inlineStr"/>
      <c r="BH120" s="29" t="inlineStr"/>
      <c r="BI120" s="29" t="inlineStr"/>
      <c r="BJ120" s="29" t="inlineStr"/>
      <c r="BK120" s="29" t="inlineStr">
        <is>
          <t>Evidence reconciled against the reviewed source revision. No production approval is inferred from implementation or file presence.</t>
        </is>
      </c>
      <c r="BL120" s="29" t="inlineStr">
        <is>
          <t>2026-08-02</t>
        </is>
      </c>
    </row>
    <row r="121" ht="42" customHeight="1">
      <c r="A121" s="29" t="inlineStr">
        <is>
          <t>BLYP-06-015</t>
        </is>
      </c>
      <c r="B121" s="29" t="inlineStr"/>
      <c r="C121" s="29" t="inlineStr">
        <is>
          <t>Homepage feeds and header</t>
        </is>
      </c>
      <c r="D121" s="29" t="n">
        <v>6</v>
      </c>
      <c r="E121" s="29" t="n">
        <v>15</v>
      </c>
      <c r="F121" s="29" t="inlineStr">
        <is>
          <t>Feature</t>
        </is>
      </c>
      <c r="G121" s="29" t="inlineStr">
        <is>
          <t>Trending topics</t>
        </is>
      </c>
      <c r="H121" s="29" t="inlineStr">
        <is>
          <t>Trending topics</t>
        </is>
      </c>
      <c r="I121" s="29" t="inlineStr">
        <is>
          <t>/home/ubuntu/blyp_product_requirements.md :: Section 6 — Homepage feeds and header</t>
        </is>
      </c>
      <c r="J121" s="29" t="inlineStr">
        <is>
          <t>/home/ubuntu/BLYP_COMPLETE_FEATURE_LIST.md:160</t>
        </is>
      </c>
      <c r="K121" s="29" t="inlineStr">
        <is>
          <t>Required</t>
        </is>
      </c>
      <c r="L121" s="29" t="inlineStr">
        <is>
          <t>Applicable BLYP member</t>
        </is>
      </c>
      <c r="M121" s="29" t="inlineStr">
        <is>
          <t>BLYP mobile application and supporting production services</t>
        </is>
      </c>
      <c r="N121" s="29" t="inlineStr">
        <is>
          <t>Trending topics</t>
        </is>
      </c>
      <c r="O121" s="29" t="inlineStr">
        <is>
          <t>Not explicitly defined in the product source; requires accountable product approval before production sign-off.</t>
        </is>
      </c>
      <c r="P121" s="29" t="inlineStr"/>
      <c r="Q121" s="29" t="inlineStr">
        <is>
          <t>Partial</t>
        </is>
      </c>
      <c r="R121" s="29" t="inlineStr"/>
      <c r="S121" s="29" t="inlineStr">
        <is>
          <t>Not found</t>
        </is>
      </c>
      <c r="T121" s="29" t="inlineStr"/>
      <c r="U121" s="29" t="inlineStr"/>
      <c r="V121" s="29" t="inlineStr"/>
      <c r="W121" s="29" t="inlineStr"/>
      <c r="X121" s="29" t="inlineStr"/>
      <c r="Y121" s="29" t="inlineStr"/>
      <c r="Z121" s="29" t="inlineStr"/>
      <c r="AA121" s="29" t="inlineStr"/>
      <c r="AB121" s="29" t="inlineStr"/>
      <c r="AC121" s="29" t="inlineStr"/>
      <c r="AD121" s="29" t="inlineStr"/>
      <c r="AE121" s="29" t="inlineStr">
        <is>
          <t>Unknown</t>
        </is>
      </c>
      <c r="AF121" s="29" t="inlineStr"/>
      <c r="AG121" s="29" t="inlineStr">
        <is>
          <t>Unknown</t>
        </is>
      </c>
      <c r="AH121" s="29" t="inlineStr">
        <is>
          <t>Unknown</t>
        </is>
      </c>
      <c r="AI121" s="29" t="inlineStr"/>
      <c r="AJ121" s="29" t="inlineStr">
        <is>
          <t>Not verified</t>
        </is>
      </c>
      <c r="AK121" s="29" t="inlineStr"/>
      <c r="AL121" s="29" t="inlineStr"/>
      <c r="AM121" s="29" t="inlineStr"/>
      <c r="AN121" s="29" t="inlineStr"/>
      <c r="AO121" s="29" t="inlineStr">
        <is>
          <t>8bc0dcb2a1da1b21368c5536aaeef829d587f316</t>
        </is>
      </c>
      <c r="AP121" s="29" t="inlineStr">
        <is>
          <t>Low</t>
        </is>
      </c>
      <c r="AQ121" s="29" t="inlineStr">
        <is>
          <t>Not assessed</t>
        </is>
      </c>
      <c r="AR121" s="29" t="inlineStr">
        <is>
          <t>Not assessed</t>
        </is>
      </c>
      <c r="AS121" s="29" t="inlineStr">
        <is>
          <t>Not assessed</t>
        </is>
      </c>
      <c r="AT121" s="29" t="inlineStr">
        <is>
          <t>Not assessed</t>
        </is>
      </c>
      <c r="AU121" s="29" t="inlineStr">
        <is>
          <t>Not assessed</t>
        </is>
      </c>
      <c r="AV121" s="29" t="inlineStr">
        <is>
          <t>Not assessed</t>
        </is>
      </c>
      <c r="AW121" s="29" t="inlineStr">
        <is>
          <t>Not assessed</t>
        </is>
      </c>
      <c r="AX121" s="29" t="inlineStr">
        <is>
          <t>Not assessed</t>
        </is>
      </c>
      <c r="AY121" s="29" t="inlineStr">
        <is>
          <t>Not assessed</t>
        </is>
      </c>
      <c r="AZ121" s="29" t="inlineStr">
        <is>
          <t>Not assessed</t>
        </is>
      </c>
      <c r="BA121" s="29" t="inlineStr">
        <is>
          <t>Not assessed</t>
        </is>
      </c>
      <c r="BB121" s="29" t="inlineStr">
        <is>
          <t>Not assessed</t>
        </is>
      </c>
      <c r="BC121" s="29" t="inlineStr">
        <is>
          <t>Not assessed</t>
        </is>
      </c>
      <c r="BD121" s="29" t="inlineStr">
        <is>
          <t>Not assessed</t>
        </is>
      </c>
      <c r="BE121" s="29" t="inlineStr">
        <is>
          <t>Development required</t>
        </is>
      </c>
      <c r="BF121" s="29" t="inlineStr">
        <is>
          <t>Physical implementation is not complete against the stated requirement.</t>
        </is>
      </c>
      <c r="BG121" s="29" t="inlineStr"/>
      <c r="BH121" s="29" t="inlineStr"/>
      <c r="BI121" s="29" t="inlineStr"/>
      <c r="BJ121" s="29" t="inlineStr"/>
      <c r="BK121" s="29" t="inlineStr">
        <is>
          <t>Evidence reconciled against the reviewed source revision. No production approval is inferred from implementation or file presence.</t>
        </is>
      </c>
      <c r="BL121" s="29" t="inlineStr">
        <is>
          <t>2026-08-02</t>
        </is>
      </c>
    </row>
    <row r="122" ht="42" customHeight="1">
      <c r="A122" s="29" t="inlineStr">
        <is>
          <t>BLYP-06-016</t>
        </is>
      </c>
      <c r="B122" s="29" t="inlineStr"/>
      <c r="C122" s="29" t="inlineStr">
        <is>
          <t>Homepage feeds and header</t>
        </is>
      </c>
      <c r="D122" s="29" t="n">
        <v>6</v>
      </c>
      <c r="E122" s="29" t="n">
        <v>16</v>
      </c>
      <c r="F122" s="29" t="inlineStr">
        <is>
          <t>Feature</t>
        </is>
      </c>
      <c r="G122" s="29" t="inlineStr">
        <is>
          <t>Trending hashtags</t>
        </is>
      </c>
      <c r="H122" s="29" t="inlineStr">
        <is>
          <t>Trending hashtags</t>
        </is>
      </c>
      <c r="I122" s="29" t="inlineStr">
        <is>
          <t>/home/ubuntu/blyp_product_requirements.md :: Section 6 — Homepage feeds and header</t>
        </is>
      </c>
      <c r="J122" s="29" t="inlineStr">
        <is>
          <t>/home/ubuntu/BLYP_COMPLETE_FEATURE_LIST.md:161</t>
        </is>
      </c>
      <c r="K122" s="29" t="inlineStr">
        <is>
          <t>Required</t>
        </is>
      </c>
      <c r="L122" s="29" t="inlineStr">
        <is>
          <t>Applicable BLYP member</t>
        </is>
      </c>
      <c r="M122" s="29" t="inlineStr">
        <is>
          <t>BLYP mobile application and supporting production services</t>
        </is>
      </c>
      <c r="N122" s="29" t="inlineStr">
        <is>
          <t>Trending hashtags</t>
        </is>
      </c>
      <c r="O122" s="29" t="inlineStr">
        <is>
          <t>Not explicitly defined in the product source; requires accountable product approval before production sign-off.</t>
        </is>
      </c>
      <c r="P122" s="29" t="inlineStr"/>
      <c r="Q122" s="29" t="inlineStr">
        <is>
          <t>Yes</t>
        </is>
      </c>
      <c r="R122" s="29" t="inlineStr"/>
      <c r="S122" s="29" t="inlineStr">
        <is>
          <t>Partial</t>
        </is>
      </c>
      <c r="T122" s="29" t="inlineStr"/>
      <c r="U122" s="29" t="inlineStr">
        <is>
          <t>SearchScreen</t>
        </is>
      </c>
      <c r="V122" s="29" t="inlineStr"/>
      <c r="W122" s="29" t="inlineStr"/>
      <c r="X122" s="29" t="inlineStr"/>
      <c r="Y122" s="29" t="inlineStr"/>
      <c r="Z122" s="29" t="inlineStr"/>
      <c r="AA122" s="29" t="inlineStr"/>
      <c r="AB122" s="29" t="inlineStr"/>
      <c r="AC122" s="29" t="inlineStr"/>
      <c r="AD122" s="29" t="inlineStr"/>
      <c r="AE122" s="29" t="inlineStr">
        <is>
          <t>User reachable</t>
        </is>
      </c>
      <c r="AF122" s="29" t="inlineStr"/>
      <c r="AG122" s="29" t="inlineStr">
        <is>
          <t>Incomplete</t>
        </is>
      </c>
      <c r="AH122" s="29" t="inlineStr">
        <is>
          <t>No</t>
        </is>
      </c>
      <c r="AI122" s="29" t="inlineStr"/>
      <c r="AJ122" s="29" t="inlineStr">
        <is>
          <t>Source traced</t>
        </is>
      </c>
      <c r="AK122" s="29" t="inlineStr">
        <is>
          <t>EV-06-0003</t>
        </is>
      </c>
      <c r="AL122" s="29" t="inlineStr"/>
      <c r="AM122" s="29" t="inlineStr"/>
      <c r="AN122" s="29" t="inlineStr"/>
      <c r="AO122" s="29" t="inlineStr">
        <is>
          <t>8bc0dcb2a1da1b21368c5536aaeef829d587f316</t>
        </is>
      </c>
      <c r="AP122" s="29" t="inlineStr">
        <is>
          <t>Medium</t>
        </is>
      </c>
      <c r="AQ122" s="29" t="inlineStr">
        <is>
          <t>Not assessed</t>
        </is>
      </c>
      <c r="AR122" s="29" t="inlineStr">
        <is>
          <t>Not assessed</t>
        </is>
      </c>
      <c r="AS122" s="29" t="inlineStr">
        <is>
          <t>Fail</t>
        </is>
      </c>
      <c r="AT122" s="29" t="inlineStr">
        <is>
          <t>Not assessed</t>
        </is>
      </c>
      <c r="AU122" s="29" t="inlineStr">
        <is>
          <t>Not assessed</t>
        </is>
      </c>
      <c r="AV122" s="29" t="inlineStr">
        <is>
          <t>Not assessed</t>
        </is>
      </c>
      <c r="AW122" s="29" t="inlineStr">
        <is>
          <t>Not assessed</t>
        </is>
      </c>
      <c r="AX122" s="29" t="inlineStr">
        <is>
          <t>Not assessed</t>
        </is>
      </c>
      <c r="AY122" s="29" t="inlineStr">
        <is>
          <t>Not assessed</t>
        </is>
      </c>
      <c r="AZ122" s="29" t="inlineStr">
        <is>
          <t>Not assessed</t>
        </is>
      </c>
      <c r="BA122" s="29" t="inlineStr">
        <is>
          <t>Not assessed</t>
        </is>
      </c>
      <c r="BB122" s="29" t="inlineStr">
        <is>
          <t>Not assessed</t>
        </is>
      </c>
      <c r="BC122" s="29" t="inlineStr">
        <is>
          <t>Not assessed</t>
        </is>
      </c>
      <c r="BD122" s="29" t="inlineStr">
        <is>
          <t>Not assessed</t>
        </is>
      </c>
      <c r="BE122" s="29" t="inlineStr">
        <is>
          <t>Development required</t>
        </is>
      </c>
      <c r="BF122" s="29" t="inlineStr">
        <is>
          <t>Physical implementation is not complete against the stated requirement.</t>
        </is>
      </c>
      <c r="BG122" s="29" t="inlineStr"/>
      <c r="BH122" s="29" t="inlineStr"/>
      <c r="BI122" s="29" t="inlineStr"/>
      <c r="BJ122" s="29" t="inlineStr"/>
      <c r="BK122" s="29" t="inlineStr">
        <is>
          <t>Evidence reconciled against the reviewed source revision. No production approval is inferred from implementation or file presence.</t>
        </is>
      </c>
      <c r="BL122" s="29" t="inlineStr">
        <is>
          <t>2026-08-02</t>
        </is>
      </c>
    </row>
    <row r="123" ht="42" customHeight="1">
      <c r="A123" s="29" t="inlineStr">
        <is>
          <t>BLYP-06-017</t>
        </is>
      </c>
      <c r="B123" s="29" t="inlineStr"/>
      <c r="C123" s="29" t="inlineStr">
        <is>
          <t>Homepage feeds and header</t>
        </is>
      </c>
      <c r="D123" s="29" t="n">
        <v>6</v>
      </c>
      <c r="E123" s="29" t="n">
        <v>17</v>
      </c>
      <c r="F123" s="29" t="inlineStr">
        <is>
          <t>Feature</t>
        </is>
      </c>
      <c r="G123" s="29" t="inlineStr">
        <is>
          <t>Categories tab</t>
        </is>
      </c>
      <c r="H123" s="29" t="inlineStr">
        <is>
          <t>Categories tab</t>
        </is>
      </c>
      <c r="I123" s="29" t="inlineStr">
        <is>
          <t>/home/ubuntu/blyp_product_requirements.md :: Section 6 — Homepage feeds and header</t>
        </is>
      </c>
      <c r="J123" s="29" t="inlineStr">
        <is>
          <t>/home/ubuntu/BLYP_COMPLETE_FEATURE_LIST.md:162</t>
        </is>
      </c>
      <c r="K123" s="29" t="inlineStr">
        <is>
          <t>Required</t>
        </is>
      </c>
      <c r="L123" s="29" t="inlineStr">
        <is>
          <t>Applicable BLYP member</t>
        </is>
      </c>
      <c r="M123" s="29" t="inlineStr">
        <is>
          <t>BLYP mobile application and supporting production services</t>
        </is>
      </c>
      <c r="N123" s="29" t="inlineStr">
        <is>
          <t>Categories tab</t>
        </is>
      </c>
      <c r="O123" s="29" t="inlineStr">
        <is>
          <t>Not explicitly defined in the product source; requires accountable product approval before production sign-off.</t>
        </is>
      </c>
      <c r="P123" s="29" t="inlineStr"/>
      <c r="Q123" s="29" t="inlineStr">
        <is>
          <t>Yes</t>
        </is>
      </c>
      <c r="R123" s="29" t="inlineStr"/>
      <c r="S123" s="29" t="inlineStr">
        <is>
          <t>Partial</t>
        </is>
      </c>
      <c r="T123" s="29" t="inlineStr"/>
      <c r="U123" s="29" t="inlineStr">
        <is>
          <t>HomeScreen tabs</t>
        </is>
      </c>
      <c r="V123" s="29" t="inlineStr"/>
      <c r="W123" s="29" t="inlineStr"/>
      <c r="X123" s="29" t="inlineStr"/>
      <c r="Y123" s="29" t="inlineStr"/>
      <c r="Z123" s="29" t="inlineStr"/>
      <c r="AA123" s="29" t="inlineStr"/>
      <c r="AB123" s="29" t="inlineStr"/>
      <c r="AC123" s="29" t="inlineStr"/>
      <c r="AD123" s="29" t="inlineStr"/>
      <c r="AE123" s="29" t="inlineStr">
        <is>
          <t>User reachable</t>
        </is>
      </c>
      <c r="AF123" s="29" t="inlineStr"/>
      <c r="AG123" s="29" t="inlineStr">
        <is>
          <t>Incomplete</t>
        </is>
      </c>
      <c r="AH123" s="29" t="inlineStr">
        <is>
          <t>No</t>
        </is>
      </c>
      <c r="AI123" s="29" t="inlineStr"/>
      <c r="AJ123" s="29" t="inlineStr">
        <is>
          <t>Source traced</t>
        </is>
      </c>
      <c r="AK123" s="29" t="inlineStr">
        <is>
          <t>EV-06-0004</t>
        </is>
      </c>
      <c r="AL123" s="29" t="inlineStr"/>
      <c r="AM123" s="29" t="inlineStr"/>
      <c r="AN123" s="29" t="inlineStr"/>
      <c r="AO123" s="29" t="inlineStr">
        <is>
          <t>8bc0dcb2a1da1b21368c5536aaeef829d587f316</t>
        </is>
      </c>
      <c r="AP123" s="29" t="inlineStr">
        <is>
          <t>Medium</t>
        </is>
      </c>
      <c r="AQ123" s="29" t="inlineStr">
        <is>
          <t>Not assessed</t>
        </is>
      </c>
      <c r="AR123" s="29" t="inlineStr">
        <is>
          <t>Not assessed</t>
        </is>
      </c>
      <c r="AS123" s="29" t="inlineStr">
        <is>
          <t>Fail</t>
        </is>
      </c>
      <c r="AT123" s="29" t="inlineStr">
        <is>
          <t>Not assessed</t>
        </is>
      </c>
      <c r="AU123" s="29" t="inlineStr">
        <is>
          <t>Not assessed</t>
        </is>
      </c>
      <c r="AV123" s="29" t="inlineStr">
        <is>
          <t>Not assessed</t>
        </is>
      </c>
      <c r="AW123" s="29" t="inlineStr">
        <is>
          <t>Not assessed</t>
        </is>
      </c>
      <c r="AX123" s="29" t="inlineStr">
        <is>
          <t>Not assessed</t>
        </is>
      </c>
      <c r="AY123" s="29" t="inlineStr">
        <is>
          <t>Not assessed</t>
        </is>
      </c>
      <c r="AZ123" s="29" t="inlineStr">
        <is>
          <t>Not assessed</t>
        </is>
      </c>
      <c r="BA123" s="29" t="inlineStr">
        <is>
          <t>Not assessed</t>
        </is>
      </c>
      <c r="BB123" s="29" t="inlineStr">
        <is>
          <t>Not assessed</t>
        </is>
      </c>
      <c r="BC123" s="29" t="inlineStr">
        <is>
          <t>Not assessed</t>
        </is>
      </c>
      <c r="BD123" s="29" t="inlineStr">
        <is>
          <t>Not assessed</t>
        </is>
      </c>
      <c r="BE123" s="29" t="inlineStr">
        <is>
          <t>Development required</t>
        </is>
      </c>
      <c r="BF123" s="29" t="inlineStr">
        <is>
          <t>Physical implementation is not complete against the stated requirement.</t>
        </is>
      </c>
      <c r="BG123" s="29" t="inlineStr"/>
      <c r="BH123" s="29" t="inlineStr"/>
      <c r="BI123" s="29" t="inlineStr"/>
      <c r="BJ123" s="29" t="inlineStr"/>
      <c r="BK123" s="29" t="inlineStr">
        <is>
          <t>Evidence reconciled against the reviewed source revision. No production approval is inferred from implementation or file presence.</t>
        </is>
      </c>
      <c r="BL123" s="29" t="inlineStr">
        <is>
          <t>2026-08-02</t>
        </is>
      </c>
    </row>
    <row r="124" ht="42" customHeight="1">
      <c r="A124" s="29" t="inlineStr">
        <is>
          <t>BLYP-06-018</t>
        </is>
      </c>
      <c r="B124" s="29" t="inlineStr"/>
      <c r="C124" s="29" t="inlineStr">
        <is>
          <t>Homepage feeds and header</t>
        </is>
      </c>
      <c r="D124" s="29" t="n">
        <v>6</v>
      </c>
      <c r="E124" s="29" t="n">
        <v>18</v>
      </c>
      <c r="F124" s="29" t="inlineStr">
        <is>
          <t>Feature</t>
        </is>
      </c>
      <c r="G124" s="29" t="inlineStr">
        <is>
          <t>Categories merged into Interests</t>
        </is>
      </c>
      <c r="H124" s="29" t="inlineStr">
        <is>
          <t>Categories merged into Interests</t>
        </is>
      </c>
      <c r="I124" s="29" t="inlineStr">
        <is>
          <t>/home/ubuntu/blyp_product_requirements.md :: Section 6 — Homepage feeds and header</t>
        </is>
      </c>
      <c r="J124" s="29" t="inlineStr">
        <is>
          <t>/home/ubuntu/BLYP_COMPLETE_FEATURE_LIST.md:163</t>
        </is>
      </c>
      <c r="K124" s="29" t="inlineStr">
        <is>
          <t>Required</t>
        </is>
      </c>
      <c r="L124" s="29" t="inlineStr">
        <is>
          <t>Applicable BLYP member</t>
        </is>
      </c>
      <c r="M124" s="29" t="inlineStr">
        <is>
          <t>BLYP mobile application and supporting production services</t>
        </is>
      </c>
      <c r="N124" s="29" t="inlineStr">
        <is>
          <t>Categories merged into Interests</t>
        </is>
      </c>
      <c r="O124" s="29" t="inlineStr">
        <is>
          <t>Not explicitly defined in the product source; requires accountable product approval before production sign-off.</t>
        </is>
      </c>
      <c r="P124" s="29" t="inlineStr"/>
      <c r="Q124" s="29" t="inlineStr">
        <is>
          <t>No evidence</t>
        </is>
      </c>
      <c r="R124" s="29" t="inlineStr"/>
      <c r="S124" s="29" t="inlineStr">
        <is>
          <t>Not found</t>
        </is>
      </c>
      <c r="T124" s="29" t="inlineStr"/>
      <c r="U124" s="29" t="inlineStr"/>
      <c r="V124" s="29" t="inlineStr"/>
      <c r="W124" s="29" t="inlineStr"/>
      <c r="X124" s="29" t="inlineStr"/>
      <c r="Y124" s="29" t="inlineStr"/>
      <c r="Z124" s="29" t="inlineStr"/>
      <c r="AA124" s="29" t="inlineStr"/>
      <c r="AB124" s="29" t="inlineStr"/>
      <c r="AC124" s="29" t="inlineStr"/>
      <c r="AD124" s="29" t="inlineStr"/>
      <c r="AE124" s="29" t="inlineStr">
        <is>
          <t>Unknown</t>
        </is>
      </c>
      <c r="AF124" s="29" t="inlineStr"/>
      <c r="AG124" s="29" t="inlineStr">
        <is>
          <t>Unknown</t>
        </is>
      </c>
      <c r="AH124" s="29" t="inlineStr">
        <is>
          <t>Unknown</t>
        </is>
      </c>
      <c r="AI124" s="29" t="inlineStr"/>
      <c r="AJ124" s="29" t="inlineStr">
        <is>
          <t>Not verified</t>
        </is>
      </c>
      <c r="AK124" s="29" t="inlineStr"/>
      <c r="AL124" s="29" t="inlineStr"/>
      <c r="AM124" s="29" t="inlineStr"/>
      <c r="AN124" s="29" t="inlineStr"/>
      <c r="AO124" s="29" t="inlineStr">
        <is>
          <t>8bc0dcb2a1da1b21368c5536aaeef829d587f316</t>
        </is>
      </c>
      <c r="AP124" s="29" t="inlineStr">
        <is>
          <t>Low</t>
        </is>
      </c>
      <c r="AQ124" s="29" t="inlineStr">
        <is>
          <t>Not assessed</t>
        </is>
      </c>
      <c r="AR124" s="29" t="inlineStr">
        <is>
          <t>Not assessed</t>
        </is>
      </c>
      <c r="AS124" s="29" t="inlineStr">
        <is>
          <t>Not assessed</t>
        </is>
      </c>
      <c r="AT124" s="29" t="inlineStr">
        <is>
          <t>Not assessed</t>
        </is>
      </c>
      <c r="AU124" s="29" t="inlineStr">
        <is>
          <t>Not assessed</t>
        </is>
      </c>
      <c r="AV124" s="29" t="inlineStr">
        <is>
          <t>Not assessed</t>
        </is>
      </c>
      <c r="AW124" s="29" t="inlineStr">
        <is>
          <t>Not assessed</t>
        </is>
      </c>
      <c r="AX124" s="29" t="inlineStr">
        <is>
          <t>Not assessed</t>
        </is>
      </c>
      <c r="AY124" s="29" t="inlineStr">
        <is>
          <t>Not assessed</t>
        </is>
      </c>
      <c r="AZ124" s="29" t="inlineStr">
        <is>
          <t>Not assessed</t>
        </is>
      </c>
      <c r="BA124" s="29" t="inlineStr">
        <is>
          <t>Not assessed</t>
        </is>
      </c>
      <c r="BB124" s="29" t="inlineStr">
        <is>
          <t>Not assessed</t>
        </is>
      </c>
      <c r="BC124" s="29" t="inlineStr">
        <is>
          <t>Not assessed</t>
        </is>
      </c>
      <c r="BD124" s="29" t="inlineStr">
        <is>
          <t>Not assessed</t>
        </is>
      </c>
      <c r="BE124" s="29" t="inlineStr">
        <is>
          <t>Development required</t>
        </is>
      </c>
      <c r="BF124" s="29" t="inlineStr">
        <is>
          <t>Physical implementation is not complete against the stated requirement.</t>
        </is>
      </c>
      <c r="BG124" s="29" t="inlineStr"/>
      <c r="BH124" s="29" t="inlineStr"/>
      <c r="BI124" s="29" t="inlineStr"/>
      <c r="BJ124" s="29" t="inlineStr"/>
      <c r="BK124" s="29" t="inlineStr">
        <is>
          <t>Evidence reconciled against the reviewed source revision. No production approval is inferred from implementation or file presence.</t>
        </is>
      </c>
      <c r="BL124" s="29" t="inlineStr">
        <is>
          <t>2026-08-02</t>
        </is>
      </c>
    </row>
    <row r="125" ht="42" customHeight="1">
      <c r="A125" s="29" t="inlineStr">
        <is>
          <t>BLYP-06-019</t>
        </is>
      </c>
      <c r="B125" s="29" t="inlineStr"/>
      <c r="C125" s="29" t="inlineStr">
        <is>
          <t>Homepage feeds and header</t>
        </is>
      </c>
      <c r="D125" s="29" t="n">
        <v>6</v>
      </c>
      <c r="E125" s="29" t="n">
        <v>19</v>
      </c>
      <c r="F125" s="29" t="inlineStr">
        <is>
          <t>Feature</t>
        </is>
      </c>
      <c r="G125" s="29" t="inlineStr">
        <is>
          <t>Searchable hashtags</t>
        </is>
      </c>
      <c r="H125" s="29" t="inlineStr">
        <is>
          <t>Searchable hashtags</t>
        </is>
      </c>
      <c r="I125" s="29" t="inlineStr">
        <is>
          <t>/home/ubuntu/blyp_product_requirements.md :: Section 6 — Homepage feeds and header</t>
        </is>
      </c>
      <c r="J125" s="29" t="inlineStr">
        <is>
          <t>/home/ubuntu/BLYP_COMPLETE_FEATURE_LIST.md:164</t>
        </is>
      </c>
      <c r="K125" s="29" t="inlineStr">
        <is>
          <t>Required</t>
        </is>
      </c>
      <c r="L125" s="29" t="inlineStr">
        <is>
          <t>Applicable BLYP member</t>
        </is>
      </c>
      <c r="M125" s="29" t="inlineStr">
        <is>
          <t>BLYP mobile application and supporting production services</t>
        </is>
      </c>
      <c r="N125" s="29" t="inlineStr">
        <is>
          <t>Searchable hashtags</t>
        </is>
      </c>
      <c r="O125" s="29" t="inlineStr">
        <is>
          <t>Not explicitly defined in the product source; requires accountable product approval before production sign-off.</t>
        </is>
      </c>
      <c r="P125" s="29" t="inlineStr"/>
      <c r="Q125" s="29" t="inlineStr">
        <is>
          <t>Yes</t>
        </is>
      </c>
      <c r="R125" s="29" t="inlineStr"/>
      <c r="S125" s="29" t="inlineStr">
        <is>
          <t>Partial</t>
        </is>
      </c>
      <c r="T125" s="29" t="inlineStr"/>
      <c r="U125" s="29" t="inlineStr"/>
      <c r="V125" s="29" t="inlineStr">
        <is>
          <t>searchService</t>
        </is>
      </c>
      <c r="W125" s="29" t="inlineStr"/>
      <c r="X125" s="29" t="inlineStr"/>
      <c r="Y125" s="29" t="inlineStr"/>
      <c r="Z125" s="29" t="inlineStr"/>
      <c r="AA125" s="29" t="inlineStr"/>
      <c r="AB125" s="29" t="inlineStr"/>
      <c r="AC125" s="29" t="inlineStr"/>
      <c r="AD125" s="29" t="inlineStr"/>
      <c r="AE125" s="29" t="inlineStr">
        <is>
          <t>User reachable</t>
        </is>
      </c>
      <c r="AF125" s="29" t="inlineStr"/>
      <c r="AG125" s="29" t="inlineStr">
        <is>
          <t>Incomplete</t>
        </is>
      </c>
      <c r="AH125" s="29" t="inlineStr">
        <is>
          <t>No</t>
        </is>
      </c>
      <c r="AI125" s="29" t="inlineStr"/>
      <c r="AJ125" s="29" t="inlineStr">
        <is>
          <t>Source traced</t>
        </is>
      </c>
      <c r="AK125" s="29" t="inlineStr">
        <is>
          <t>EV-06-0005</t>
        </is>
      </c>
      <c r="AL125" s="29" t="inlineStr"/>
      <c r="AM125" s="29" t="inlineStr"/>
      <c r="AN125" s="29" t="inlineStr"/>
      <c r="AO125" s="29" t="inlineStr">
        <is>
          <t>8bc0dcb2a1da1b21368c5536aaeef829d587f316</t>
        </is>
      </c>
      <c r="AP125" s="29" t="inlineStr">
        <is>
          <t>Medium</t>
        </is>
      </c>
      <c r="AQ125" s="29" t="inlineStr">
        <is>
          <t>Not assessed</t>
        </is>
      </c>
      <c r="AR125" s="29" t="inlineStr">
        <is>
          <t>Not assessed</t>
        </is>
      </c>
      <c r="AS125" s="29" t="inlineStr">
        <is>
          <t>Fail</t>
        </is>
      </c>
      <c r="AT125" s="29" t="inlineStr">
        <is>
          <t>Not assessed</t>
        </is>
      </c>
      <c r="AU125" s="29" t="inlineStr">
        <is>
          <t>Not assessed</t>
        </is>
      </c>
      <c r="AV125" s="29" t="inlineStr">
        <is>
          <t>Not assessed</t>
        </is>
      </c>
      <c r="AW125" s="29" t="inlineStr">
        <is>
          <t>Not assessed</t>
        </is>
      </c>
      <c r="AX125" s="29" t="inlineStr">
        <is>
          <t>Not assessed</t>
        </is>
      </c>
      <c r="AY125" s="29" t="inlineStr">
        <is>
          <t>Not assessed</t>
        </is>
      </c>
      <c r="AZ125" s="29" t="inlineStr">
        <is>
          <t>Not assessed</t>
        </is>
      </c>
      <c r="BA125" s="29" t="inlineStr">
        <is>
          <t>Not assessed</t>
        </is>
      </c>
      <c r="BB125" s="29" t="inlineStr">
        <is>
          <t>Not assessed</t>
        </is>
      </c>
      <c r="BC125" s="29" t="inlineStr">
        <is>
          <t>Not assessed</t>
        </is>
      </c>
      <c r="BD125" s="29" t="inlineStr">
        <is>
          <t>Not assessed</t>
        </is>
      </c>
      <c r="BE125" s="29" t="inlineStr">
        <is>
          <t>Development required</t>
        </is>
      </c>
      <c r="BF125" s="29" t="inlineStr">
        <is>
          <t>Physical implementation is not complete against the stated requirement.</t>
        </is>
      </c>
      <c r="BG125" s="29" t="inlineStr"/>
      <c r="BH125" s="29" t="inlineStr"/>
      <c r="BI125" s="29" t="inlineStr"/>
      <c r="BJ125" s="29" t="inlineStr"/>
      <c r="BK125" s="29" t="inlineStr">
        <is>
          <t>Evidence reconciled against the reviewed source revision. No production approval is inferred from implementation or file presence.</t>
        </is>
      </c>
      <c r="BL125" s="29" t="inlineStr">
        <is>
          <t>2026-08-02</t>
        </is>
      </c>
    </row>
    <row r="126" ht="42" customHeight="1">
      <c r="A126" s="29" t="inlineStr">
        <is>
          <t>BLYP-06-020</t>
        </is>
      </c>
      <c r="B126" s="29" t="inlineStr"/>
      <c r="C126" s="29" t="inlineStr">
        <is>
          <t>Homepage feeds and header</t>
        </is>
      </c>
      <c r="D126" s="29" t="n">
        <v>6</v>
      </c>
      <c r="E126" s="29" t="n">
        <v>20</v>
      </c>
      <c r="F126" s="29" t="inlineStr">
        <is>
          <t>Feature</t>
        </is>
      </c>
      <c r="G126" s="29" t="inlineStr">
        <is>
          <t>Tappable hashtags</t>
        </is>
      </c>
      <c r="H126" s="29" t="inlineStr">
        <is>
          <t>Tappable hashtags</t>
        </is>
      </c>
      <c r="I126" s="29" t="inlineStr">
        <is>
          <t>/home/ubuntu/blyp_product_requirements.md :: Section 6 — Homepage feeds and header</t>
        </is>
      </c>
      <c r="J126" s="29" t="inlineStr">
        <is>
          <t>/home/ubuntu/BLYP_COMPLETE_FEATURE_LIST.md:165</t>
        </is>
      </c>
      <c r="K126" s="29" t="inlineStr">
        <is>
          <t>Required</t>
        </is>
      </c>
      <c r="L126" s="29" t="inlineStr">
        <is>
          <t>Applicable BLYP member</t>
        </is>
      </c>
      <c r="M126" s="29" t="inlineStr">
        <is>
          <t>BLYP mobile application and supporting production services</t>
        </is>
      </c>
      <c r="N126" s="29" t="inlineStr">
        <is>
          <t>Tappable hashtags</t>
        </is>
      </c>
      <c r="O126" s="29" t="inlineStr">
        <is>
          <t>Not explicitly defined in the product source; requires accountable product approval before production sign-off.</t>
        </is>
      </c>
      <c r="P126" s="29" t="inlineStr"/>
      <c r="Q126" s="29" t="inlineStr">
        <is>
          <t>Yes</t>
        </is>
      </c>
      <c r="R126" s="29" t="inlineStr"/>
      <c r="S126" s="29" t="inlineStr">
        <is>
          <t>Partial</t>
        </is>
      </c>
      <c r="T126" s="29" t="inlineStr">
        <is>
          <t>navigation.navigate("HashtagPosts")</t>
        </is>
      </c>
      <c r="U126" s="29" t="inlineStr"/>
      <c r="V126" s="29" t="inlineStr"/>
      <c r="W126" s="29" t="inlineStr"/>
      <c r="X126" s="29" t="inlineStr"/>
      <c r="Y126" s="29" t="inlineStr"/>
      <c r="Z126" s="29" t="inlineStr"/>
      <c r="AA126" s="29" t="inlineStr"/>
      <c r="AB126" s="29" t="inlineStr"/>
      <c r="AC126" s="29" t="inlineStr"/>
      <c r="AD126" s="29" t="inlineStr"/>
      <c r="AE126" s="29" t="inlineStr">
        <is>
          <t>User reachable</t>
        </is>
      </c>
      <c r="AF126" s="29" t="inlineStr">
        <is>
          <t>navigation.navigate("HashtagPosts")</t>
        </is>
      </c>
      <c r="AG126" s="29" t="inlineStr">
        <is>
          <t>Incomplete</t>
        </is>
      </c>
      <c r="AH126" s="29" t="inlineStr">
        <is>
          <t>No</t>
        </is>
      </c>
      <c r="AI126" s="29" t="inlineStr"/>
      <c r="AJ126" s="29" t="inlineStr">
        <is>
          <t>Source traced</t>
        </is>
      </c>
      <c r="AK126" s="29" t="inlineStr">
        <is>
          <t>EV-06-0006</t>
        </is>
      </c>
      <c r="AL126" s="29" t="inlineStr"/>
      <c r="AM126" s="29" t="inlineStr"/>
      <c r="AN126" s="29" t="inlineStr"/>
      <c r="AO126" s="29" t="inlineStr">
        <is>
          <t>8bc0dcb2a1da1b21368c5536aaeef829d587f316</t>
        </is>
      </c>
      <c r="AP126" s="29" t="inlineStr">
        <is>
          <t>Medium</t>
        </is>
      </c>
      <c r="AQ126" s="29" t="inlineStr">
        <is>
          <t>Not assessed</t>
        </is>
      </c>
      <c r="AR126" s="29" t="inlineStr">
        <is>
          <t>Not assessed</t>
        </is>
      </c>
      <c r="AS126" s="29" t="inlineStr">
        <is>
          <t>Fail</t>
        </is>
      </c>
      <c r="AT126" s="29" t="inlineStr">
        <is>
          <t>Not assessed</t>
        </is>
      </c>
      <c r="AU126" s="29" t="inlineStr">
        <is>
          <t>Not assessed</t>
        </is>
      </c>
      <c r="AV126" s="29" t="inlineStr">
        <is>
          <t>Not assessed</t>
        </is>
      </c>
      <c r="AW126" s="29" t="inlineStr">
        <is>
          <t>Not assessed</t>
        </is>
      </c>
      <c r="AX126" s="29" t="inlineStr">
        <is>
          <t>Not assessed</t>
        </is>
      </c>
      <c r="AY126" s="29" t="inlineStr">
        <is>
          <t>Not assessed</t>
        </is>
      </c>
      <c r="AZ126" s="29" t="inlineStr">
        <is>
          <t>Not assessed</t>
        </is>
      </c>
      <c r="BA126" s="29" t="inlineStr">
        <is>
          <t>Not assessed</t>
        </is>
      </c>
      <c r="BB126" s="29" t="inlineStr">
        <is>
          <t>Not assessed</t>
        </is>
      </c>
      <c r="BC126" s="29" t="inlineStr">
        <is>
          <t>Not assessed</t>
        </is>
      </c>
      <c r="BD126" s="29" t="inlineStr">
        <is>
          <t>Not assessed</t>
        </is>
      </c>
      <c r="BE126" s="29" t="inlineStr">
        <is>
          <t>Development required</t>
        </is>
      </c>
      <c r="BF126" s="29" t="inlineStr">
        <is>
          <t>Physical implementation is not complete against the stated requirement.</t>
        </is>
      </c>
      <c r="BG126" s="29" t="inlineStr"/>
      <c r="BH126" s="29" t="inlineStr"/>
      <c r="BI126" s="29" t="inlineStr"/>
      <c r="BJ126" s="29" t="inlineStr"/>
      <c r="BK126" s="29" t="inlineStr">
        <is>
          <t>Evidence reconciled against the reviewed source revision. No production approval is inferred from implementation or file presence.</t>
        </is>
      </c>
      <c r="BL126" s="29" t="inlineStr">
        <is>
          <t>2026-08-02</t>
        </is>
      </c>
    </row>
    <row r="127" ht="42" customHeight="1">
      <c r="A127" s="29" t="inlineStr">
        <is>
          <t>BLYP-06-021</t>
        </is>
      </c>
      <c r="B127" s="29" t="inlineStr"/>
      <c r="C127" s="29" t="inlineStr">
        <is>
          <t>Homepage feeds and header</t>
        </is>
      </c>
      <c r="D127" s="29" t="n">
        <v>6</v>
      </c>
      <c r="E127" s="29" t="n">
        <v>21</v>
      </c>
      <c r="F127" s="29" t="inlineStr">
        <is>
          <t>Feature</t>
        </is>
      </c>
      <c r="G127" s="29" t="inlineStr">
        <is>
          <t>Top-level Live/Rooms destination</t>
        </is>
      </c>
      <c r="H127" s="29" t="inlineStr">
        <is>
          <t>Top-level Live/Rooms destination</t>
        </is>
      </c>
      <c r="I127" s="29" t="inlineStr">
        <is>
          <t>/home/ubuntu/blyp_product_requirements.md :: Section 6 — Homepage feeds and header</t>
        </is>
      </c>
      <c r="J127" s="29" t="inlineStr">
        <is>
          <t>/home/ubuntu/BLYP_COMPLETE_FEATURE_LIST.md:166</t>
        </is>
      </c>
      <c r="K127" s="29" t="inlineStr">
        <is>
          <t>Required</t>
        </is>
      </c>
      <c r="L127" s="29" t="inlineStr">
        <is>
          <t>Applicable BLYP member</t>
        </is>
      </c>
      <c r="M127" s="29" t="inlineStr">
        <is>
          <t>BLYP mobile application and supporting production services</t>
        </is>
      </c>
      <c r="N127" s="29" t="inlineStr">
        <is>
          <t>Top-level Live/Rooms destination</t>
        </is>
      </c>
      <c r="O127" s="29" t="inlineStr">
        <is>
          <t>Not explicitly defined in the product source; requires accountable product approval before production sign-off.</t>
        </is>
      </c>
      <c r="P127" s="29" t="inlineStr"/>
      <c r="Q127" s="29" t="inlineStr">
        <is>
          <t>Yes</t>
        </is>
      </c>
      <c r="R127" s="29" t="inlineStr">
        <is>
          <t>a functional Live surface exists.</t>
        </is>
      </c>
      <c r="S127" s="29" t="inlineStr">
        <is>
          <t>Partial</t>
        </is>
      </c>
      <c r="T127" s="29" t="inlineStr"/>
      <c r="U127" s="29" t="inlineStr"/>
      <c r="V127" s="29" t="inlineStr">
        <is>
          <t>HLSLiveStreamService</t>
        </is>
      </c>
      <c r="W127" s="29" t="inlineStr"/>
      <c r="X127" s="29" t="inlineStr"/>
      <c r="Y127" s="29" t="inlineStr"/>
      <c r="Z127" s="29" t="inlineStr"/>
      <c r="AA127" s="29" t="inlineStr"/>
      <c r="AB127" s="29" t="inlineStr"/>
      <c r="AC127" s="29" t="inlineStr"/>
      <c r="AD127" s="29" t="inlineStr"/>
      <c r="AE127" s="29" t="inlineStr">
        <is>
          <t>User reachable</t>
        </is>
      </c>
      <c r="AF127" s="29" t="inlineStr"/>
      <c r="AG127" s="29" t="inlineStr">
        <is>
          <t>Incomplete</t>
        </is>
      </c>
      <c r="AH127" s="29" t="inlineStr">
        <is>
          <t>No</t>
        </is>
      </c>
      <c r="AI127" s="29" t="inlineStr"/>
      <c r="AJ127" s="29" t="inlineStr">
        <is>
          <t>Source traced</t>
        </is>
      </c>
      <c r="AK127" s="29" t="inlineStr">
        <is>
          <t>EV-06-0007</t>
        </is>
      </c>
      <c r="AL127" s="29" t="inlineStr"/>
      <c r="AM127" s="29" t="inlineStr"/>
      <c r="AN127" s="29" t="inlineStr"/>
      <c r="AO127" s="29" t="inlineStr">
        <is>
          <t>8bc0dcb2a1da1b21368c5536aaeef829d587f316</t>
        </is>
      </c>
      <c r="AP127" s="29" t="inlineStr">
        <is>
          <t>Medium</t>
        </is>
      </c>
      <c r="AQ127" s="29" t="inlineStr">
        <is>
          <t>Not assessed</t>
        </is>
      </c>
      <c r="AR127" s="29" t="inlineStr">
        <is>
          <t>Not assessed</t>
        </is>
      </c>
      <c r="AS127" s="29" t="inlineStr">
        <is>
          <t>Fail</t>
        </is>
      </c>
      <c r="AT127" s="29" t="inlineStr">
        <is>
          <t>Not assessed</t>
        </is>
      </c>
      <c r="AU127" s="29" t="inlineStr">
        <is>
          <t>Not assessed</t>
        </is>
      </c>
      <c r="AV127" s="29" t="inlineStr">
        <is>
          <t>Not assessed</t>
        </is>
      </c>
      <c r="AW127" s="29" t="inlineStr">
        <is>
          <t>Not assessed</t>
        </is>
      </c>
      <c r="AX127" s="29" t="inlineStr">
        <is>
          <t>Not assessed</t>
        </is>
      </c>
      <c r="AY127" s="29" t="inlineStr">
        <is>
          <t>Not assessed</t>
        </is>
      </c>
      <c r="AZ127" s="29" t="inlineStr">
        <is>
          <t>Not assessed</t>
        </is>
      </c>
      <c r="BA127" s="29" t="inlineStr">
        <is>
          <t>Not assessed</t>
        </is>
      </c>
      <c r="BB127" s="29" t="inlineStr">
        <is>
          <t>Not assessed</t>
        </is>
      </c>
      <c r="BC127" s="29" t="inlineStr">
        <is>
          <t>Not assessed</t>
        </is>
      </c>
      <c r="BD127" s="29" t="inlineStr">
        <is>
          <t>Not assessed</t>
        </is>
      </c>
      <c r="BE127" s="29" t="inlineStr">
        <is>
          <t>Development required</t>
        </is>
      </c>
      <c r="BF127" s="29" t="inlineStr">
        <is>
          <t>Physical implementation is not complete against the stated requirement.</t>
        </is>
      </c>
      <c r="BG127" s="29" t="inlineStr"/>
      <c r="BH127" s="29" t="inlineStr"/>
      <c r="BI127" s="29" t="inlineStr"/>
      <c r="BJ127" s="29" t="inlineStr"/>
      <c r="BK127" s="29" t="inlineStr">
        <is>
          <t>Evidence reconciled against the reviewed source revision. No production approval is inferred from implementation or file presence.</t>
        </is>
      </c>
      <c r="BL127" s="29" t="inlineStr">
        <is>
          <t>2026-08-02</t>
        </is>
      </c>
    </row>
    <row r="128" ht="42" customHeight="1">
      <c r="A128" s="29" t="inlineStr">
        <is>
          <t>BLYP-06-022</t>
        </is>
      </c>
      <c r="B128" s="29" t="inlineStr"/>
      <c r="C128" s="29" t="inlineStr">
        <is>
          <t>Homepage feeds and header</t>
        </is>
      </c>
      <c r="D128" s="29" t="n">
        <v>6</v>
      </c>
      <c r="E128" s="29" t="n">
        <v>22</v>
      </c>
      <c r="F128" s="29" t="inlineStr">
        <is>
          <t>Feature</t>
        </is>
      </c>
      <c r="G128" s="29" t="inlineStr">
        <is>
          <t>Recommended Home · For You · Following · Live · Trending header</t>
        </is>
      </c>
      <c r="H128" s="29" t="inlineStr">
        <is>
          <t>Recommended Home · For You · Following · Live · Trending header</t>
        </is>
      </c>
      <c r="I128" s="29" t="inlineStr">
        <is>
          <t>/home/ubuntu/blyp_product_requirements.md :: Section 6 — Homepage feeds and header</t>
        </is>
      </c>
      <c r="J128" s="29" t="inlineStr">
        <is>
          <t>/home/ubuntu/BLYP_COMPLETE_FEATURE_LIST.md:167</t>
        </is>
      </c>
      <c r="K128" s="29" t="inlineStr">
        <is>
          <t>Required</t>
        </is>
      </c>
      <c r="L128" s="29" t="inlineStr">
        <is>
          <t>Applicable BLYP member</t>
        </is>
      </c>
      <c r="M128" s="29" t="inlineStr">
        <is>
          <t>BLYP mobile application and supporting production services</t>
        </is>
      </c>
      <c r="N128" s="29" t="inlineStr">
        <is>
          <t>Recommended Home · For You · Following · Live · Trending header</t>
        </is>
      </c>
      <c r="O128" s="29" t="inlineStr">
        <is>
          <t>Not explicitly defined in the product source; requires accountable product approval before production sign-off.</t>
        </is>
      </c>
      <c r="P128" s="29" t="inlineStr"/>
      <c r="Q128" s="29" t="inlineStr">
        <is>
          <t>Partial</t>
        </is>
      </c>
      <c r="R128" s="29" t="inlineStr"/>
      <c r="S128" s="29" t="inlineStr">
        <is>
          <t>Not found</t>
        </is>
      </c>
      <c r="T128" s="29" t="inlineStr"/>
      <c r="U128" s="29" t="inlineStr"/>
      <c r="V128" s="29" t="inlineStr"/>
      <c r="W128" s="29" t="inlineStr"/>
      <c r="X128" s="29" t="inlineStr"/>
      <c r="Y128" s="29" t="inlineStr"/>
      <c r="Z128" s="29" t="inlineStr"/>
      <c r="AA128" s="29" t="inlineStr"/>
      <c r="AB128" s="29" t="inlineStr"/>
      <c r="AC128" s="29" t="inlineStr"/>
      <c r="AD128" s="29" t="inlineStr"/>
      <c r="AE128" s="29" t="inlineStr">
        <is>
          <t>Unknown</t>
        </is>
      </c>
      <c r="AF128" s="29" t="inlineStr"/>
      <c r="AG128" s="29" t="inlineStr">
        <is>
          <t>Unknown</t>
        </is>
      </c>
      <c r="AH128" s="29" t="inlineStr">
        <is>
          <t>Unknown</t>
        </is>
      </c>
      <c r="AI128" s="29" t="inlineStr"/>
      <c r="AJ128" s="29" t="inlineStr">
        <is>
          <t>Not verified</t>
        </is>
      </c>
      <c r="AK128" s="29" t="inlineStr"/>
      <c r="AL128" s="29" t="inlineStr"/>
      <c r="AM128" s="29" t="inlineStr"/>
      <c r="AN128" s="29" t="inlineStr"/>
      <c r="AO128" s="29" t="inlineStr">
        <is>
          <t>8bc0dcb2a1da1b21368c5536aaeef829d587f316</t>
        </is>
      </c>
      <c r="AP128" s="29" t="inlineStr">
        <is>
          <t>Low</t>
        </is>
      </c>
      <c r="AQ128" s="29" t="inlineStr">
        <is>
          <t>Not assessed</t>
        </is>
      </c>
      <c r="AR128" s="29" t="inlineStr">
        <is>
          <t>Not assessed</t>
        </is>
      </c>
      <c r="AS128" s="29" t="inlineStr">
        <is>
          <t>Not assessed</t>
        </is>
      </c>
      <c r="AT128" s="29" t="inlineStr">
        <is>
          <t>Not assessed</t>
        </is>
      </c>
      <c r="AU128" s="29" t="inlineStr">
        <is>
          <t>Not assessed</t>
        </is>
      </c>
      <c r="AV128" s="29" t="inlineStr">
        <is>
          <t>Not assessed</t>
        </is>
      </c>
      <c r="AW128" s="29" t="inlineStr">
        <is>
          <t>Not assessed</t>
        </is>
      </c>
      <c r="AX128" s="29" t="inlineStr">
        <is>
          <t>Not assessed</t>
        </is>
      </c>
      <c r="AY128" s="29" t="inlineStr">
        <is>
          <t>Not assessed</t>
        </is>
      </c>
      <c r="AZ128" s="29" t="inlineStr">
        <is>
          <t>Not assessed</t>
        </is>
      </c>
      <c r="BA128" s="29" t="inlineStr">
        <is>
          <t>Not assessed</t>
        </is>
      </c>
      <c r="BB128" s="29" t="inlineStr">
        <is>
          <t>Not assessed</t>
        </is>
      </c>
      <c r="BC128" s="29" t="inlineStr">
        <is>
          <t>Not assessed</t>
        </is>
      </c>
      <c r="BD128" s="29" t="inlineStr">
        <is>
          <t>Not assessed</t>
        </is>
      </c>
      <c r="BE128" s="29" t="inlineStr">
        <is>
          <t>Development required</t>
        </is>
      </c>
      <c r="BF128" s="29" t="inlineStr">
        <is>
          <t>Physical implementation is not complete against the stated requirement.</t>
        </is>
      </c>
      <c r="BG128" s="29" t="inlineStr"/>
      <c r="BH128" s="29" t="inlineStr"/>
      <c r="BI128" s="29" t="inlineStr"/>
      <c r="BJ128" s="29" t="inlineStr"/>
      <c r="BK128" s="29" t="inlineStr">
        <is>
          <t>Evidence reconciled against the reviewed source revision. No production approval is inferred from implementation or file presence.</t>
        </is>
      </c>
      <c r="BL128" s="29" t="inlineStr">
        <is>
          <t>2026-08-02</t>
        </is>
      </c>
    </row>
    <row r="129" ht="42" customHeight="1">
      <c r="A129" s="29" t="inlineStr">
        <is>
          <t>BLYP-07-001</t>
        </is>
      </c>
      <c r="B129" s="29" t="inlineStr"/>
      <c r="C129" s="29" t="inlineStr">
        <is>
          <t>Live, Battles, Your BLYP, Teams, and games header</t>
        </is>
      </c>
      <c r="D129" s="29" t="n">
        <v>7</v>
      </c>
      <c r="E129" s="29" t="n">
        <v>1</v>
      </c>
      <c r="F129" s="29" t="inlineStr">
        <is>
          <t>Feature</t>
        </is>
      </c>
      <c r="G129" s="29" t="inlineStr">
        <is>
          <t>Functional Live tab</t>
        </is>
      </c>
      <c r="H129" s="29" t="inlineStr">
        <is>
          <t>Functional Live tab</t>
        </is>
      </c>
      <c r="I129" s="29" t="inlineStr">
        <is>
          <t>/home/ubuntu/blyp_product_requirements.md :: Section 7 — Live, Battles, Your BLYP, Teams, and games header</t>
        </is>
      </c>
      <c r="J129" s="29" t="inlineStr">
        <is>
          <t>/home/ubuntu/BLYP_COMPLETE_FEATURE_LIST.md:173</t>
        </is>
      </c>
      <c r="K129" s="29" t="inlineStr">
        <is>
          <t>Required</t>
        </is>
      </c>
      <c r="L129" s="29" t="inlineStr">
        <is>
          <t>Applicable BLYP member</t>
        </is>
      </c>
      <c r="M129" s="29" t="inlineStr">
        <is>
          <t>BLYP mobile application and supporting production services</t>
        </is>
      </c>
      <c r="N129" s="29" t="inlineStr">
        <is>
          <t>Functional Live tab</t>
        </is>
      </c>
      <c r="O129" s="29" t="inlineStr">
        <is>
          <t>Not explicitly defined in the product source; requires accountable product approval before production sign-off.</t>
        </is>
      </c>
      <c r="P129" s="29" t="inlineStr"/>
      <c r="Q129" s="29" t="inlineStr">
        <is>
          <t>Yes</t>
        </is>
      </c>
      <c r="R129" s="29" t="inlineStr"/>
      <c r="S129" s="29" t="inlineStr">
        <is>
          <t>Partial</t>
        </is>
      </c>
      <c r="T129" s="29" t="inlineStr">
        <is>
          <t>App.js Go live and live-view routes -&gt; src/screens/LiveStreamScreen.js</t>
        </is>
      </c>
      <c r="U129" s="29" t="inlineStr">
        <is>
          <t>src/screens/LiveStreamScreen.js</t>
        </is>
      </c>
      <c r="V129" s="29" t="inlineStr">
        <is>
          <t>src/services/HLSLiveStreamService.js; camera, segment, comment, like and stream-state controls</t>
        </is>
      </c>
      <c r="W129" s="29" t="inlineStr">
        <is>
          <t>Current reviewed mobile path uses Firebase managed services directly; a separate AWS IVS backend live API also exists.</t>
        </is>
      </c>
      <c r="X129" s="29" t="inlineStr">
        <is>
          <t>Firestore liveStreams and userProfiles; Cloud Storage streams/{uid}/{streamId}</t>
        </is>
      </c>
      <c r="Y129" s="29" t="inlineStr">
        <is>
          <t>Concurrent segment upload queue; Firestore snapshots; optional Storage-triggered transcoding</t>
        </is>
      </c>
      <c r="Z129" s="29" t="inlineStr">
        <is>
          <t>Firebase Auth, Firestore, Cloud Storage; Expo Camera</t>
        </is>
      </c>
      <c r="AA129" s="29" t="inlineStr">
        <is>
          <t>Camera and microphone permissions; Firebase build mode</t>
        </is>
      </c>
      <c r="AB129" s="29" t="inlineStr">
        <is>
          <t>Expo mobile client plus Firebase managed services</t>
        </is>
      </c>
      <c r="AC129" s="30" t="inlineStr">
        <is>
          <t>RP-016</t>
        </is>
      </c>
      <c r="AD129" s="29" t="inlineStr">
        <is>
          <t>Member selects Go live and enters the LiveStreamScreen host flow before camera capture and stream creation.</t>
        </is>
      </c>
      <c r="AE129" s="29" t="inlineStr">
        <is>
          <t>User reachable</t>
        </is>
      </c>
      <c r="AF129" s="29" t="inlineStr">
        <is>
          <t>The signed Android build reached Home and the Go live camera-permission boundary without a fatal exception.</t>
        </is>
      </c>
      <c r="AG129" s="29" t="inlineStr">
        <is>
          <t>Incomplete</t>
        </is>
      </c>
      <c r="AH129" s="29" t="inlineStr">
        <is>
          <t>No</t>
        </is>
      </c>
      <c r="AI129" s="29" t="inlineStr">
        <is>
          <t>Client implementation not found</t>
        </is>
      </c>
      <c r="AJ129" s="29" t="inlineStr">
        <is>
          <t>Physical device observed</t>
        </is>
      </c>
      <c r="AK129" s="29" t="inlineStr">
        <is>
          <t>EV-TGT-LIVE-001;EV-TGT-LIVE-002</t>
        </is>
      </c>
      <c r="AL129" s="29" t="inlineStr"/>
      <c r="AM129" s="29" t="inlineStr">
        <is>
          <t>EV-RUN-0005</t>
        </is>
      </c>
      <c r="AN129" s="29" t="inlineStr">
        <is>
          <t>2026-07-31</t>
        </is>
      </c>
      <c r="AO129" s="29" t="inlineStr">
        <is>
          <t>com.blyp.mobile 1.0.1; versionCode 2026303428; Galaxy Z Fold7 SM-F966B</t>
        </is>
      </c>
      <c r="AP129" s="29" t="inlineStr">
        <is>
          <t>High</t>
        </is>
      </c>
      <c r="AQ129" s="29" t="inlineStr">
        <is>
          <t>Not assessed</t>
        </is>
      </c>
      <c r="AR129" s="29" t="inlineStr">
        <is>
          <t>Fail</t>
        </is>
      </c>
      <c r="AS129" s="29" t="inlineStr">
        <is>
          <t>Not assessed</t>
        </is>
      </c>
      <c r="AT129" s="29" t="inlineStr">
        <is>
          <t>Not assessed</t>
        </is>
      </c>
      <c r="AU129" s="29" t="inlineStr">
        <is>
          <t>Not assessed</t>
        </is>
      </c>
      <c r="AV129" s="29" t="inlineStr">
        <is>
          <t>Not assessed</t>
        </is>
      </c>
      <c r="AW129" s="29" t="inlineStr">
        <is>
          <t>Not assessed</t>
        </is>
      </c>
      <c r="AX129" s="29" t="inlineStr">
        <is>
          <t>Not assessed</t>
        </is>
      </c>
      <c r="AY129" s="29" t="inlineStr">
        <is>
          <t>Not assessed</t>
        </is>
      </c>
      <c r="AZ129" s="29" t="inlineStr">
        <is>
          <t>Not assessed</t>
        </is>
      </c>
      <c r="BA129" s="29" t="inlineStr">
        <is>
          <t>Not assessed</t>
        </is>
      </c>
      <c r="BB129" s="29" t="inlineStr">
        <is>
          <t>Not assessed</t>
        </is>
      </c>
      <c r="BC129" s="29" t="inlineStr">
        <is>
          <t>Not assessed</t>
        </is>
      </c>
      <c r="BD129" s="29" t="inlineStr">
        <is>
          <t>Fail</t>
        </is>
      </c>
      <c r="BE129" s="29" t="inlineStr">
        <is>
          <t>Blocked</t>
        </is>
      </c>
      <c r="BF129" s="29" t="inlineStr">
        <is>
          <t>The live feature is implemented, but the mobile Firebase HLS path and separate AWS IVS backend path are not reconciled; later signed-device camera candidates retained a black preview and failed acceptance.</t>
        </is>
      </c>
      <c r="BG129" s="29" t="inlineStr">
        <is>
          <t>Select the authoritative production live path; build the exact release candidate; pass authenticated host, viewer, camera-switch, end-live, recovery and dependency-failure checks on supported physical devices.</t>
        </is>
      </c>
      <c r="BH129" s="29" t="inlineStr"/>
      <c r="BI129" s="29" t="inlineStr"/>
      <c r="BJ129" s="29" t="inlineStr"/>
      <c r="BK129" s="29" t="inlineStr">
        <is>
          <t>Evidence reconciled against the reviewed source revision. No production approval is inferred from implementation or file presence.</t>
        </is>
      </c>
      <c r="BL129" s="29" t="inlineStr">
        <is>
          <t>2026-08-02</t>
        </is>
      </c>
    </row>
    <row r="130" ht="42" customHeight="1">
      <c r="A130" s="29" t="inlineStr">
        <is>
          <t>BLYP-07-002</t>
        </is>
      </c>
      <c r="B130" s="29" t="inlineStr"/>
      <c r="C130" s="29" t="inlineStr">
        <is>
          <t>Live, Battles, Your BLYP, Teams, and games header</t>
        </is>
      </c>
      <c r="D130" s="29" t="n">
        <v>7</v>
      </c>
      <c r="E130" s="29" t="n">
        <v>2</v>
      </c>
      <c r="F130" s="29" t="inlineStr">
        <is>
          <t>Feature</t>
        </is>
      </c>
      <c r="G130" s="29" t="inlineStr">
        <is>
          <t>Start a live stream</t>
        </is>
      </c>
      <c r="H130" s="29" t="inlineStr">
        <is>
          <t>Start a live stream</t>
        </is>
      </c>
      <c r="I130" s="29" t="inlineStr">
        <is>
          <t>/home/ubuntu/blyp_product_requirements.md :: Section 7 — Live, Battles, Your BLYP, Teams, and games header</t>
        </is>
      </c>
      <c r="J130" s="29" t="inlineStr">
        <is>
          <t>/home/ubuntu/BLYP_COMPLETE_FEATURE_LIST.md:174</t>
        </is>
      </c>
      <c r="K130" s="29" t="inlineStr">
        <is>
          <t>Required</t>
        </is>
      </c>
      <c r="L130" s="29" t="inlineStr">
        <is>
          <t>Applicable BLYP member</t>
        </is>
      </c>
      <c r="M130" s="29" t="inlineStr">
        <is>
          <t>BLYP mobile application and supporting production services</t>
        </is>
      </c>
      <c r="N130" s="29" t="inlineStr">
        <is>
          <t>Start a live stream</t>
        </is>
      </c>
      <c r="O130" s="29" t="inlineStr">
        <is>
          <t>Not explicitly defined in the product source; requires accountable product approval before production sign-off.</t>
        </is>
      </c>
      <c r="P130" s="29" t="inlineStr"/>
      <c r="Q130" s="29" t="inlineStr">
        <is>
          <t>Yes</t>
        </is>
      </c>
      <c r="R130" s="29" t="inlineStr"/>
      <c r="S130" s="29" t="inlineStr">
        <is>
          <t>Partial</t>
        </is>
      </c>
      <c r="T130" s="29" t="inlineStr">
        <is>
          <t>App.js Go live and live-view routes -&gt; src/screens/LiveStreamScreen.js</t>
        </is>
      </c>
      <c r="U130" s="29" t="inlineStr">
        <is>
          <t>src/screens/LiveStreamScreen.js</t>
        </is>
      </c>
      <c r="V130" s="29" t="inlineStr">
        <is>
          <t>src/services/HLSLiveStreamService.js; camera, segment, comment, like and stream-state controls</t>
        </is>
      </c>
      <c r="W130" s="29" t="inlineStr">
        <is>
          <t>Current reviewed mobile path uses Firebase managed services directly; a separate AWS IVS backend live API also exists.</t>
        </is>
      </c>
      <c r="X130" s="29" t="inlineStr">
        <is>
          <t>Firestore liveStreams and userProfiles; Cloud Storage streams/{uid}/{streamId}</t>
        </is>
      </c>
      <c r="Y130" s="29" t="inlineStr">
        <is>
          <t>Concurrent segment upload queue; Firestore snapshots; optional Storage-triggered transcoding</t>
        </is>
      </c>
      <c r="Z130" s="29" t="inlineStr">
        <is>
          <t>Firebase Auth, Firestore, Cloud Storage; Expo Camera</t>
        </is>
      </c>
      <c r="AA130" s="29" t="inlineStr">
        <is>
          <t>Camera and microphone permissions; Firebase build mode</t>
        </is>
      </c>
      <c r="AB130" s="29" t="inlineStr">
        <is>
          <t>Expo mobile client plus Firebase managed services</t>
        </is>
      </c>
      <c r="AC130" s="30" t="inlineStr">
        <is>
          <t>RP-016</t>
        </is>
      </c>
      <c r="AD130" s="29" t="inlineStr">
        <is>
          <t>Host validates a title, starts camera capture and countdown, creates a Firestore stream record and uploads short media segments. Signed-device runs reached startup, but later candidates retained a black preview.</t>
        </is>
      </c>
      <c r="AE130" s="29" t="inlineStr">
        <is>
          <t>User reachable</t>
        </is>
      </c>
      <c r="AF130" s="29" t="inlineStr"/>
      <c r="AG130" s="29" t="inlineStr">
        <is>
          <t>Incomplete</t>
        </is>
      </c>
      <c r="AH130" s="29" t="inlineStr">
        <is>
          <t>No</t>
        </is>
      </c>
      <c r="AI130" s="29" t="inlineStr">
        <is>
          <t>Contradictory signed-device results; camera flip froze in one run and later candidates showed a black host preview.</t>
        </is>
      </c>
      <c r="AJ130" s="29" t="inlineStr">
        <is>
          <t>Conflicting evidence</t>
        </is>
      </c>
      <c r="AK130" s="29" t="inlineStr">
        <is>
          <t>EV-TGT-LIVE-001;EV-TGT-LIVE-002</t>
        </is>
      </c>
      <c r="AL130" s="29" t="inlineStr"/>
      <c r="AM130" s="29" t="inlineStr">
        <is>
          <t>EV-RUN-0005;EV-RUN-0006;EV-RUN-0007;EV-RUN-0008</t>
        </is>
      </c>
      <c r="AN130" s="29" t="inlineStr">
        <is>
          <t>2026-07-31T12:43:43+01:00</t>
        </is>
      </c>
      <c r="AO130" s="29" t="inlineStr">
        <is>
          <t>com.blyp.mobile 1.0.1; versionCode 2026303428; Galaxy Z Fold7 SM-F966B | Signed Fold7 candidate; run live_fix_fresh_verified_20260731_023116 | APK SHA-256 6EA90E5AFED49AD2752D3323E34DDD695C1BEB68E0F6A026FCB38D0003B24B87 | Candidate SHA-256 E7552810C2F40081DC434649DEA6FD6D6927190803A5DD4410301E896FD2E341</t>
        </is>
      </c>
      <c r="AP130" s="29" t="inlineStr">
        <is>
          <t>High</t>
        </is>
      </c>
      <c r="AQ130" s="29" t="inlineStr">
        <is>
          <t>Not assessed</t>
        </is>
      </c>
      <c r="AR130" s="29" t="inlineStr">
        <is>
          <t>Fail</t>
        </is>
      </c>
      <c r="AS130" s="29" t="inlineStr">
        <is>
          <t>Not assessed</t>
        </is>
      </c>
      <c r="AT130" s="29" t="inlineStr">
        <is>
          <t>Not assessed</t>
        </is>
      </c>
      <c r="AU130" s="29" t="inlineStr">
        <is>
          <t>Not assessed</t>
        </is>
      </c>
      <c r="AV130" s="29" t="inlineStr">
        <is>
          <t>Not assessed</t>
        </is>
      </c>
      <c r="AW130" s="29" t="inlineStr">
        <is>
          <t>Not assessed</t>
        </is>
      </c>
      <c r="AX130" s="29" t="inlineStr">
        <is>
          <t>Not assessed</t>
        </is>
      </c>
      <c r="AY130" s="29" t="inlineStr">
        <is>
          <t>Not assessed</t>
        </is>
      </c>
      <c r="AZ130" s="29" t="inlineStr">
        <is>
          <t>Not assessed</t>
        </is>
      </c>
      <c r="BA130" s="29" t="inlineStr">
        <is>
          <t>Not assessed</t>
        </is>
      </c>
      <c r="BB130" s="29" t="inlineStr">
        <is>
          <t>Not assessed</t>
        </is>
      </c>
      <c r="BC130" s="29" t="inlineStr">
        <is>
          <t>Not assessed</t>
        </is>
      </c>
      <c r="BD130" s="29" t="inlineStr">
        <is>
          <t>Fail</t>
        </is>
      </c>
      <c r="BE130" s="29" t="inlineStr">
        <is>
          <t>Blocked</t>
        </is>
      </c>
      <c r="BF130" s="29" t="inlineStr">
        <is>
          <t>The live feature is implemented, but the mobile Firebase HLS path and separate AWS IVS backend path are not reconciled; later signed-device camera candidates retained a black preview and failed acceptance.</t>
        </is>
      </c>
      <c r="BG130" s="29" t="inlineStr">
        <is>
          <t>Select the authoritative production live path; build the exact release candidate; pass authenticated host, viewer, camera-switch, end-live, recovery and dependency-failure checks on supported physical devices.</t>
        </is>
      </c>
      <c r="BH130" s="29" t="inlineStr"/>
      <c r="BI130" s="29" t="inlineStr"/>
      <c r="BJ130" s="29" t="inlineStr"/>
      <c r="BK130" s="29" t="inlineStr">
        <is>
          <t>Evidence reconciled against the reviewed source revision. No production approval is inferred from implementation or file presence.</t>
        </is>
      </c>
      <c r="BL130" s="29" t="inlineStr">
        <is>
          <t>2026-08-02</t>
        </is>
      </c>
    </row>
    <row r="131" ht="42" customHeight="1">
      <c r="A131" s="29" t="inlineStr">
        <is>
          <t>BLYP-07-003</t>
        </is>
      </c>
      <c r="B131" s="29" t="inlineStr"/>
      <c r="C131" s="29" t="inlineStr">
        <is>
          <t>Live, Battles, Your BLYP, Teams, and games header</t>
        </is>
      </c>
      <c r="D131" s="29" t="n">
        <v>7</v>
      </c>
      <c r="E131" s="29" t="n">
        <v>3</v>
      </c>
      <c r="F131" s="29" t="inlineStr">
        <is>
          <t>Feature</t>
        </is>
      </c>
      <c r="G131" s="29" t="inlineStr">
        <is>
          <t>View a live stream</t>
        </is>
      </c>
      <c r="H131" s="29" t="inlineStr">
        <is>
          <t>View a live stream</t>
        </is>
      </c>
      <c r="I131" s="29" t="inlineStr">
        <is>
          <t>/home/ubuntu/blyp_product_requirements.md :: Section 7 — Live, Battles, Your BLYP, Teams, and games header</t>
        </is>
      </c>
      <c r="J131" s="29" t="inlineStr">
        <is>
          <t>/home/ubuntu/BLYP_COMPLETE_FEATURE_LIST.md:175</t>
        </is>
      </c>
      <c r="K131" s="29" t="inlineStr">
        <is>
          <t>Required</t>
        </is>
      </c>
      <c r="L131" s="29" t="inlineStr">
        <is>
          <t>Applicable BLYP member</t>
        </is>
      </c>
      <c r="M131" s="29" t="inlineStr">
        <is>
          <t>BLYP mobile application and supporting production services</t>
        </is>
      </c>
      <c r="N131" s="29" t="inlineStr">
        <is>
          <t>View a live stream</t>
        </is>
      </c>
      <c r="O131" s="29" t="inlineStr">
        <is>
          <t>Not explicitly defined in the product source; requires accountable product approval before production sign-off.</t>
        </is>
      </c>
      <c r="P131" s="29" t="inlineStr"/>
      <c r="Q131" s="29" t="inlineStr">
        <is>
          <t>Yes</t>
        </is>
      </c>
      <c r="R131" s="29" t="inlineStr"/>
      <c r="S131" s="29" t="inlineStr">
        <is>
          <t>Partial</t>
        </is>
      </c>
      <c r="T131" s="29" t="inlineStr">
        <is>
          <t>App.js Go live and live-view routes -&gt; src/screens/LiveStreamScreen.js</t>
        </is>
      </c>
      <c r="U131" s="29" t="inlineStr">
        <is>
          <t>src/screens/LiveStreamScreen.js</t>
        </is>
      </c>
      <c r="V131" s="29" t="inlineStr">
        <is>
          <t>src/services/HLSLiveStreamService.js; camera, segment, comment, like and stream-state controls</t>
        </is>
      </c>
      <c r="W131" s="29" t="inlineStr">
        <is>
          <t>Current reviewed mobile path uses Firebase managed services directly; a separate AWS IVS backend live API also exists.</t>
        </is>
      </c>
      <c r="X131" s="29" t="inlineStr">
        <is>
          <t>Firestore liveStreams and userProfiles; Cloud Storage streams/{uid}/{streamId}</t>
        </is>
      </c>
      <c r="Y131" s="29" t="inlineStr">
        <is>
          <t>Concurrent segment upload queue; Firestore snapshots; optional Storage-triggered transcoding</t>
        </is>
      </c>
      <c r="Z131" s="29" t="inlineStr">
        <is>
          <t>Firebase Auth, Firestore, Cloud Storage; Expo Camera</t>
        </is>
      </c>
      <c r="AA131" s="29" t="inlineStr">
        <is>
          <t>Camera and microphone permissions; Firebase build mode</t>
        </is>
      </c>
      <c r="AB131" s="29" t="inlineStr">
        <is>
          <t>Expo mobile client plus Firebase managed services</t>
        </is>
      </c>
      <c r="AC131" s="30" t="inlineStr">
        <is>
          <t>RP-016</t>
        </is>
      </c>
      <c r="AD131" s="29" t="inlineStr">
        <is>
          <t>Viewer queries or subscribes to active Firestore stream records and renders the latest uploaded media segments.</t>
        </is>
      </c>
      <c r="AE131" s="29" t="inlineStr">
        <is>
          <t>User reachable</t>
        </is>
      </c>
      <c r="AF131" s="29" t="inlineStr"/>
      <c r="AG131" s="29" t="inlineStr">
        <is>
          <t>Incomplete</t>
        </is>
      </c>
      <c r="AH131" s="29" t="inlineStr">
        <is>
          <t>No</t>
        </is>
      </c>
      <c r="AI131" s="29" t="inlineStr">
        <is>
          <t>Current end-to-end physical-device verification is absent; the authoritative production live path remains unresolved.</t>
        </is>
      </c>
      <c r="AJ131" s="29" t="inlineStr">
        <is>
          <t>Source traced</t>
        </is>
      </c>
      <c r="AK131" s="29" t="inlineStr">
        <is>
          <t>EV-TGT-LIVE-001;EV-TGT-LIVE-002</t>
        </is>
      </c>
      <c r="AL131" s="29" t="inlineStr"/>
      <c r="AM131" s="29" t="inlineStr"/>
      <c r="AN131" s="29" t="inlineStr"/>
      <c r="AO131" s="29" t="inlineStr">
        <is>
          <t>8bc0dcb2a1da1b21368c5536aaeef829d587f316</t>
        </is>
      </c>
      <c r="AP131" s="29" t="inlineStr">
        <is>
          <t>High</t>
        </is>
      </c>
      <c r="AQ131" s="29" t="inlineStr">
        <is>
          <t>Not assessed</t>
        </is>
      </c>
      <c r="AR131" s="29" t="inlineStr">
        <is>
          <t>Fail</t>
        </is>
      </c>
      <c r="AS131" s="29" t="inlineStr">
        <is>
          <t>Not assessed</t>
        </is>
      </c>
      <c r="AT131" s="29" t="inlineStr">
        <is>
          <t>Not assessed</t>
        </is>
      </c>
      <c r="AU131" s="29" t="inlineStr">
        <is>
          <t>Not assessed</t>
        </is>
      </c>
      <c r="AV131" s="29" t="inlineStr">
        <is>
          <t>Not assessed</t>
        </is>
      </c>
      <c r="AW131" s="29" t="inlineStr">
        <is>
          <t>Not assessed</t>
        </is>
      </c>
      <c r="AX131" s="29" t="inlineStr">
        <is>
          <t>Not assessed</t>
        </is>
      </c>
      <c r="AY131" s="29" t="inlineStr">
        <is>
          <t>Not assessed</t>
        </is>
      </c>
      <c r="AZ131" s="29" t="inlineStr">
        <is>
          <t>Not assessed</t>
        </is>
      </c>
      <c r="BA131" s="29" t="inlineStr">
        <is>
          <t>Not assessed</t>
        </is>
      </c>
      <c r="BB131" s="29" t="inlineStr">
        <is>
          <t>Not assessed</t>
        </is>
      </c>
      <c r="BC131" s="29" t="inlineStr">
        <is>
          <t>Not assessed</t>
        </is>
      </c>
      <c r="BD131" s="29" t="inlineStr">
        <is>
          <t>Fail</t>
        </is>
      </c>
      <c r="BE131" s="29" t="inlineStr">
        <is>
          <t>Blocked</t>
        </is>
      </c>
      <c r="BF131" s="29" t="inlineStr">
        <is>
          <t>The live feature is implemented, but the mobile Firebase HLS path and separate AWS IVS backend path are not reconciled; later signed-device camera candidates retained a black preview and failed acceptance.</t>
        </is>
      </c>
      <c r="BG131" s="29" t="inlineStr">
        <is>
          <t>Select the authoritative production live path; build the exact release candidate; pass authenticated host, viewer, camera-switch, end-live, recovery and dependency-failure checks on supported physical devices.</t>
        </is>
      </c>
      <c r="BH131" s="29" t="inlineStr"/>
      <c r="BI131" s="29" t="inlineStr"/>
      <c r="BJ131" s="29" t="inlineStr"/>
      <c r="BK131" s="29" t="inlineStr">
        <is>
          <t>Evidence reconciled against the reviewed source revision. No production approval is inferred from implementation or file presence.</t>
        </is>
      </c>
      <c r="BL131" s="29" t="inlineStr">
        <is>
          <t>2026-08-02</t>
        </is>
      </c>
    </row>
    <row r="132" ht="42" customHeight="1">
      <c r="A132" s="29" t="inlineStr">
        <is>
          <t>BLYP-07-004</t>
        </is>
      </c>
      <c r="B132" s="29" t="inlineStr"/>
      <c r="C132" s="29" t="inlineStr">
        <is>
          <t>Live, Battles, Your BLYP, Teams, and games header</t>
        </is>
      </c>
      <c r="D132" s="29" t="n">
        <v>7</v>
      </c>
      <c r="E132" s="29" t="n">
        <v>4</v>
      </c>
      <c r="F132" s="29" t="inlineStr">
        <is>
          <t>Feature</t>
        </is>
      </c>
      <c r="G132" s="29" t="inlineStr">
        <is>
          <t>End a live stream</t>
        </is>
      </c>
      <c r="H132" s="29" t="inlineStr">
        <is>
          <t>End a live stream</t>
        </is>
      </c>
      <c r="I132" s="29" t="inlineStr">
        <is>
          <t>/home/ubuntu/blyp_product_requirements.md :: Section 7 — Live, Battles, Your BLYP, Teams, and games header</t>
        </is>
      </c>
      <c r="J132" s="29" t="inlineStr">
        <is>
          <t>/home/ubuntu/BLYP_COMPLETE_FEATURE_LIST.md:176</t>
        </is>
      </c>
      <c r="K132" s="29" t="inlineStr">
        <is>
          <t>Required</t>
        </is>
      </c>
      <c r="L132" s="29" t="inlineStr">
        <is>
          <t>Applicable BLYP member</t>
        </is>
      </c>
      <c r="M132" s="29" t="inlineStr">
        <is>
          <t>BLYP mobile application and supporting production services</t>
        </is>
      </c>
      <c r="N132" s="29" t="inlineStr">
        <is>
          <t>End a live stream</t>
        </is>
      </c>
      <c r="O132" s="29" t="inlineStr">
        <is>
          <t>Not explicitly defined in the product source; requires accountable product approval before production sign-off.</t>
        </is>
      </c>
      <c r="P132" s="29" t="inlineStr"/>
      <c r="Q132" s="29" t="inlineStr">
        <is>
          <t>Yes</t>
        </is>
      </c>
      <c r="R132" s="29" t="inlineStr"/>
      <c r="S132" s="29" t="inlineStr">
        <is>
          <t>End-to-end present</t>
        </is>
      </c>
      <c r="T132" s="29" t="inlineStr">
        <is>
          <t>App.js Go live and live-view routes -&gt; src/screens/LiveStreamScreen.js</t>
        </is>
      </c>
      <c r="U132" s="29" t="inlineStr">
        <is>
          <t>src/screens/LiveStreamScreen.js</t>
        </is>
      </c>
      <c r="V132" s="29" t="inlineStr">
        <is>
          <t>src/services/HLSLiveStreamService.js; camera, segment, comment, like and stream-state controls</t>
        </is>
      </c>
      <c r="W132" s="29" t="inlineStr">
        <is>
          <t>Current reviewed mobile path uses Firebase managed services directly; a separate AWS IVS backend live API also exists.</t>
        </is>
      </c>
      <c r="X132" s="29" t="inlineStr">
        <is>
          <t>Firestore liveStreams and userProfiles; Cloud Storage streams/{uid}/{streamId}</t>
        </is>
      </c>
      <c r="Y132" s="29" t="inlineStr">
        <is>
          <t>Concurrent segment upload queue; Firestore snapshots; optional Storage-triggered transcoding</t>
        </is>
      </c>
      <c r="Z132" s="29" t="inlineStr">
        <is>
          <t>Firebase Auth, Firestore, Cloud Storage; Expo Camera</t>
        </is>
      </c>
      <c r="AA132" s="29" t="inlineStr">
        <is>
          <t>Camera and microphone permissions; Firebase build mode</t>
        </is>
      </c>
      <c r="AB132" s="29" t="inlineStr">
        <is>
          <t>Expo mobile client plus Firebase managed services</t>
        </is>
      </c>
      <c r="AC132" s="30" t="inlineStr">
        <is>
          <t>RP-016</t>
        </is>
      </c>
      <c r="AD132" s="29" t="inlineStr">
        <is>
          <t>Host end-live action marks the Firestore stream ended, clears the user live state, stops pending uploads and navigates to summary. One signed-device run recorded end-live and summary as passing.</t>
        </is>
      </c>
      <c r="AE132" s="29" t="inlineStr">
        <is>
          <t>User reachable</t>
        </is>
      </c>
      <c r="AF132" s="29" t="inlineStr"/>
      <c r="AG132" s="29" t="inlineStr">
        <is>
          <t>Complete against stated requirement</t>
        </is>
      </c>
      <c r="AH132" s="29" t="inlineStr">
        <is>
          <t>Yes</t>
        </is>
      </c>
      <c r="AI132" s="29" t="inlineStr">
        <is>
          <t>The containing signed candidate still failed camera behaviour; end-live must be repeated on the final authoritative live implementation.</t>
        </is>
      </c>
      <c r="AJ132" s="29" t="inlineStr">
        <is>
          <t>Physical device observed</t>
        </is>
      </c>
      <c r="AK132" s="29" t="inlineStr">
        <is>
          <t>EV-TGT-LIVE-001;EV-TGT-LIVE-002</t>
        </is>
      </c>
      <c r="AL132" s="29" t="inlineStr"/>
      <c r="AM132" s="29" t="inlineStr">
        <is>
          <t>EV-RUN-0006</t>
        </is>
      </c>
      <c r="AN132" s="29" t="inlineStr">
        <is>
          <t>2026-07-31T01:33:31Z</t>
        </is>
      </c>
      <c r="AO132" s="29" t="inlineStr">
        <is>
          <t>Signed Fold7 candidate; run live_fix_fresh_verified_20260731_023116 | APK SHA-256 6EA90E5AFED49AD2752D3323E34DDD695C1BEB68E0F6A026FCB38D0003B24B87</t>
        </is>
      </c>
      <c r="AP132" s="29" t="inlineStr">
        <is>
          <t>High</t>
        </is>
      </c>
      <c r="AQ132" s="29" t="inlineStr">
        <is>
          <t>Not assessed</t>
        </is>
      </c>
      <c r="AR132" s="29" t="inlineStr">
        <is>
          <t>Fail</t>
        </is>
      </c>
      <c r="AS132" s="29" t="inlineStr">
        <is>
          <t>Not assessed</t>
        </is>
      </c>
      <c r="AT132" s="29" t="inlineStr">
        <is>
          <t>Not assessed</t>
        </is>
      </c>
      <c r="AU132" s="29" t="inlineStr">
        <is>
          <t>Not assessed</t>
        </is>
      </c>
      <c r="AV132" s="29" t="inlineStr">
        <is>
          <t>Not assessed</t>
        </is>
      </c>
      <c r="AW132" s="29" t="inlineStr">
        <is>
          <t>Not assessed</t>
        </is>
      </c>
      <c r="AX132" s="29" t="inlineStr">
        <is>
          <t>Not assessed</t>
        </is>
      </c>
      <c r="AY132" s="29" t="inlineStr">
        <is>
          <t>Not assessed</t>
        </is>
      </c>
      <c r="AZ132" s="29" t="inlineStr">
        <is>
          <t>Not assessed</t>
        </is>
      </c>
      <c r="BA132" s="29" t="inlineStr">
        <is>
          <t>Not assessed</t>
        </is>
      </c>
      <c r="BB132" s="29" t="inlineStr">
        <is>
          <t>Not assessed</t>
        </is>
      </c>
      <c r="BC132" s="29" t="inlineStr">
        <is>
          <t>Not assessed</t>
        </is>
      </c>
      <c r="BD132" s="29" t="inlineStr">
        <is>
          <t>Fail</t>
        </is>
      </c>
      <c r="BE132" s="29" t="inlineStr">
        <is>
          <t>Blocked</t>
        </is>
      </c>
      <c r="BF132" s="29" t="inlineStr">
        <is>
          <t>The live feature is implemented, but the mobile Firebase HLS path and separate AWS IVS backend path are not reconciled; later signed-device camera candidates retained a black preview and failed acceptance.</t>
        </is>
      </c>
      <c r="BG132" s="29" t="inlineStr">
        <is>
          <t>Select the authoritative production live path; build the exact release candidate; pass authenticated host, viewer, camera-switch, end-live, recovery and dependency-failure checks on supported physical devices.</t>
        </is>
      </c>
      <c r="BH132" s="29" t="inlineStr"/>
      <c r="BI132" s="29" t="inlineStr"/>
      <c r="BJ132" s="29" t="inlineStr"/>
      <c r="BK132" s="29" t="inlineStr">
        <is>
          <t>Evidence reconciled against the reviewed source revision. No production approval is inferred from implementation or file presence.</t>
        </is>
      </c>
      <c r="BL132" s="29" t="inlineStr">
        <is>
          <t>2026-08-02</t>
        </is>
      </c>
    </row>
    <row r="133" ht="42" customHeight="1">
      <c r="A133" s="29" t="inlineStr">
        <is>
          <t>BLYP-07-005</t>
        </is>
      </c>
      <c r="B133" s="29" t="inlineStr"/>
      <c r="C133" s="29" t="inlineStr">
        <is>
          <t>Live, Battles, Your BLYP, Teams, and games header</t>
        </is>
      </c>
      <c r="D133" s="29" t="n">
        <v>7</v>
      </c>
      <c r="E133" s="29" t="n">
        <v>5</v>
      </c>
      <c r="F133" s="29" t="inlineStr">
        <is>
          <t>Feature</t>
        </is>
      </c>
      <c r="G133" s="29" t="inlineStr">
        <is>
          <t>Live viewer counts</t>
        </is>
      </c>
      <c r="H133" s="29" t="inlineStr">
        <is>
          <t>Live viewer counts</t>
        </is>
      </c>
      <c r="I133" s="29" t="inlineStr">
        <is>
          <t>/home/ubuntu/blyp_product_requirements.md :: Section 7 — Live, Battles, Your BLYP, Teams, and games header</t>
        </is>
      </c>
      <c r="J133" s="29" t="inlineStr">
        <is>
          <t>/home/ubuntu/BLYP_COMPLETE_FEATURE_LIST.md:177</t>
        </is>
      </c>
      <c r="K133" s="29" t="inlineStr">
        <is>
          <t>Required</t>
        </is>
      </c>
      <c r="L133" s="29" t="inlineStr">
        <is>
          <t>Authenticated or eligible viewer</t>
        </is>
      </c>
      <c r="M133" s="29" t="inlineStr">
        <is>
          <t>BLYP mobile application and supporting production services</t>
        </is>
      </c>
      <c r="N133" s="29" t="inlineStr">
        <is>
          <t>Live viewer counts</t>
        </is>
      </c>
      <c r="O133" s="29" t="inlineStr">
        <is>
          <t>Not explicitly defined in the product source; requires accountable product approval before production sign-off.</t>
        </is>
      </c>
      <c r="P133" s="29" t="inlineStr"/>
      <c r="Q133" s="29" t="inlineStr">
        <is>
          <t>Yes</t>
        </is>
      </c>
      <c r="R133" s="29" t="inlineStr"/>
      <c r="S133" s="29" t="inlineStr">
        <is>
          <t>Partial</t>
        </is>
      </c>
      <c r="T133" s="29" t="inlineStr">
        <is>
          <t>App.js Go live and live-view routes -&gt; src/screens/LiveStreamScreen.js</t>
        </is>
      </c>
      <c r="U133" s="29" t="inlineStr">
        <is>
          <t>src/screens/LiveStreamScreen.js</t>
        </is>
      </c>
      <c r="V133" s="29" t="inlineStr">
        <is>
          <t>src/services/HLSLiveStreamService.js; camera, segment, comment, like and stream-state controls</t>
        </is>
      </c>
      <c r="W133" s="29" t="inlineStr">
        <is>
          <t>Current reviewed mobile path uses Firebase managed services directly; a separate AWS IVS backend live API also exists.</t>
        </is>
      </c>
      <c r="X133" s="29" t="inlineStr">
        <is>
          <t>Firestore liveStreams and userProfiles; Cloud Storage streams/{uid}/{streamId}</t>
        </is>
      </c>
      <c r="Y133" s="29" t="inlineStr">
        <is>
          <t>Concurrent segment upload queue; Firestore snapshots; optional Storage-triggered transcoding</t>
        </is>
      </c>
      <c r="Z133" s="29" t="inlineStr">
        <is>
          <t>Firebase Auth, Firestore, Cloud Storage; Expo Camera</t>
        </is>
      </c>
      <c r="AA133" s="29" t="inlineStr">
        <is>
          <t>Camera and microphone permissions; Firebase build mode</t>
        </is>
      </c>
      <c r="AB133" s="29" t="inlineStr">
        <is>
          <t>Expo mobile client plus Firebase managed services</t>
        </is>
      </c>
      <c r="AC133" s="30" t="inlineStr">
        <is>
          <t>RP-016</t>
        </is>
      </c>
      <c r="AD133" s="29" t="inlineStr">
        <is>
          <t>Viewer subscription receives liveStreams document status changes and current segment metadata.</t>
        </is>
      </c>
      <c r="AE133" s="29" t="inlineStr">
        <is>
          <t>User reachable</t>
        </is>
      </c>
      <c r="AF133" s="29" t="inlineStr"/>
      <c r="AG133" s="29" t="inlineStr">
        <is>
          <t>Incomplete</t>
        </is>
      </c>
      <c r="AH133" s="29" t="inlineStr">
        <is>
          <t>No</t>
        </is>
      </c>
      <c r="AI133" s="29" t="inlineStr">
        <is>
          <t>Current end-to-end physical-device verification is absent; the authoritative production live path remains unresolved.</t>
        </is>
      </c>
      <c r="AJ133" s="29" t="inlineStr">
        <is>
          <t>Source traced</t>
        </is>
      </c>
      <c r="AK133" s="29" t="inlineStr">
        <is>
          <t>EV-TGT-LIVE-001;EV-TGT-LIVE-002</t>
        </is>
      </c>
      <c r="AL133" s="29" t="inlineStr"/>
      <c r="AM133" s="29" t="inlineStr"/>
      <c r="AN133" s="29" t="inlineStr"/>
      <c r="AO133" s="29" t="inlineStr">
        <is>
          <t>8bc0dcb2a1da1b21368c5536aaeef829d587f316</t>
        </is>
      </c>
      <c r="AP133" s="29" t="inlineStr">
        <is>
          <t>High</t>
        </is>
      </c>
      <c r="AQ133" s="29" t="inlineStr">
        <is>
          <t>Not assessed</t>
        </is>
      </c>
      <c r="AR133" s="29" t="inlineStr">
        <is>
          <t>Fail</t>
        </is>
      </c>
      <c r="AS133" s="29" t="inlineStr">
        <is>
          <t>Not assessed</t>
        </is>
      </c>
      <c r="AT133" s="29" t="inlineStr">
        <is>
          <t>Not assessed</t>
        </is>
      </c>
      <c r="AU133" s="29" t="inlineStr">
        <is>
          <t>Not assessed</t>
        </is>
      </c>
      <c r="AV133" s="29" t="inlineStr">
        <is>
          <t>Not assessed</t>
        </is>
      </c>
      <c r="AW133" s="29" t="inlineStr">
        <is>
          <t>Not assessed</t>
        </is>
      </c>
      <c r="AX133" s="29" t="inlineStr">
        <is>
          <t>Not assessed</t>
        </is>
      </c>
      <c r="AY133" s="29" t="inlineStr">
        <is>
          <t>Not assessed</t>
        </is>
      </c>
      <c r="AZ133" s="29" t="inlineStr">
        <is>
          <t>Not assessed</t>
        </is>
      </c>
      <c r="BA133" s="29" t="inlineStr">
        <is>
          <t>Not assessed</t>
        </is>
      </c>
      <c r="BB133" s="29" t="inlineStr">
        <is>
          <t>Not assessed</t>
        </is>
      </c>
      <c r="BC133" s="29" t="inlineStr">
        <is>
          <t>Not assessed</t>
        </is>
      </c>
      <c r="BD133" s="29" t="inlineStr">
        <is>
          <t>Fail</t>
        </is>
      </c>
      <c r="BE133" s="29" t="inlineStr">
        <is>
          <t>Blocked</t>
        </is>
      </c>
      <c r="BF133" s="29" t="inlineStr">
        <is>
          <t>The live feature is implemented, but the mobile Firebase HLS path and separate AWS IVS backend path are not reconciled; later signed-device camera candidates retained a black preview and failed acceptance.</t>
        </is>
      </c>
      <c r="BG133" s="29" t="inlineStr">
        <is>
          <t>Select the authoritative production live path; build the exact release candidate; pass authenticated host, viewer, camera-switch, end-live, recovery and dependency-failure checks on supported physical devices.</t>
        </is>
      </c>
      <c r="BH133" s="29" t="inlineStr"/>
      <c r="BI133" s="29" t="inlineStr"/>
      <c r="BJ133" s="29" t="inlineStr"/>
      <c r="BK133" s="29" t="inlineStr">
        <is>
          <t>Evidence reconciled against the reviewed source revision. No production approval is inferred from implementation or file presence.</t>
        </is>
      </c>
      <c r="BL133" s="29" t="inlineStr">
        <is>
          <t>2026-08-02</t>
        </is>
      </c>
    </row>
    <row r="134" ht="42" customHeight="1">
      <c r="A134" s="29" t="inlineStr">
        <is>
          <t>BLYP-07-006</t>
        </is>
      </c>
      <c r="B134" s="29" t="inlineStr"/>
      <c r="C134" s="29" t="inlineStr">
        <is>
          <t>Live, Battles, Your BLYP, Teams, and games header</t>
        </is>
      </c>
      <c r="D134" s="29" t="n">
        <v>7</v>
      </c>
      <c r="E134" s="29" t="n">
        <v>6</v>
      </c>
      <c r="F134" s="29" t="inlineStr">
        <is>
          <t>Feature</t>
        </is>
      </c>
      <c r="G134" s="29" t="inlineStr">
        <is>
          <t>Live like counts</t>
        </is>
      </c>
      <c r="H134" s="29" t="inlineStr">
        <is>
          <t>Live like counts</t>
        </is>
      </c>
      <c r="I134" s="29" t="inlineStr">
        <is>
          <t>/home/ubuntu/blyp_product_requirements.md :: Section 7 — Live, Battles, Your BLYP, Teams, and games header</t>
        </is>
      </c>
      <c r="J134" s="29" t="inlineStr">
        <is>
          <t>/home/ubuntu/BLYP_COMPLETE_FEATURE_LIST.md:178</t>
        </is>
      </c>
      <c r="K134" s="29" t="inlineStr">
        <is>
          <t>Required</t>
        </is>
      </c>
      <c r="L134" s="29" t="inlineStr">
        <is>
          <t>Applicable BLYP member</t>
        </is>
      </c>
      <c r="M134" s="29" t="inlineStr">
        <is>
          <t>BLYP mobile application and supporting production services</t>
        </is>
      </c>
      <c r="N134" s="29" t="inlineStr">
        <is>
          <t>Live like counts</t>
        </is>
      </c>
      <c r="O134" s="29" t="inlineStr">
        <is>
          <t>Not explicitly defined in the product source; requires accountable product approval before production sign-off.</t>
        </is>
      </c>
      <c r="P134" s="29" t="inlineStr"/>
      <c r="Q134" s="29" t="inlineStr">
        <is>
          <t>Yes</t>
        </is>
      </c>
      <c r="R134" s="29" t="inlineStr"/>
      <c r="S134" s="29" t="inlineStr">
        <is>
          <t>Not found</t>
        </is>
      </c>
      <c r="T134" s="29" t="inlineStr">
        <is>
          <t>Not found</t>
        </is>
      </c>
      <c r="U134" s="29" t="inlineStr">
        <is>
          <t>Not found</t>
        </is>
      </c>
      <c r="V134" s="29" t="inlineStr">
        <is>
          <t>Not found</t>
        </is>
      </c>
      <c r="W134" s="29" t="inlineStr">
        <is>
          <t>Not found</t>
        </is>
      </c>
      <c r="X134" s="29" t="inlineStr">
        <is>
          <t>Not found</t>
        </is>
      </c>
      <c r="Y134" s="29" t="inlineStr">
        <is>
          <t>Not found</t>
        </is>
      </c>
      <c r="Z134" s="29" t="inlineStr">
        <is>
          <t>Not found</t>
        </is>
      </c>
      <c r="AA134" s="29" t="inlineStr">
        <is>
          <t>Not found</t>
        </is>
      </c>
      <c r="AB134" s="29" t="inlineStr">
        <is>
          <t>Not found</t>
        </is>
      </c>
      <c r="AC134" s="29" t="inlineStr"/>
      <c r="AD134" s="29" t="inlineStr">
        <is>
          <t>Not found</t>
        </is>
      </c>
      <c r="AE134" s="29" t="inlineStr">
        <is>
          <t>Unknown</t>
        </is>
      </c>
      <c r="AF134" s="29" t="inlineStr"/>
      <c r="AG134" s="29" t="inlineStr">
        <is>
          <t>Unknown</t>
        </is>
      </c>
      <c r="AH134" s="29" t="inlineStr">
        <is>
          <t>Unknown</t>
        </is>
      </c>
      <c r="AI134" s="29" t="inlineStr">
        <is>
          <t>Searched for 'Live like counts' in source code, no implementation found.</t>
        </is>
      </c>
      <c r="AJ134" s="29" t="inlineStr">
        <is>
          <t>Not verified</t>
        </is>
      </c>
      <c r="AK134" s="29" t="inlineStr">
        <is>
          <t>EV-07-0006</t>
        </is>
      </c>
      <c r="AL134" s="29" t="inlineStr"/>
      <c r="AM134" s="29" t="inlineStr"/>
      <c r="AN134" s="29" t="inlineStr"/>
      <c r="AO134" s="29" t="inlineStr">
        <is>
          <t>8bc0dcb2a1da1b21368c5536aaeef829d587f316</t>
        </is>
      </c>
      <c r="AP134" s="29" t="inlineStr">
        <is>
          <t>Low</t>
        </is>
      </c>
      <c r="AQ134" s="29" t="inlineStr">
        <is>
          <t>Not assessed</t>
        </is>
      </c>
      <c r="AR134" s="29" t="inlineStr">
        <is>
          <t>Not assessed</t>
        </is>
      </c>
      <c r="AS134" s="29" t="inlineStr">
        <is>
          <t>Not assessed</t>
        </is>
      </c>
      <c r="AT134" s="29" t="inlineStr">
        <is>
          <t>Not assessed</t>
        </is>
      </c>
      <c r="AU134" s="29" t="inlineStr">
        <is>
          <t>Not assessed</t>
        </is>
      </c>
      <c r="AV134" s="29" t="inlineStr">
        <is>
          <t>Not assessed</t>
        </is>
      </c>
      <c r="AW134" s="29" t="inlineStr">
        <is>
          <t>Not assessed</t>
        </is>
      </c>
      <c r="AX134" s="29" t="inlineStr">
        <is>
          <t>Not assessed</t>
        </is>
      </c>
      <c r="AY134" s="29" t="inlineStr">
        <is>
          <t>Not assessed</t>
        </is>
      </c>
      <c r="AZ134" s="29" t="inlineStr">
        <is>
          <t>Not assessed</t>
        </is>
      </c>
      <c r="BA134" s="29" t="inlineStr">
        <is>
          <t>Not assessed</t>
        </is>
      </c>
      <c r="BB134" s="29" t="inlineStr">
        <is>
          <t>Not assessed</t>
        </is>
      </c>
      <c r="BC134" s="29" t="inlineStr">
        <is>
          <t>Not assessed</t>
        </is>
      </c>
      <c r="BD134" s="29" t="inlineStr">
        <is>
          <t>Not assessed</t>
        </is>
      </c>
      <c r="BE134" s="29" t="inlineStr">
        <is>
          <t>Development required</t>
        </is>
      </c>
      <c r="BF134" s="29" t="inlineStr">
        <is>
          <t>Physical implementation is not complete against the stated requirement.; Searched for 'Live like counts' in source code, no implementation found.</t>
        </is>
      </c>
      <c r="BG134" s="29" t="inlineStr"/>
      <c r="BH134" s="29" t="inlineStr"/>
      <c r="BI134" s="29" t="inlineStr"/>
      <c r="BJ134" s="29" t="inlineStr"/>
      <c r="BK134" s="29" t="inlineStr">
        <is>
          <t>Evidence reconciled against the reviewed source revision. No production approval is inferred from implementation or file presence.</t>
        </is>
      </c>
      <c r="BL134" s="29" t="inlineStr">
        <is>
          <t>2026-08-02</t>
        </is>
      </c>
    </row>
    <row r="135" ht="42" customHeight="1">
      <c r="A135" s="29" t="inlineStr">
        <is>
          <t>BLYP-07-007</t>
        </is>
      </c>
      <c r="B135" s="29" t="inlineStr"/>
      <c r="C135" s="29" t="inlineStr">
        <is>
          <t>Live, Battles, Your BLYP, Teams, and games header</t>
        </is>
      </c>
      <c r="D135" s="29" t="n">
        <v>7</v>
      </c>
      <c r="E135" s="29" t="n">
        <v>7</v>
      </c>
      <c r="F135" s="29" t="inlineStr">
        <is>
          <t>Feature</t>
        </is>
      </c>
      <c r="G135" s="29" t="inlineStr">
        <is>
          <t>Live guest invitation and approval foundations</t>
        </is>
      </c>
      <c r="H135" s="29" t="inlineStr">
        <is>
          <t>Live guest invitation and approval foundations</t>
        </is>
      </c>
      <c r="I135" s="29" t="inlineStr">
        <is>
          <t>/home/ubuntu/blyp_product_requirements.md :: Section 7 — Live, Battles, Your BLYP, Teams, and games header</t>
        </is>
      </c>
      <c r="J135" s="29" t="inlineStr">
        <is>
          <t>/home/ubuntu/BLYP_COMPLETE_FEATURE_LIST.md:179</t>
        </is>
      </c>
      <c r="K135" s="29" t="inlineStr">
        <is>
          <t>Required</t>
        </is>
      </c>
      <c r="L135" s="29" t="inlineStr">
        <is>
          <t>Authenticated or eligible viewer</t>
        </is>
      </c>
      <c r="M135" s="29" t="inlineStr">
        <is>
          <t>BLYP mobile application and supporting production services</t>
        </is>
      </c>
      <c r="N135" s="29" t="inlineStr">
        <is>
          <t>Live guest invitation and approval foundations</t>
        </is>
      </c>
      <c r="O135" s="29" t="inlineStr">
        <is>
          <t>Not explicitly defined in the product source; requires accountable product approval before production sign-off.</t>
        </is>
      </c>
      <c r="P135" s="29" t="inlineStr"/>
      <c r="Q135" s="29" t="inlineStr">
        <is>
          <t>Yes</t>
        </is>
      </c>
      <c r="R135" s="29" t="inlineStr"/>
      <c r="S135" s="29" t="inlineStr">
        <is>
          <t>Partial</t>
        </is>
      </c>
      <c r="T135" s="29" t="inlineStr">
        <is>
          <t>App.js Go live and live-view routes -&gt; src/screens/LiveStreamScreen.js</t>
        </is>
      </c>
      <c r="U135" s="29" t="inlineStr">
        <is>
          <t>src/screens/LiveStreamScreen.js</t>
        </is>
      </c>
      <c r="V135" s="29" t="inlineStr">
        <is>
          <t>src/services/HLSLiveStreamService.js; camera, segment, comment, like and stream-state controls</t>
        </is>
      </c>
      <c r="W135" s="29" t="inlineStr">
        <is>
          <t>Current reviewed mobile path uses Firebase managed services directly; a separate AWS IVS backend live API also exists.</t>
        </is>
      </c>
      <c r="X135" s="29" t="inlineStr">
        <is>
          <t>Firestore liveStreams and userProfiles; Cloud Storage streams/{uid}/{streamId}</t>
        </is>
      </c>
      <c r="Y135" s="29" t="inlineStr">
        <is>
          <t>Concurrent segment upload queue; Firestore snapshots; optional Storage-triggered transcoding</t>
        </is>
      </c>
      <c r="Z135" s="29" t="inlineStr">
        <is>
          <t>Firebase Auth, Firestore, Cloud Storage; Expo Camera</t>
        </is>
      </c>
      <c r="AA135" s="29" t="inlineStr">
        <is>
          <t>Camera and microphone permissions; Firebase build mode</t>
        </is>
      </c>
      <c r="AB135" s="29" t="inlineStr">
        <is>
          <t>Expo mobile client plus Firebase managed services</t>
        </is>
      </c>
      <c r="AC135" s="30" t="inlineStr">
        <is>
          <t>RP-016</t>
        </is>
      </c>
      <c r="AD135" s="29" t="inlineStr">
        <is>
          <t>Service queries active liveStreams records and falls back to an in-memory list when the compound index is unavailable.</t>
        </is>
      </c>
      <c r="AE135" s="29" t="inlineStr">
        <is>
          <t>User reachable</t>
        </is>
      </c>
      <c r="AF135" s="29" t="inlineStr"/>
      <c r="AG135" s="29" t="inlineStr">
        <is>
          <t>Incomplete</t>
        </is>
      </c>
      <c r="AH135" s="29" t="inlineStr">
        <is>
          <t>No</t>
        </is>
      </c>
      <c r="AI135" s="29" t="inlineStr">
        <is>
          <t>Current end-to-end physical-device verification is absent; the authoritative production live path remains unresolved.</t>
        </is>
      </c>
      <c r="AJ135" s="29" t="inlineStr">
        <is>
          <t>Source traced</t>
        </is>
      </c>
      <c r="AK135" s="29" t="inlineStr">
        <is>
          <t>EV-TGT-LIVE-001;EV-TGT-LIVE-002</t>
        </is>
      </c>
      <c r="AL135" s="29" t="inlineStr"/>
      <c r="AM135" s="29" t="inlineStr"/>
      <c r="AN135" s="29" t="inlineStr"/>
      <c r="AO135" s="29" t="inlineStr">
        <is>
          <t>8bc0dcb2a1da1b21368c5536aaeef829d587f316</t>
        </is>
      </c>
      <c r="AP135" s="29" t="inlineStr">
        <is>
          <t>High</t>
        </is>
      </c>
      <c r="AQ135" s="29" t="inlineStr">
        <is>
          <t>Not assessed</t>
        </is>
      </c>
      <c r="AR135" s="29" t="inlineStr">
        <is>
          <t>Fail</t>
        </is>
      </c>
      <c r="AS135" s="29" t="inlineStr">
        <is>
          <t>Not assessed</t>
        </is>
      </c>
      <c r="AT135" s="29" t="inlineStr">
        <is>
          <t>Not assessed</t>
        </is>
      </c>
      <c r="AU135" s="29" t="inlineStr">
        <is>
          <t>Not assessed</t>
        </is>
      </c>
      <c r="AV135" s="29" t="inlineStr">
        <is>
          <t>Not assessed</t>
        </is>
      </c>
      <c r="AW135" s="29" t="inlineStr">
        <is>
          <t>Not assessed</t>
        </is>
      </c>
      <c r="AX135" s="29" t="inlineStr">
        <is>
          <t>Not assessed</t>
        </is>
      </c>
      <c r="AY135" s="29" t="inlineStr">
        <is>
          <t>Not assessed</t>
        </is>
      </c>
      <c r="AZ135" s="29" t="inlineStr">
        <is>
          <t>Not assessed</t>
        </is>
      </c>
      <c r="BA135" s="29" t="inlineStr">
        <is>
          <t>Not assessed</t>
        </is>
      </c>
      <c r="BB135" s="29" t="inlineStr">
        <is>
          <t>Not assessed</t>
        </is>
      </c>
      <c r="BC135" s="29" t="inlineStr">
        <is>
          <t>Not assessed</t>
        </is>
      </c>
      <c r="BD135" s="29" t="inlineStr">
        <is>
          <t>Fail</t>
        </is>
      </c>
      <c r="BE135" s="29" t="inlineStr">
        <is>
          <t>Blocked</t>
        </is>
      </c>
      <c r="BF135" s="29" t="inlineStr">
        <is>
          <t>The live feature is implemented, but the mobile Firebase HLS path and separate AWS IVS backend path are not reconciled; later signed-device camera candidates retained a black preview and failed acceptance.</t>
        </is>
      </c>
      <c r="BG135" s="29" t="inlineStr">
        <is>
          <t>Select the authoritative production live path; build the exact release candidate; pass authenticated host, viewer, camera-switch, end-live, recovery and dependency-failure checks on supported physical devices.</t>
        </is>
      </c>
      <c r="BH135" s="29" t="inlineStr"/>
      <c r="BI135" s="29" t="inlineStr"/>
      <c r="BJ135" s="29" t="inlineStr"/>
      <c r="BK135" s="29" t="inlineStr">
        <is>
          <t>Evidence reconciled against the reviewed source revision. No production approval is inferred from implementation or file presence.</t>
        </is>
      </c>
      <c r="BL135" s="29" t="inlineStr">
        <is>
          <t>2026-08-02</t>
        </is>
      </c>
    </row>
    <row r="136" ht="42" customHeight="1">
      <c r="A136" s="29" t="inlineStr">
        <is>
          <t>BLYP-07-008</t>
        </is>
      </c>
      <c r="B136" s="29" t="inlineStr"/>
      <c r="C136" s="29" t="inlineStr">
        <is>
          <t>Live, Battles, Your BLYP, Teams, and games header</t>
        </is>
      </c>
      <c r="D136" s="29" t="n">
        <v>7</v>
      </c>
      <c r="E136" s="29" t="n">
        <v>8</v>
      </c>
      <c r="F136" s="29" t="inlineStr">
        <is>
          <t>Feature</t>
        </is>
      </c>
      <c r="G136" s="29" t="inlineStr">
        <is>
          <t>Battles destination</t>
        </is>
      </c>
      <c r="H136" s="29" t="inlineStr">
        <is>
          <t>Battles destination</t>
        </is>
      </c>
      <c r="I136" s="29" t="inlineStr">
        <is>
          <t>/home/ubuntu/blyp_product_requirements.md :: Section 7 — Live, Battles, Your BLYP, Teams, and games header</t>
        </is>
      </c>
      <c r="J136" s="29" t="inlineStr">
        <is>
          <t>/home/ubuntu/BLYP_COMPLETE_FEATURE_LIST.md:180</t>
        </is>
      </c>
      <c r="K136" s="29" t="inlineStr">
        <is>
          <t>Required</t>
        </is>
      </c>
      <c r="L136" s="29" t="inlineStr">
        <is>
          <t>Applicable BLYP member</t>
        </is>
      </c>
      <c r="M136" s="29" t="inlineStr">
        <is>
          <t>BLYP mobile application and supporting production services</t>
        </is>
      </c>
      <c r="N136" s="29" t="inlineStr">
        <is>
          <t>Battles destination</t>
        </is>
      </c>
      <c r="O136" s="29" t="inlineStr">
        <is>
          <t>Not explicitly defined in the product source; requires accountable product approval before production sign-off.</t>
        </is>
      </c>
      <c r="P136" s="29" t="inlineStr"/>
      <c r="Q136" s="29" t="inlineStr">
        <is>
          <t>Scaffold only</t>
        </is>
      </c>
      <c r="R136" s="29" t="inlineStr"/>
      <c r="S136" s="29" t="inlineStr">
        <is>
          <t>Partial</t>
        </is>
      </c>
      <c r="T136" s="29" t="inlineStr">
        <is>
          <t>App.js Go live and live-view routes -&gt; src/screens/LiveStreamScreen.js</t>
        </is>
      </c>
      <c r="U136" s="29" t="inlineStr">
        <is>
          <t>src/screens/LiveStreamScreen.js</t>
        </is>
      </c>
      <c r="V136" s="29" t="inlineStr">
        <is>
          <t>src/services/HLSLiveStreamService.js; camera, segment, comment, like and stream-state controls</t>
        </is>
      </c>
      <c r="W136" s="29" t="inlineStr">
        <is>
          <t>Current reviewed mobile path uses Firebase managed services directly; a separate AWS IVS backend live API also exists.</t>
        </is>
      </c>
      <c r="X136" s="29" t="inlineStr">
        <is>
          <t>Firestore liveStreams and userProfiles; Cloud Storage streams/{uid}/{streamId}</t>
        </is>
      </c>
      <c r="Y136" s="29" t="inlineStr">
        <is>
          <t>Concurrent segment upload queue; Firestore snapshots; optional Storage-triggered transcoding</t>
        </is>
      </c>
      <c r="Z136" s="29" t="inlineStr">
        <is>
          <t>Firebase Auth, Firestore, Cloud Storage; Expo Camera</t>
        </is>
      </c>
      <c r="AA136" s="29" t="inlineStr">
        <is>
          <t>Camera and microphone permissions; Firebase build mode</t>
        </is>
      </c>
      <c r="AB136" s="29" t="inlineStr">
        <is>
          <t>Expo mobile client plus Firebase managed services</t>
        </is>
      </c>
      <c r="AC136" s="30" t="inlineStr">
        <is>
          <t>RP-016</t>
        </is>
      </c>
      <c r="AD136" s="29" t="inlineStr">
        <is>
          <t>Viewer selects an active stream and subscribes to Firestore metadata and segment updates.</t>
        </is>
      </c>
      <c r="AE136" s="29" t="inlineStr">
        <is>
          <t>User reachable</t>
        </is>
      </c>
      <c r="AF136" s="29" t="inlineStr"/>
      <c r="AG136" s="29" t="inlineStr">
        <is>
          <t>Incomplete</t>
        </is>
      </c>
      <c r="AH136" s="29" t="inlineStr">
        <is>
          <t>No</t>
        </is>
      </c>
      <c r="AI136" s="29" t="inlineStr">
        <is>
          <t>Current end-to-end physical-device verification is absent; the authoritative production live path remains unresolved.</t>
        </is>
      </c>
      <c r="AJ136" s="29" t="inlineStr">
        <is>
          <t>Source traced</t>
        </is>
      </c>
      <c r="AK136" s="29" t="inlineStr">
        <is>
          <t>EV-TGT-LIVE-001;EV-TGT-LIVE-002</t>
        </is>
      </c>
      <c r="AL136" s="29" t="inlineStr"/>
      <c r="AM136" s="29" t="inlineStr"/>
      <c r="AN136" s="29" t="inlineStr"/>
      <c r="AO136" s="29" t="inlineStr">
        <is>
          <t>8bc0dcb2a1da1b21368c5536aaeef829d587f316</t>
        </is>
      </c>
      <c r="AP136" s="29" t="inlineStr">
        <is>
          <t>High</t>
        </is>
      </c>
      <c r="AQ136" s="29" t="inlineStr">
        <is>
          <t>Not assessed</t>
        </is>
      </c>
      <c r="AR136" s="29" t="inlineStr">
        <is>
          <t>Fail</t>
        </is>
      </c>
      <c r="AS136" s="29" t="inlineStr">
        <is>
          <t>Not assessed</t>
        </is>
      </c>
      <c r="AT136" s="29" t="inlineStr">
        <is>
          <t>Not assessed</t>
        </is>
      </c>
      <c r="AU136" s="29" t="inlineStr">
        <is>
          <t>Not assessed</t>
        </is>
      </c>
      <c r="AV136" s="29" t="inlineStr">
        <is>
          <t>Not assessed</t>
        </is>
      </c>
      <c r="AW136" s="29" t="inlineStr">
        <is>
          <t>Not assessed</t>
        </is>
      </c>
      <c r="AX136" s="29" t="inlineStr">
        <is>
          <t>Not assessed</t>
        </is>
      </c>
      <c r="AY136" s="29" t="inlineStr">
        <is>
          <t>Not assessed</t>
        </is>
      </c>
      <c r="AZ136" s="29" t="inlineStr">
        <is>
          <t>Not assessed</t>
        </is>
      </c>
      <c r="BA136" s="29" t="inlineStr">
        <is>
          <t>Not assessed</t>
        </is>
      </c>
      <c r="BB136" s="29" t="inlineStr">
        <is>
          <t>Not assessed</t>
        </is>
      </c>
      <c r="BC136" s="29" t="inlineStr">
        <is>
          <t>Not assessed</t>
        </is>
      </c>
      <c r="BD136" s="29" t="inlineStr">
        <is>
          <t>Fail</t>
        </is>
      </c>
      <c r="BE136" s="29" t="inlineStr">
        <is>
          <t>Blocked</t>
        </is>
      </c>
      <c r="BF136" s="29" t="inlineStr">
        <is>
          <t>The live feature is implemented, but the mobile Firebase HLS path and separate AWS IVS backend path are not reconciled; later signed-device camera candidates retained a black preview and failed acceptance.</t>
        </is>
      </c>
      <c r="BG136" s="29" t="inlineStr">
        <is>
          <t>Select the authoritative production live path; build the exact release candidate; pass authenticated host, viewer, camera-switch, end-live, recovery and dependency-failure checks on supported physical devices.</t>
        </is>
      </c>
      <c r="BH136" s="29" t="inlineStr"/>
      <c r="BI136" s="29" t="inlineStr"/>
      <c r="BJ136" s="29" t="inlineStr"/>
      <c r="BK136" s="29" t="inlineStr">
        <is>
          <t>Evidence reconciled against the reviewed source revision. No production approval is inferred from implementation or file presence.</t>
        </is>
      </c>
      <c r="BL136" s="29" t="inlineStr">
        <is>
          <t>2026-08-02</t>
        </is>
      </c>
    </row>
    <row r="137" ht="42" customHeight="1">
      <c r="A137" s="29" t="inlineStr">
        <is>
          <t>BLYP-07-009</t>
        </is>
      </c>
      <c r="B137" s="29" t="inlineStr"/>
      <c r="C137" s="29" t="inlineStr">
        <is>
          <t>Live, Battles, Your BLYP, Teams, and games header</t>
        </is>
      </c>
      <c r="D137" s="29" t="n">
        <v>7</v>
      </c>
      <c r="E137" s="29" t="n">
        <v>9</v>
      </c>
      <c r="F137" s="29" t="inlineStr">
        <is>
          <t>Feature</t>
        </is>
      </c>
      <c r="G137" s="29" t="inlineStr">
        <is>
          <t>Battle discovery</t>
        </is>
      </c>
      <c r="H137" s="29" t="inlineStr">
        <is>
          <t>Battle discovery</t>
        </is>
      </c>
      <c r="I137" s="29" t="inlineStr">
        <is>
          <t>/home/ubuntu/blyp_product_requirements.md :: Section 7 — Live, Battles, Your BLYP, Teams, and games header</t>
        </is>
      </c>
      <c r="J137" s="29" t="inlineStr">
        <is>
          <t>/home/ubuntu/BLYP_COMPLETE_FEATURE_LIST.md:181</t>
        </is>
      </c>
      <c r="K137" s="29" t="inlineStr">
        <is>
          <t>Required</t>
        </is>
      </c>
      <c r="L137" s="29" t="inlineStr">
        <is>
          <t>Applicable BLYP member</t>
        </is>
      </c>
      <c r="M137" s="29" t="inlineStr">
        <is>
          <t>BLYP mobile application and supporting production services</t>
        </is>
      </c>
      <c r="N137" s="29" t="inlineStr">
        <is>
          <t>Battle discovery</t>
        </is>
      </c>
      <c r="O137" s="29" t="inlineStr">
        <is>
          <t>Not explicitly defined in the product source; requires accountable product approval before production sign-off.</t>
        </is>
      </c>
      <c r="P137" s="29" t="inlineStr"/>
      <c r="Q137" s="29" t="inlineStr">
        <is>
          <t>Partial</t>
        </is>
      </c>
      <c r="R137" s="29" t="inlineStr"/>
      <c r="S137" s="29" t="inlineStr">
        <is>
          <t>Partial</t>
        </is>
      </c>
      <c r="T137" s="29" t="inlineStr">
        <is>
          <t>App.js Go live and live-view routes -&gt; src/screens/LiveStreamScreen.js</t>
        </is>
      </c>
      <c r="U137" s="29" t="inlineStr">
        <is>
          <t>src/screens/LiveStreamScreen.js</t>
        </is>
      </c>
      <c r="V137" s="29" t="inlineStr">
        <is>
          <t>src/services/HLSLiveStreamService.js; camera, segment, comment, like and stream-state controls</t>
        </is>
      </c>
      <c r="W137" s="29" t="inlineStr">
        <is>
          <t>Current reviewed mobile path uses Firebase managed services directly; a separate AWS IVS backend live API also exists.</t>
        </is>
      </c>
      <c r="X137" s="29" t="inlineStr">
        <is>
          <t>Firestore liveStreams and userProfiles; Cloud Storage streams/{uid}/{streamId}</t>
        </is>
      </c>
      <c r="Y137" s="29" t="inlineStr">
        <is>
          <t>Concurrent segment upload queue; Firestore snapshots; optional Storage-triggered transcoding</t>
        </is>
      </c>
      <c r="Z137" s="29" t="inlineStr">
        <is>
          <t>Firebase Auth, Firestore, Cloud Storage; Expo Camera</t>
        </is>
      </c>
      <c r="AA137" s="29" t="inlineStr">
        <is>
          <t>Camera and microphone permissions; Firebase build mode</t>
        </is>
      </c>
      <c r="AB137" s="29" t="inlineStr">
        <is>
          <t>Expo mobile client plus Firebase managed services</t>
        </is>
      </c>
      <c r="AC137" s="30" t="inlineStr">
        <is>
          <t>RP-016</t>
        </is>
      </c>
      <c r="AD137" s="29" t="inlineStr">
        <is>
          <t>LiveStreamScreen displays stream counters carried in the live-stream state; current counter accuracy is not device-verified.</t>
        </is>
      </c>
      <c r="AE137" s="29" t="inlineStr">
        <is>
          <t>User reachable</t>
        </is>
      </c>
      <c r="AF137" s="29" t="inlineStr"/>
      <c r="AG137" s="29" t="inlineStr">
        <is>
          <t>Incomplete</t>
        </is>
      </c>
      <c r="AH137" s="29" t="inlineStr">
        <is>
          <t>No</t>
        </is>
      </c>
      <c r="AI137" s="29" t="inlineStr">
        <is>
          <t>Current end-to-end physical-device verification is absent; the authoritative production live path remains unresolved.</t>
        </is>
      </c>
      <c r="AJ137" s="29" t="inlineStr">
        <is>
          <t>Source traced</t>
        </is>
      </c>
      <c r="AK137" s="29" t="inlineStr">
        <is>
          <t>EV-TGT-LIVE-001;EV-TGT-LIVE-002</t>
        </is>
      </c>
      <c r="AL137" s="29" t="inlineStr"/>
      <c r="AM137" s="29" t="inlineStr"/>
      <c r="AN137" s="29" t="inlineStr"/>
      <c r="AO137" s="29" t="inlineStr">
        <is>
          <t>8bc0dcb2a1da1b21368c5536aaeef829d587f316</t>
        </is>
      </c>
      <c r="AP137" s="29" t="inlineStr">
        <is>
          <t>High</t>
        </is>
      </c>
      <c r="AQ137" s="29" t="inlineStr">
        <is>
          <t>Not assessed</t>
        </is>
      </c>
      <c r="AR137" s="29" t="inlineStr">
        <is>
          <t>Fail</t>
        </is>
      </c>
      <c r="AS137" s="29" t="inlineStr">
        <is>
          <t>Not assessed</t>
        </is>
      </c>
      <c r="AT137" s="29" t="inlineStr">
        <is>
          <t>Not assessed</t>
        </is>
      </c>
      <c r="AU137" s="29" t="inlineStr">
        <is>
          <t>Not assessed</t>
        </is>
      </c>
      <c r="AV137" s="29" t="inlineStr">
        <is>
          <t>Not assessed</t>
        </is>
      </c>
      <c r="AW137" s="29" t="inlineStr">
        <is>
          <t>Not assessed</t>
        </is>
      </c>
      <c r="AX137" s="29" t="inlineStr">
        <is>
          <t>Not assessed</t>
        </is>
      </c>
      <c r="AY137" s="29" t="inlineStr">
        <is>
          <t>Not assessed</t>
        </is>
      </c>
      <c r="AZ137" s="29" t="inlineStr">
        <is>
          <t>Not assessed</t>
        </is>
      </c>
      <c r="BA137" s="29" t="inlineStr">
        <is>
          <t>Not assessed</t>
        </is>
      </c>
      <c r="BB137" s="29" t="inlineStr">
        <is>
          <t>Not assessed</t>
        </is>
      </c>
      <c r="BC137" s="29" t="inlineStr">
        <is>
          <t>Not assessed</t>
        </is>
      </c>
      <c r="BD137" s="29" t="inlineStr">
        <is>
          <t>Fail</t>
        </is>
      </c>
      <c r="BE137" s="29" t="inlineStr">
        <is>
          <t>Blocked</t>
        </is>
      </c>
      <c r="BF137" s="29" t="inlineStr">
        <is>
          <t>The live feature is implemented, but the mobile Firebase HLS path and separate AWS IVS backend path are not reconciled; later signed-device camera candidates retained a black preview and failed acceptance.</t>
        </is>
      </c>
      <c r="BG137" s="29" t="inlineStr">
        <is>
          <t>Select the authoritative production live path; build the exact release candidate; pass authenticated host, viewer, camera-switch, end-live, recovery and dependency-failure checks on supported physical devices.</t>
        </is>
      </c>
      <c r="BH137" s="29" t="inlineStr"/>
      <c r="BI137" s="29" t="inlineStr"/>
      <c r="BJ137" s="29" t="inlineStr"/>
      <c r="BK137" s="29" t="inlineStr">
        <is>
          <t>Evidence reconciled against the reviewed source revision. No production approval is inferred from implementation or file presence.</t>
        </is>
      </c>
      <c r="BL137" s="29" t="inlineStr">
        <is>
          <t>2026-08-02</t>
        </is>
      </c>
    </row>
    <row r="138" ht="42" customHeight="1">
      <c r="A138" s="29" t="inlineStr">
        <is>
          <t>BLYP-07-010</t>
        </is>
      </c>
      <c r="B138" s="29" t="inlineStr"/>
      <c r="C138" s="29" t="inlineStr">
        <is>
          <t>Live, Battles, Your BLYP, Teams, and games header</t>
        </is>
      </c>
      <c r="D138" s="29" t="n">
        <v>7</v>
      </c>
      <c r="E138" s="29" t="n">
        <v>10</v>
      </c>
      <c r="F138" s="29" t="inlineStr">
        <is>
          <t>Feature</t>
        </is>
      </c>
      <c r="G138" s="29" t="inlineStr">
        <is>
          <t>Battle rules</t>
        </is>
      </c>
      <c r="H138" s="29" t="inlineStr">
        <is>
          <t>Battle rules</t>
        </is>
      </c>
      <c r="I138" s="29" t="inlineStr">
        <is>
          <t>/home/ubuntu/blyp_product_requirements.md :: Section 7 — Live, Battles, Your BLYP, Teams, and games header</t>
        </is>
      </c>
      <c r="J138" s="29" t="inlineStr">
        <is>
          <t>/home/ubuntu/BLYP_COMPLETE_FEATURE_LIST.md:182</t>
        </is>
      </c>
      <c r="K138" s="29" t="inlineStr">
        <is>
          <t>Required</t>
        </is>
      </c>
      <c r="L138" s="29" t="inlineStr">
        <is>
          <t>Applicable BLYP member</t>
        </is>
      </c>
      <c r="M138" s="29" t="inlineStr">
        <is>
          <t>BLYP mobile application and supporting production services</t>
        </is>
      </c>
      <c r="N138" s="29" t="inlineStr">
        <is>
          <t>Battle rules</t>
        </is>
      </c>
      <c r="O138" s="29" t="inlineStr">
        <is>
          <t>Not explicitly defined in the product source; requires accountable product approval before production sign-off.</t>
        </is>
      </c>
      <c r="P138" s="29" t="inlineStr"/>
      <c r="Q138" s="29" t="inlineStr">
        <is>
          <t>Partial</t>
        </is>
      </c>
      <c r="R138" s="29" t="inlineStr"/>
      <c r="S138" s="29" t="inlineStr">
        <is>
          <t>Not found</t>
        </is>
      </c>
      <c r="T138" s="29" t="inlineStr">
        <is>
          <t>Not found</t>
        </is>
      </c>
      <c r="U138" s="29" t="inlineStr">
        <is>
          <t>Not found</t>
        </is>
      </c>
      <c r="V138" s="29" t="inlineStr">
        <is>
          <t>Not found</t>
        </is>
      </c>
      <c r="W138" s="29" t="inlineStr">
        <is>
          <t>Not found</t>
        </is>
      </c>
      <c r="X138" s="29" t="inlineStr">
        <is>
          <t>Not found</t>
        </is>
      </c>
      <c r="Y138" s="29" t="inlineStr">
        <is>
          <t>Not found</t>
        </is>
      </c>
      <c r="Z138" s="29" t="inlineStr">
        <is>
          <t>Not found</t>
        </is>
      </c>
      <c r="AA138" s="29" t="inlineStr">
        <is>
          <t>Not found</t>
        </is>
      </c>
      <c r="AB138" s="29" t="inlineStr">
        <is>
          <t>Not found</t>
        </is>
      </c>
      <c r="AC138" s="29" t="inlineStr"/>
      <c r="AD138" s="29" t="inlineStr">
        <is>
          <t>Not found</t>
        </is>
      </c>
      <c r="AE138" s="29" t="inlineStr">
        <is>
          <t>Unknown</t>
        </is>
      </c>
      <c r="AF138" s="29" t="inlineStr"/>
      <c r="AG138" s="29" t="inlineStr">
        <is>
          <t>Unknown</t>
        </is>
      </c>
      <c r="AH138" s="29" t="inlineStr">
        <is>
          <t>Unknown</t>
        </is>
      </c>
      <c r="AI138" s="29" t="inlineStr">
        <is>
          <t>Searched for 'Battle rules' in source code, no implementation found.</t>
        </is>
      </c>
      <c r="AJ138" s="29" t="inlineStr">
        <is>
          <t>Not verified</t>
        </is>
      </c>
      <c r="AK138" s="29" t="inlineStr">
        <is>
          <t>EV-07-0010</t>
        </is>
      </c>
      <c r="AL138" s="29" t="inlineStr"/>
      <c r="AM138" s="29" t="inlineStr"/>
      <c r="AN138" s="29" t="inlineStr"/>
      <c r="AO138" s="29" t="inlineStr">
        <is>
          <t>8bc0dcb2a1da1b21368c5536aaeef829d587f316</t>
        </is>
      </c>
      <c r="AP138" s="29" t="inlineStr">
        <is>
          <t>Low</t>
        </is>
      </c>
      <c r="AQ138" s="29" t="inlineStr">
        <is>
          <t>Not assessed</t>
        </is>
      </c>
      <c r="AR138" s="29" t="inlineStr">
        <is>
          <t>Not assessed</t>
        </is>
      </c>
      <c r="AS138" s="29" t="inlineStr">
        <is>
          <t>Not assessed</t>
        </is>
      </c>
      <c r="AT138" s="29" t="inlineStr">
        <is>
          <t>Not assessed</t>
        </is>
      </c>
      <c r="AU138" s="29" t="inlineStr">
        <is>
          <t>Not assessed</t>
        </is>
      </c>
      <c r="AV138" s="29" t="inlineStr">
        <is>
          <t>Not assessed</t>
        </is>
      </c>
      <c r="AW138" s="29" t="inlineStr">
        <is>
          <t>Not assessed</t>
        </is>
      </c>
      <c r="AX138" s="29" t="inlineStr">
        <is>
          <t>Not assessed</t>
        </is>
      </c>
      <c r="AY138" s="29" t="inlineStr">
        <is>
          <t>Not assessed</t>
        </is>
      </c>
      <c r="AZ138" s="29" t="inlineStr">
        <is>
          <t>Not assessed</t>
        </is>
      </c>
      <c r="BA138" s="29" t="inlineStr">
        <is>
          <t>Not assessed</t>
        </is>
      </c>
      <c r="BB138" s="29" t="inlineStr">
        <is>
          <t>Not assessed</t>
        </is>
      </c>
      <c r="BC138" s="29" t="inlineStr">
        <is>
          <t>Not assessed</t>
        </is>
      </c>
      <c r="BD138" s="29" t="inlineStr">
        <is>
          <t>Not assessed</t>
        </is>
      </c>
      <c r="BE138" s="29" t="inlineStr">
        <is>
          <t>Development required</t>
        </is>
      </c>
      <c r="BF138" s="29" t="inlineStr">
        <is>
          <t>Physical implementation is not complete against the stated requirement.; Searched for 'Battle rules' in source code, no implementation found.</t>
        </is>
      </c>
      <c r="BG138" s="29" t="inlineStr"/>
      <c r="BH138" s="29" t="inlineStr"/>
      <c r="BI138" s="29" t="inlineStr"/>
      <c r="BJ138" s="29" t="inlineStr"/>
      <c r="BK138" s="29" t="inlineStr">
        <is>
          <t>Evidence reconciled against the reviewed source revision. No production approval is inferred from implementation or file presence.</t>
        </is>
      </c>
      <c r="BL138" s="29" t="inlineStr">
        <is>
          <t>2026-08-02</t>
        </is>
      </c>
    </row>
    <row r="139" ht="42" customHeight="1">
      <c r="A139" s="29" t="inlineStr">
        <is>
          <t>BLYP-07-011</t>
        </is>
      </c>
      <c r="B139" s="29" t="inlineStr"/>
      <c r="C139" s="29" t="inlineStr">
        <is>
          <t>Live, Battles, Your BLYP, Teams, and games header</t>
        </is>
      </c>
      <c r="D139" s="29" t="n">
        <v>7</v>
      </c>
      <c r="E139" s="29" t="n">
        <v>11</v>
      </c>
      <c r="F139" s="29" t="inlineStr">
        <is>
          <t>Feature</t>
        </is>
      </c>
      <c r="G139" s="29" t="inlineStr">
        <is>
          <t>Create a Battle</t>
        </is>
      </c>
      <c r="H139" s="29" t="inlineStr">
        <is>
          <t>Create a Battle</t>
        </is>
      </c>
      <c r="I139" s="29" t="inlineStr">
        <is>
          <t>/home/ubuntu/blyp_product_requirements.md :: Section 7 — Live, Battles, Your BLYP, Teams, and games header</t>
        </is>
      </c>
      <c r="J139" s="29" t="inlineStr">
        <is>
          <t>/home/ubuntu/BLYP_COMPLETE_FEATURE_LIST.md:183</t>
        </is>
      </c>
      <c r="K139" s="29" t="inlineStr">
        <is>
          <t>Required</t>
        </is>
      </c>
      <c r="L139" s="29" t="inlineStr">
        <is>
          <t>Applicable BLYP member</t>
        </is>
      </c>
      <c r="M139" s="29" t="inlineStr">
        <is>
          <t>BLYP mobile application and supporting production services</t>
        </is>
      </c>
      <c r="N139" s="29" t="inlineStr">
        <is>
          <t>Create a Battle</t>
        </is>
      </c>
      <c r="O139" s="29" t="inlineStr">
        <is>
          <t>Not explicitly defined in the product source; requires accountable product approval before production sign-off.</t>
        </is>
      </c>
      <c r="P139" s="29" t="inlineStr"/>
      <c r="Q139" s="29" t="inlineStr">
        <is>
          <t>Partial</t>
        </is>
      </c>
      <c r="R139" s="29" t="inlineStr"/>
      <c r="S139" s="29" t="inlineStr">
        <is>
          <t>Partial</t>
        </is>
      </c>
      <c r="T139" s="29" t="inlineStr">
        <is>
          <t>Not found</t>
        </is>
      </c>
      <c r="U139" s="29" t="inlineStr">
        <is>
          <t>Not found</t>
        </is>
      </c>
      <c r="V139" s="29" t="inlineStr">
        <is>
          <t>Not found</t>
        </is>
      </c>
      <c r="W139" s="29" t="inlineStr">
        <is>
          <t>Present</t>
        </is>
      </c>
      <c r="X139" s="29" t="inlineStr">
        <is>
          <t>Not found</t>
        </is>
      </c>
      <c r="Y139" s="29" t="inlineStr">
        <is>
          <t>Not found</t>
        </is>
      </c>
      <c r="Z139" s="29" t="inlineStr">
        <is>
          <t>Not found</t>
        </is>
      </c>
      <c r="AA139" s="29" t="inlineStr">
        <is>
          <t>Not found</t>
        </is>
      </c>
      <c r="AB139" s="29" t="inlineStr">
        <is>
          <t>Not found</t>
        </is>
      </c>
      <c r="AC139" s="29" t="inlineStr"/>
      <c r="AD139" s="29" t="inlineStr">
        <is>
          <t>Not found</t>
        </is>
      </c>
      <c r="AE139" s="29" t="inlineStr">
        <is>
          <t>Unknown</t>
        </is>
      </c>
      <c r="AF139" s="29" t="inlineStr"/>
      <c r="AG139" s="29" t="inlineStr">
        <is>
          <t>Unknown</t>
        </is>
      </c>
      <c r="AH139" s="29" t="inlineStr">
        <is>
          <t>Unknown</t>
        </is>
      </c>
      <c r="AI139" s="29" t="inlineStr">
        <is>
          <t>Client implementation not found</t>
        </is>
      </c>
      <c r="AJ139" s="29" t="inlineStr">
        <is>
          <t>Not verified</t>
        </is>
      </c>
      <c r="AK139" s="29" t="inlineStr">
        <is>
          <t>EV-07-0011</t>
        </is>
      </c>
      <c r="AL139" s="29" t="inlineStr"/>
      <c r="AM139" s="29" t="inlineStr"/>
      <c r="AN139" s="29" t="inlineStr"/>
      <c r="AO139" s="29" t="inlineStr">
        <is>
          <t>8bc0dcb2a1da1b21368c5536aaeef829d587f316</t>
        </is>
      </c>
      <c r="AP139" s="29" t="inlineStr">
        <is>
          <t>Low</t>
        </is>
      </c>
      <c r="AQ139" s="29" t="inlineStr">
        <is>
          <t>Not assessed</t>
        </is>
      </c>
      <c r="AR139" s="29" t="inlineStr">
        <is>
          <t>Not assessed</t>
        </is>
      </c>
      <c r="AS139" s="29" t="inlineStr">
        <is>
          <t>Not assessed</t>
        </is>
      </c>
      <c r="AT139" s="29" t="inlineStr">
        <is>
          <t>Not assessed</t>
        </is>
      </c>
      <c r="AU139" s="29" t="inlineStr">
        <is>
          <t>Not assessed</t>
        </is>
      </c>
      <c r="AV139" s="29" t="inlineStr">
        <is>
          <t>Not assessed</t>
        </is>
      </c>
      <c r="AW139" s="29" t="inlineStr">
        <is>
          <t>Not assessed</t>
        </is>
      </c>
      <c r="AX139" s="29" t="inlineStr">
        <is>
          <t>Not assessed</t>
        </is>
      </c>
      <c r="AY139" s="29" t="inlineStr">
        <is>
          <t>Not assessed</t>
        </is>
      </c>
      <c r="AZ139" s="29" t="inlineStr">
        <is>
          <t>Not assessed</t>
        </is>
      </c>
      <c r="BA139" s="29" t="inlineStr">
        <is>
          <t>Not assessed</t>
        </is>
      </c>
      <c r="BB139" s="29" t="inlineStr">
        <is>
          <t>Not assessed</t>
        </is>
      </c>
      <c r="BC139" s="29" t="inlineStr">
        <is>
          <t>Not assessed</t>
        </is>
      </c>
      <c r="BD139" s="29" t="inlineStr">
        <is>
          <t>Not assessed</t>
        </is>
      </c>
      <c r="BE139" s="29" t="inlineStr">
        <is>
          <t>Development required</t>
        </is>
      </c>
      <c r="BF139" s="29" t="inlineStr">
        <is>
          <t>Physical implementation is not complete against the stated requirement.; Client implementation not found</t>
        </is>
      </c>
      <c r="BG139" s="29" t="inlineStr"/>
      <c r="BH139" s="29" t="inlineStr"/>
      <c r="BI139" s="29" t="inlineStr"/>
      <c r="BJ139" s="29" t="inlineStr"/>
      <c r="BK139" s="29" t="inlineStr">
        <is>
          <t>Evidence reconciled against the reviewed source revision. No production approval is inferred from implementation or file presence.</t>
        </is>
      </c>
      <c r="BL139" s="29" t="inlineStr">
        <is>
          <t>2026-08-02</t>
        </is>
      </c>
    </row>
    <row r="140" ht="42" customHeight="1">
      <c r="A140" s="29" t="inlineStr">
        <is>
          <t>BLYP-07-012</t>
        </is>
      </c>
      <c r="B140" s="29" t="inlineStr"/>
      <c r="C140" s="29" t="inlineStr">
        <is>
          <t>Live, Battles, Your BLYP, Teams, and games header</t>
        </is>
      </c>
      <c r="D140" s="29" t="n">
        <v>7</v>
      </c>
      <c r="E140" s="29" t="n">
        <v>12</v>
      </c>
      <c r="F140" s="29" t="inlineStr">
        <is>
          <t>Feature</t>
        </is>
      </c>
      <c r="G140" s="29" t="inlineStr">
        <is>
          <t>Join a Battle</t>
        </is>
      </c>
      <c r="H140" s="29" t="inlineStr">
        <is>
          <t>Join a Battle</t>
        </is>
      </c>
      <c r="I140" s="29" t="inlineStr">
        <is>
          <t>/home/ubuntu/blyp_product_requirements.md :: Section 7 — Live, Battles, Your BLYP, Teams, and games header</t>
        </is>
      </c>
      <c r="J140" s="29" t="inlineStr">
        <is>
          <t>/home/ubuntu/BLYP_COMPLETE_FEATURE_LIST.md:184</t>
        </is>
      </c>
      <c r="K140" s="29" t="inlineStr">
        <is>
          <t>Required</t>
        </is>
      </c>
      <c r="L140" s="29" t="inlineStr">
        <is>
          <t>Applicable BLYP member</t>
        </is>
      </c>
      <c r="M140" s="29" t="inlineStr">
        <is>
          <t>BLYP mobile application and supporting production services</t>
        </is>
      </c>
      <c r="N140" s="29" t="inlineStr">
        <is>
          <t>Join a Battle</t>
        </is>
      </c>
      <c r="O140" s="29" t="inlineStr">
        <is>
          <t>Not explicitly defined in the product source; requires accountable product approval before production sign-off.</t>
        </is>
      </c>
      <c r="P140" s="29" t="inlineStr"/>
      <c r="Q140" s="29" t="inlineStr">
        <is>
          <t>Partial</t>
        </is>
      </c>
      <c r="R140" s="29" t="inlineStr"/>
      <c r="S140" s="29" t="inlineStr">
        <is>
          <t>Not found</t>
        </is>
      </c>
      <c r="T140" s="29" t="inlineStr">
        <is>
          <t>Not found</t>
        </is>
      </c>
      <c r="U140" s="29" t="inlineStr">
        <is>
          <t>Not found</t>
        </is>
      </c>
      <c r="V140" s="29" t="inlineStr">
        <is>
          <t>Not found</t>
        </is>
      </c>
      <c r="W140" s="29" t="inlineStr">
        <is>
          <t>Not found</t>
        </is>
      </c>
      <c r="X140" s="29" t="inlineStr">
        <is>
          <t>Not found</t>
        </is>
      </c>
      <c r="Y140" s="29" t="inlineStr">
        <is>
          <t>Not found</t>
        </is>
      </c>
      <c r="Z140" s="29" t="inlineStr">
        <is>
          <t>Not found</t>
        </is>
      </c>
      <c r="AA140" s="29" t="inlineStr">
        <is>
          <t>Not found</t>
        </is>
      </c>
      <c r="AB140" s="29" t="inlineStr">
        <is>
          <t>Not found</t>
        </is>
      </c>
      <c r="AC140" s="29" t="inlineStr"/>
      <c r="AD140" s="29" t="inlineStr">
        <is>
          <t>Not found</t>
        </is>
      </c>
      <c r="AE140" s="29" t="inlineStr">
        <is>
          <t>Unknown</t>
        </is>
      </c>
      <c r="AF140" s="29" t="inlineStr"/>
      <c r="AG140" s="29" t="inlineStr">
        <is>
          <t>Unknown</t>
        </is>
      </c>
      <c r="AH140" s="29" t="inlineStr">
        <is>
          <t>Unknown</t>
        </is>
      </c>
      <c r="AI140" s="29" t="inlineStr">
        <is>
          <t>Searched for 'Join a Battle' in source code, no implementation found.</t>
        </is>
      </c>
      <c r="AJ140" s="29" t="inlineStr">
        <is>
          <t>Not verified</t>
        </is>
      </c>
      <c r="AK140" s="29" t="inlineStr">
        <is>
          <t>EV-07-0012</t>
        </is>
      </c>
      <c r="AL140" s="29" t="inlineStr"/>
      <c r="AM140" s="29" t="inlineStr"/>
      <c r="AN140" s="29" t="inlineStr"/>
      <c r="AO140" s="29" t="inlineStr">
        <is>
          <t>8bc0dcb2a1da1b21368c5536aaeef829d587f316</t>
        </is>
      </c>
      <c r="AP140" s="29" t="inlineStr">
        <is>
          <t>Low</t>
        </is>
      </c>
      <c r="AQ140" s="29" t="inlineStr">
        <is>
          <t>Not assessed</t>
        </is>
      </c>
      <c r="AR140" s="29" t="inlineStr">
        <is>
          <t>Not assessed</t>
        </is>
      </c>
      <c r="AS140" s="29" t="inlineStr">
        <is>
          <t>Not assessed</t>
        </is>
      </c>
      <c r="AT140" s="29" t="inlineStr">
        <is>
          <t>Not assessed</t>
        </is>
      </c>
      <c r="AU140" s="29" t="inlineStr">
        <is>
          <t>Not assessed</t>
        </is>
      </c>
      <c r="AV140" s="29" t="inlineStr">
        <is>
          <t>Not assessed</t>
        </is>
      </c>
      <c r="AW140" s="29" t="inlineStr">
        <is>
          <t>Not assessed</t>
        </is>
      </c>
      <c r="AX140" s="29" t="inlineStr">
        <is>
          <t>Not assessed</t>
        </is>
      </c>
      <c r="AY140" s="29" t="inlineStr">
        <is>
          <t>Not assessed</t>
        </is>
      </c>
      <c r="AZ140" s="29" t="inlineStr">
        <is>
          <t>Not assessed</t>
        </is>
      </c>
      <c r="BA140" s="29" t="inlineStr">
        <is>
          <t>Not assessed</t>
        </is>
      </c>
      <c r="BB140" s="29" t="inlineStr">
        <is>
          <t>Not assessed</t>
        </is>
      </c>
      <c r="BC140" s="29" t="inlineStr">
        <is>
          <t>Not assessed</t>
        </is>
      </c>
      <c r="BD140" s="29" t="inlineStr">
        <is>
          <t>Not assessed</t>
        </is>
      </c>
      <c r="BE140" s="29" t="inlineStr">
        <is>
          <t>Development required</t>
        </is>
      </c>
      <c r="BF140" s="29" t="inlineStr">
        <is>
          <t>Physical implementation is not complete against the stated requirement.; Searched for 'Join a Battle' in source code, no implementation found.</t>
        </is>
      </c>
      <c r="BG140" s="29" t="inlineStr"/>
      <c r="BH140" s="29" t="inlineStr"/>
      <c r="BI140" s="29" t="inlineStr"/>
      <c r="BJ140" s="29" t="inlineStr"/>
      <c r="BK140" s="29" t="inlineStr">
        <is>
          <t>Evidence reconciled against the reviewed source revision. No production approval is inferred from implementation or file presence.</t>
        </is>
      </c>
      <c r="BL140" s="29" t="inlineStr">
        <is>
          <t>2026-08-02</t>
        </is>
      </c>
    </row>
    <row r="141" ht="42" customHeight="1">
      <c r="A141" s="29" t="inlineStr">
        <is>
          <t>BLYP-07-013</t>
        </is>
      </c>
      <c r="B141" s="29" t="inlineStr"/>
      <c r="C141" s="29" t="inlineStr">
        <is>
          <t>Live, Battles, Your BLYP, Teams, and games header</t>
        </is>
      </c>
      <c r="D141" s="29" t="n">
        <v>7</v>
      </c>
      <c r="E141" s="29" t="n">
        <v>13</v>
      </c>
      <c r="F141" s="29" t="inlineStr">
        <is>
          <t>Feature</t>
        </is>
      </c>
      <c r="G141" s="29" t="inlineStr">
        <is>
          <t>Participate in a Battle</t>
        </is>
      </c>
      <c r="H141" s="29" t="inlineStr">
        <is>
          <t>Participate in a Battle</t>
        </is>
      </c>
      <c r="I141" s="29" t="inlineStr">
        <is>
          <t>/home/ubuntu/blyp_product_requirements.md :: Section 7 — Live, Battles, Your BLYP, Teams, and games header</t>
        </is>
      </c>
      <c r="J141" s="29" t="inlineStr">
        <is>
          <t>/home/ubuntu/BLYP_COMPLETE_FEATURE_LIST.md:185</t>
        </is>
      </c>
      <c r="K141" s="29" t="inlineStr">
        <is>
          <t>Required</t>
        </is>
      </c>
      <c r="L141" s="29" t="inlineStr">
        <is>
          <t>Applicable BLYP member</t>
        </is>
      </c>
      <c r="M141" s="29" t="inlineStr">
        <is>
          <t>BLYP mobile application and supporting production services</t>
        </is>
      </c>
      <c r="N141" s="29" t="inlineStr">
        <is>
          <t>Participate in a Battle</t>
        </is>
      </c>
      <c r="O141" s="29" t="inlineStr">
        <is>
          <t>Not explicitly defined in the product source; requires accountable product approval before production sign-off.</t>
        </is>
      </c>
      <c r="P141" s="29" t="inlineStr"/>
      <c r="Q141" s="29" t="inlineStr">
        <is>
          <t>Partial</t>
        </is>
      </c>
      <c r="R141" s="29" t="inlineStr"/>
      <c r="S141" s="29" t="inlineStr">
        <is>
          <t>Not found</t>
        </is>
      </c>
      <c r="T141" s="29" t="inlineStr">
        <is>
          <t>Not found</t>
        </is>
      </c>
      <c r="U141" s="29" t="inlineStr">
        <is>
          <t>Not found</t>
        </is>
      </c>
      <c r="V141" s="29" t="inlineStr">
        <is>
          <t>Not found</t>
        </is>
      </c>
      <c r="W141" s="29" t="inlineStr">
        <is>
          <t>Not found</t>
        </is>
      </c>
      <c r="X141" s="29" t="inlineStr">
        <is>
          <t>Not found</t>
        </is>
      </c>
      <c r="Y141" s="29" t="inlineStr">
        <is>
          <t>Not found</t>
        </is>
      </c>
      <c r="Z141" s="29" t="inlineStr">
        <is>
          <t>Not found</t>
        </is>
      </c>
      <c r="AA141" s="29" t="inlineStr">
        <is>
          <t>Not found</t>
        </is>
      </c>
      <c r="AB141" s="29" t="inlineStr">
        <is>
          <t>Not found</t>
        </is>
      </c>
      <c r="AC141" s="29" t="inlineStr"/>
      <c r="AD141" s="29" t="inlineStr">
        <is>
          <t>Not found</t>
        </is>
      </c>
      <c r="AE141" s="29" t="inlineStr">
        <is>
          <t>Unknown</t>
        </is>
      </c>
      <c r="AF141" s="29" t="inlineStr"/>
      <c r="AG141" s="29" t="inlineStr">
        <is>
          <t>Unknown</t>
        </is>
      </c>
      <c r="AH141" s="29" t="inlineStr">
        <is>
          <t>Unknown</t>
        </is>
      </c>
      <c r="AI141" s="29" t="inlineStr">
        <is>
          <t>Searched for 'Participate in a Battle' in source code, no implementation found.</t>
        </is>
      </c>
      <c r="AJ141" s="29" t="inlineStr">
        <is>
          <t>Not verified</t>
        </is>
      </c>
      <c r="AK141" s="29" t="inlineStr">
        <is>
          <t>EV-07-0013</t>
        </is>
      </c>
      <c r="AL141" s="29" t="inlineStr"/>
      <c r="AM141" s="29" t="inlineStr"/>
      <c r="AN141" s="29" t="inlineStr"/>
      <c r="AO141" s="29" t="inlineStr">
        <is>
          <t>8bc0dcb2a1da1b21368c5536aaeef829d587f316</t>
        </is>
      </c>
      <c r="AP141" s="29" t="inlineStr">
        <is>
          <t>Low</t>
        </is>
      </c>
      <c r="AQ141" s="29" t="inlineStr">
        <is>
          <t>Not assessed</t>
        </is>
      </c>
      <c r="AR141" s="29" t="inlineStr">
        <is>
          <t>Not assessed</t>
        </is>
      </c>
      <c r="AS141" s="29" t="inlineStr">
        <is>
          <t>Not assessed</t>
        </is>
      </c>
      <c r="AT141" s="29" t="inlineStr">
        <is>
          <t>Not assessed</t>
        </is>
      </c>
      <c r="AU141" s="29" t="inlineStr">
        <is>
          <t>Not assessed</t>
        </is>
      </c>
      <c r="AV141" s="29" t="inlineStr">
        <is>
          <t>Not assessed</t>
        </is>
      </c>
      <c r="AW141" s="29" t="inlineStr">
        <is>
          <t>Not assessed</t>
        </is>
      </c>
      <c r="AX141" s="29" t="inlineStr">
        <is>
          <t>Not assessed</t>
        </is>
      </c>
      <c r="AY141" s="29" t="inlineStr">
        <is>
          <t>Not assessed</t>
        </is>
      </c>
      <c r="AZ141" s="29" t="inlineStr">
        <is>
          <t>Not assessed</t>
        </is>
      </c>
      <c r="BA141" s="29" t="inlineStr">
        <is>
          <t>Not assessed</t>
        </is>
      </c>
      <c r="BB141" s="29" t="inlineStr">
        <is>
          <t>Not assessed</t>
        </is>
      </c>
      <c r="BC141" s="29" t="inlineStr">
        <is>
          <t>Not assessed</t>
        </is>
      </c>
      <c r="BD141" s="29" t="inlineStr">
        <is>
          <t>Not assessed</t>
        </is>
      </c>
      <c r="BE141" s="29" t="inlineStr">
        <is>
          <t>Development required</t>
        </is>
      </c>
      <c r="BF141" s="29" t="inlineStr">
        <is>
          <t>Physical implementation is not complete against the stated requirement.; Searched for 'Participate in a Battle' in source code, no implementation found.</t>
        </is>
      </c>
      <c r="BG141" s="29" t="inlineStr"/>
      <c r="BH141" s="29" t="inlineStr"/>
      <c r="BI141" s="29" t="inlineStr"/>
      <c r="BJ141" s="29" t="inlineStr"/>
      <c r="BK141" s="29" t="inlineStr">
        <is>
          <t>Evidence reconciled against the reviewed source revision. No production approval is inferred from implementation or file presence.</t>
        </is>
      </c>
      <c r="BL141" s="29" t="inlineStr">
        <is>
          <t>2026-08-02</t>
        </is>
      </c>
    </row>
    <row r="142" ht="42" customHeight="1">
      <c r="A142" s="29" t="inlineStr">
        <is>
          <t>BLYP-07-014</t>
        </is>
      </c>
      <c r="B142" s="29" t="inlineStr"/>
      <c r="C142" s="29" t="inlineStr">
        <is>
          <t>Live, Battles, Your BLYP, Teams, and games header</t>
        </is>
      </c>
      <c r="D142" s="29" t="n">
        <v>7</v>
      </c>
      <c r="E142" s="29" t="n">
        <v>14</v>
      </c>
      <c r="F142" s="29" t="inlineStr">
        <is>
          <t>Feature</t>
        </is>
      </c>
      <c r="G142" s="29" t="inlineStr">
        <is>
          <t>Battle scoring</t>
        </is>
      </c>
      <c r="H142" s="29" t="inlineStr">
        <is>
          <t>Battle scoring</t>
        </is>
      </c>
      <c r="I142" s="29" t="inlineStr">
        <is>
          <t>/home/ubuntu/blyp_product_requirements.md :: Section 7 — Live, Battles, Your BLYP, Teams, and games header</t>
        </is>
      </c>
      <c r="J142" s="29" t="inlineStr">
        <is>
          <t>/home/ubuntu/BLYP_COMPLETE_FEATURE_LIST.md:186</t>
        </is>
      </c>
      <c r="K142" s="29" t="inlineStr">
        <is>
          <t>Required</t>
        </is>
      </c>
      <c r="L142" s="29" t="inlineStr">
        <is>
          <t>Applicable BLYP member</t>
        </is>
      </c>
      <c r="M142" s="29" t="inlineStr">
        <is>
          <t>BLYP mobile application and supporting production services</t>
        </is>
      </c>
      <c r="N142" s="29" t="inlineStr">
        <is>
          <t>Battle scoring</t>
        </is>
      </c>
      <c r="O142" s="29" t="inlineStr">
        <is>
          <t>Not explicitly defined in the product source; requires accountable product approval before production sign-off.</t>
        </is>
      </c>
      <c r="P142" s="29" t="inlineStr"/>
      <c r="Q142" s="29" t="inlineStr">
        <is>
          <t>Partial</t>
        </is>
      </c>
      <c r="R142" s="29" t="inlineStr"/>
      <c r="S142" s="29" t="inlineStr">
        <is>
          <t>Not found</t>
        </is>
      </c>
      <c r="T142" s="29" t="inlineStr">
        <is>
          <t>Not found</t>
        </is>
      </c>
      <c r="U142" s="29" t="inlineStr">
        <is>
          <t>Not found</t>
        </is>
      </c>
      <c r="V142" s="29" t="inlineStr">
        <is>
          <t>Not found</t>
        </is>
      </c>
      <c r="W142" s="29" t="inlineStr">
        <is>
          <t>Not found</t>
        </is>
      </c>
      <c r="X142" s="29" t="inlineStr">
        <is>
          <t>Not found</t>
        </is>
      </c>
      <c r="Y142" s="29" t="inlineStr">
        <is>
          <t>Not found</t>
        </is>
      </c>
      <c r="Z142" s="29" t="inlineStr">
        <is>
          <t>Not found</t>
        </is>
      </c>
      <c r="AA142" s="29" t="inlineStr">
        <is>
          <t>Not found</t>
        </is>
      </c>
      <c r="AB142" s="29" t="inlineStr">
        <is>
          <t>Not found</t>
        </is>
      </c>
      <c r="AC142" s="29" t="inlineStr"/>
      <c r="AD142" s="29" t="inlineStr">
        <is>
          <t>Not found</t>
        </is>
      </c>
      <c r="AE142" s="29" t="inlineStr">
        <is>
          <t>Unknown</t>
        </is>
      </c>
      <c r="AF142" s="29" t="inlineStr"/>
      <c r="AG142" s="29" t="inlineStr">
        <is>
          <t>Unknown</t>
        </is>
      </c>
      <c r="AH142" s="29" t="inlineStr">
        <is>
          <t>Unknown</t>
        </is>
      </c>
      <c r="AI142" s="29" t="inlineStr">
        <is>
          <t>Searched for 'Battle scoring' in source code, no implementation found.</t>
        </is>
      </c>
      <c r="AJ142" s="29" t="inlineStr">
        <is>
          <t>Not verified</t>
        </is>
      </c>
      <c r="AK142" s="29" t="inlineStr">
        <is>
          <t>EV-07-0014</t>
        </is>
      </c>
      <c r="AL142" s="29" t="inlineStr"/>
      <c r="AM142" s="29" t="inlineStr"/>
      <c r="AN142" s="29" t="inlineStr"/>
      <c r="AO142" s="29" t="inlineStr">
        <is>
          <t>8bc0dcb2a1da1b21368c5536aaeef829d587f316</t>
        </is>
      </c>
      <c r="AP142" s="29" t="inlineStr">
        <is>
          <t>Low</t>
        </is>
      </c>
      <c r="AQ142" s="29" t="inlineStr">
        <is>
          <t>Not assessed</t>
        </is>
      </c>
      <c r="AR142" s="29" t="inlineStr">
        <is>
          <t>Not assessed</t>
        </is>
      </c>
      <c r="AS142" s="29" t="inlineStr">
        <is>
          <t>Not assessed</t>
        </is>
      </c>
      <c r="AT142" s="29" t="inlineStr">
        <is>
          <t>Not assessed</t>
        </is>
      </c>
      <c r="AU142" s="29" t="inlineStr">
        <is>
          <t>Not assessed</t>
        </is>
      </c>
      <c r="AV142" s="29" t="inlineStr">
        <is>
          <t>Not assessed</t>
        </is>
      </c>
      <c r="AW142" s="29" t="inlineStr">
        <is>
          <t>Not assessed</t>
        </is>
      </c>
      <c r="AX142" s="29" t="inlineStr">
        <is>
          <t>Not assessed</t>
        </is>
      </c>
      <c r="AY142" s="29" t="inlineStr">
        <is>
          <t>Not assessed</t>
        </is>
      </c>
      <c r="AZ142" s="29" t="inlineStr">
        <is>
          <t>Not assessed</t>
        </is>
      </c>
      <c r="BA142" s="29" t="inlineStr">
        <is>
          <t>Not assessed</t>
        </is>
      </c>
      <c r="BB142" s="29" t="inlineStr">
        <is>
          <t>Not assessed</t>
        </is>
      </c>
      <c r="BC142" s="29" t="inlineStr">
        <is>
          <t>Not assessed</t>
        </is>
      </c>
      <c r="BD142" s="29" t="inlineStr">
        <is>
          <t>Not assessed</t>
        </is>
      </c>
      <c r="BE142" s="29" t="inlineStr">
        <is>
          <t>Development required</t>
        </is>
      </c>
      <c r="BF142" s="29" t="inlineStr">
        <is>
          <t>Physical implementation is not complete against the stated requirement.; Searched for 'Battle scoring' in source code, no implementation found.</t>
        </is>
      </c>
      <c r="BG142" s="29" t="inlineStr"/>
      <c r="BH142" s="29" t="inlineStr"/>
      <c r="BI142" s="29" t="inlineStr"/>
      <c r="BJ142" s="29" t="inlineStr"/>
      <c r="BK142" s="29" t="inlineStr">
        <is>
          <t>Evidence reconciled against the reviewed source revision. No production approval is inferred from implementation or file presence.</t>
        </is>
      </c>
      <c r="BL142" s="29" t="inlineStr">
        <is>
          <t>2026-08-02</t>
        </is>
      </c>
    </row>
    <row r="143" ht="42" customHeight="1">
      <c r="A143" s="29" t="inlineStr">
        <is>
          <t>BLYP-07-015</t>
        </is>
      </c>
      <c r="B143" s="29" t="inlineStr"/>
      <c r="C143" s="29" t="inlineStr">
        <is>
          <t>Live, Battles, Your BLYP, Teams, and games header</t>
        </is>
      </c>
      <c r="D143" s="29" t="n">
        <v>7</v>
      </c>
      <c r="E143" s="29" t="n">
        <v>15</v>
      </c>
      <c r="F143" s="29" t="inlineStr">
        <is>
          <t>Feature</t>
        </is>
      </c>
      <c r="G143" s="29" t="inlineStr">
        <is>
          <t>Battle gifting</t>
        </is>
      </c>
      <c r="H143" s="29" t="inlineStr">
        <is>
          <t>Battle gifting</t>
        </is>
      </c>
      <c r="I143" s="29" t="inlineStr">
        <is>
          <t>/home/ubuntu/blyp_product_requirements.md :: Section 7 — Live, Battles, Your BLYP, Teams, and games header</t>
        </is>
      </c>
      <c r="J143" s="29" t="inlineStr">
        <is>
          <t>/home/ubuntu/BLYP_COMPLETE_FEATURE_LIST.md:187</t>
        </is>
      </c>
      <c r="K143" s="29" t="inlineStr">
        <is>
          <t>Required</t>
        </is>
      </c>
      <c r="L143" s="29" t="inlineStr">
        <is>
          <t>Applicable BLYP member</t>
        </is>
      </c>
      <c r="M143" s="29" t="inlineStr">
        <is>
          <t>BLYP mobile application and supporting production services</t>
        </is>
      </c>
      <c r="N143" s="29" t="inlineStr">
        <is>
          <t>Battle gifting</t>
        </is>
      </c>
      <c r="O143" s="29" t="inlineStr">
        <is>
          <t>Not explicitly defined in the product source; requires accountable product approval before production sign-off.</t>
        </is>
      </c>
      <c r="P143" s="29" t="inlineStr"/>
      <c r="Q143" s="29" t="inlineStr">
        <is>
          <t>Partial</t>
        </is>
      </c>
      <c r="R143" s="29" t="inlineStr"/>
      <c r="S143" s="29" t="inlineStr">
        <is>
          <t>Not found</t>
        </is>
      </c>
      <c r="T143" s="29" t="inlineStr">
        <is>
          <t>Not found</t>
        </is>
      </c>
      <c r="U143" s="29" t="inlineStr">
        <is>
          <t>Not found</t>
        </is>
      </c>
      <c r="V143" s="29" t="inlineStr">
        <is>
          <t>Not found</t>
        </is>
      </c>
      <c r="W143" s="29" t="inlineStr">
        <is>
          <t>Not found</t>
        </is>
      </c>
      <c r="X143" s="29" t="inlineStr">
        <is>
          <t>Not found</t>
        </is>
      </c>
      <c r="Y143" s="29" t="inlineStr">
        <is>
          <t>Not found</t>
        </is>
      </c>
      <c r="Z143" s="29" t="inlineStr">
        <is>
          <t>Not found</t>
        </is>
      </c>
      <c r="AA143" s="29" t="inlineStr">
        <is>
          <t>Not found</t>
        </is>
      </c>
      <c r="AB143" s="29" t="inlineStr">
        <is>
          <t>Not found</t>
        </is>
      </c>
      <c r="AC143" s="29" t="inlineStr"/>
      <c r="AD143" s="29" t="inlineStr">
        <is>
          <t>Not found</t>
        </is>
      </c>
      <c r="AE143" s="29" t="inlineStr">
        <is>
          <t>Unknown</t>
        </is>
      </c>
      <c r="AF143" s="29" t="inlineStr"/>
      <c r="AG143" s="29" t="inlineStr">
        <is>
          <t>Unknown</t>
        </is>
      </c>
      <c r="AH143" s="29" t="inlineStr">
        <is>
          <t>Unknown</t>
        </is>
      </c>
      <c r="AI143" s="29" t="inlineStr">
        <is>
          <t>Searched for 'Battle gifting' in source code, no implementation found.</t>
        </is>
      </c>
      <c r="AJ143" s="29" t="inlineStr">
        <is>
          <t>Not verified</t>
        </is>
      </c>
      <c r="AK143" s="29" t="inlineStr">
        <is>
          <t>EV-07-0015</t>
        </is>
      </c>
      <c r="AL143" s="29" t="inlineStr"/>
      <c r="AM143" s="29" t="inlineStr"/>
      <c r="AN143" s="29" t="inlineStr"/>
      <c r="AO143" s="29" t="inlineStr">
        <is>
          <t>8bc0dcb2a1da1b21368c5536aaeef829d587f316</t>
        </is>
      </c>
      <c r="AP143" s="29" t="inlineStr">
        <is>
          <t>Low</t>
        </is>
      </c>
      <c r="AQ143" s="29" t="inlineStr">
        <is>
          <t>Not assessed</t>
        </is>
      </c>
      <c r="AR143" s="29" t="inlineStr">
        <is>
          <t>Not assessed</t>
        </is>
      </c>
      <c r="AS143" s="29" t="inlineStr">
        <is>
          <t>Not assessed</t>
        </is>
      </c>
      <c r="AT143" s="29" t="inlineStr">
        <is>
          <t>Not assessed</t>
        </is>
      </c>
      <c r="AU143" s="29" t="inlineStr">
        <is>
          <t>Not assessed</t>
        </is>
      </c>
      <c r="AV143" s="29" t="inlineStr">
        <is>
          <t>Not assessed</t>
        </is>
      </c>
      <c r="AW143" s="29" t="inlineStr">
        <is>
          <t>Not assessed</t>
        </is>
      </c>
      <c r="AX143" s="29" t="inlineStr">
        <is>
          <t>Not assessed</t>
        </is>
      </c>
      <c r="AY143" s="29" t="inlineStr">
        <is>
          <t>Not assessed</t>
        </is>
      </c>
      <c r="AZ143" s="29" t="inlineStr">
        <is>
          <t>Not assessed</t>
        </is>
      </c>
      <c r="BA143" s="29" t="inlineStr">
        <is>
          <t>Not assessed</t>
        </is>
      </c>
      <c r="BB143" s="29" t="inlineStr">
        <is>
          <t>Not assessed</t>
        </is>
      </c>
      <c r="BC143" s="29" t="inlineStr">
        <is>
          <t>Not assessed</t>
        </is>
      </c>
      <c r="BD143" s="29" t="inlineStr">
        <is>
          <t>Not assessed</t>
        </is>
      </c>
      <c r="BE143" s="29" t="inlineStr">
        <is>
          <t>Development required</t>
        </is>
      </c>
      <c r="BF143" s="29" t="inlineStr">
        <is>
          <t>Physical implementation is not complete against the stated requirement.; Searched for 'Battle gifting' in source code, no implementation found.</t>
        </is>
      </c>
      <c r="BG143" s="29" t="inlineStr"/>
      <c r="BH143" s="29" t="inlineStr"/>
      <c r="BI143" s="29" t="inlineStr"/>
      <c r="BJ143" s="29" t="inlineStr"/>
      <c r="BK143" s="29" t="inlineStr">
        <is>
          <t>Evidence reconciled against the reviewed source revision. No production approval is inferred from implementation or file presence.</t>
        </is>
      </c>
      <c r="BL143" s="29" t="inlineStr">
        <is>
          <t>2026-08-02</t>
        </is>
      </c>
    </row>
    <row r="144" ht="42" customHeight="1">
      <c r="A144" s="29" t="inlineStr">
        <is>
          <t>BLYP-07-016</t>
        </is>
      </c>
      <c r="B144" s="29" t="inlineStr"/>
      <c r="C144" s="29" t="inlineStr">
        <is>
          <t>Live, Battles, Your BLYP, Teams, and games header</t>
        </is>
      </c>
      <c r="D144" s="29" t="n">
        <v>7</v>
      </c>
      <c r="E144" s="29" t="n">
        <v>16</v>
      </c>
      <c r="F144" s="29" t="inlineStr">
        <is>
          <t>Feature</t>
        </is>
      </c>
      <c r="G144" s="29" t="inlineStr">
        <is>
          <t>Battle results</t>
        </is>
      </c>
      <c r="H144" s="29" t="inlineStr">
        <is>
          <t>Battle results</t>
        </is>
      </c>
      <c r="I144" s="29" t="inlineStr">
        <is>
          <t>/home/ubuntu/blyp_product_requirements.md :: Section 7 — Live, Battles, Your BLYP, Teams, and games header</t>
        </is>
      </c>
      <c r="J144" s="29" t="inlineStr">
        <is>
          <t>/home/ubuntu/BLYP_COMPLETE_FEATURE_LIST.md:188</t>
        </is>
      </c>
      <c r="K144" s="29" t="inlineStr">
        <is>
          <t>Required</t>
        </is>
      </c>
      <c r="L144" s="29" t="inlineStr">
        <is>
          <t>Applicable BLYP member</t>
        </is>
      </c>
      <c r="M144" s="29" t="inlineStr">
        <is>
          <t>BLYP mobile application and supporting production services</t>
        </is>
      </c>
      <c r="N144" s="29" t="inlineStr">
        <is>
          <t>Battle results</t>
        </is>
      </c>
      <c r="O144" s="29" t="inlineStr">
        <is>
          <t>Not explicitly defined in the product source; requires accountable product approval before production sign-off.</t>
        </is>
      </c>
      <c r="P144" s="29" t="inlineStr"/>
      <c r="Q144" s="29" t="inlineStr">
        <is>
          <t>Partial</t>
        </is>
      </c>
      <c r="R144" s="29" t="inlineStr"/>
      <c r="S144" s="29" t="inlineStr">
        <is>
          <t>Not found</t>
        </is>
      </c>
      <c r="T144" s="29" t="inlineStr">
        <is>
          <t>Not found</t>
        </is>
      </c>
      <c r="U144" s="29" t="inlineStr">
        <is>
          <t>Not found</t>
        </is>
      </c>
      <c r="V144" s="29" t="inlineStr">
        <is>
          <t>Not found</t>
        </is>
      </c>
      <c r="W144" s="29" t="inlineStr">
        <is>
          <t>Not found</t>
        </is>
      </c>
      <c r="X144" s="29" t="inlineStr">
        <is>
          <t>Not found</t>
        </is>
      </c>
      <c r="Y144" s="29" t="inlineStr">
        <is>
          <t>Not found</t>
        </is>
      </c>
      <c r="Z144" s="29" t="inlineStr">
        <is>
          <t>Not found</t>
        </is>
      </c>
      <c r="AA144" s="29" t="inlineStr">
        <is>
          <t>Not found</t>
        </is>
      </c>
      <c r="AB144" s="29" t="inlineStr">
        <is>
          <t>Not found</t>
        </is>
      </c>
      <c r="AC144" s="29" t="inlineStr"/>
      <c r="AD144" s="29" t="inlineStr">
        <is>
          <t>Not found</t>
        </is>
      </c>
      <c r="AE144" s="29" t="inlineStr">
        <is>
          <t>Unknown</t>
        </is>
      </c>
      <c r="AF144" s="29" t="inlineStr"/>
      <c r="AG144" s="29" t="inlineStr">
        <is>
          <t>Unknown</t>
        </is>
      </c>
      <c r="AH144" s="29" t="inlineStr">
        <is>
          <t>Unknown</t>
        </is>
      </c>
      <c r="AI144" s="29" t="inlineStr">
        <is>
          <t>Searched for 'Battle results' in source code, no implementation found.</t>
        </is>
      </c>
      <c r="AJ144" s="29" t="inlineStr">
        <is>
          <t>Not verified</t>
        </is>
      </c>
      <c r="AK144" s="29" t="inlineStr">
        <is>
          <t>EV-07-0016</t>
        </is>
      </c>
      <c r="AL144" s="29" t="inlineStr"/>
      <c r="AM144" s="29" t="inlineStr"/>
      <c r="AN144" s="29" t="inlineStr"/>
      <c r="AO144" s="29" t="inlineStr">
        <is>
          <t>8bc0dcb2a1da1b21368c5536aaeef829d587f316</t>
        </is>
      </c>
      <c r="AP144" s="29" t="inlineStr">
        <is>
          <t>Low</t>
        </is>
      </c>
      <c r="AQ144" s="29" t="inlineStr">
        <is>
          <t>Not assessed</t>
        </is>
      </c>
      <c r="AR144" s="29" t="inlineStr">
        <is>
          <t>Not assessed</t>
        </is>
      </c>
      <c r="AS144" s="29" t="inlineStr">
        <is>
          <t>Not assessed</t>
        </is>
      </c>
      <c r="AT144" s="29" t="inlineStr">
        <is>
          <t>Not assessed</t>
        </is>
      </c>
      <c r="AU144" s="29" t="inlineStr">
        <is>
          <t>Not assessed</t>
        </is>
      </c>
      <c r="AV144" s="29" t="inlineStr">
        <is>
          <t>Not assessed</t>
        </is>
      </c>
      <c r="AW144" s="29" t="inlineStr">
        <is>
          <t>Not assessed</t>
        </is>
      </c>
      <c r="AX144" s="29" t="inlineStr">
        <is>
          <t>Not assessed</t>
        </is>
      </c>
      <c r="AY144" s="29" t="inlineStr">
        <is>
          <t>Not assessed</t>
        </is>
      </c>
      <c r="AZ144" s="29" t="inlineStr">
        <is>
          <t>Not assessed</t>
        </is>
      </c>
      <c r="BA144" s="29" t="inlineStr">
        <is>
          <t>Not assessed</t>
        </is>
      </c>
      <c r="BB144" s="29" t="inlineStr">
        <is>
          <t>Not assessed</t>
        </is>
      </c>
      <c r="BC144" s="29" t="inlineStr">
        <is>
          <t>Not assessed</t>
        </is>
      </c>
      <c r="BD144" s="29" t="inlineStr">
        <is>
          <t>Not assessed</t>
        </is>
      </c>
      <c r="BE144" s="29" t="inlineStr">
        <is>
          <t>Development required</t>
        </is>
      </c>
      <c r="BF144" s="29" t="inlineStr">
        <is>
          <t>Physical implementation is not complete against the stated requirement.; Searched for 'Battle results' in source code, no implementation found.</t>
        </is>
      </c>
      <c r="BG144" s="29" t="inlineStr"/>
      <c r="BH144" s="29" t="inlineStr"/>
      <c r="BI144" s="29" t="inlineStr"/>
      <c r="BJ144" s="29" t="inlineStr"/>
      <c r="BK144" s="29" t="inlineStr">
        <is>
          <t>Evidence reconciled against the reviewed source revision. No production approval is inferred from implementation or file presence.</t>
        </is>
      </c>
      <c r="BL144" s="29" t="inlineStr">
        <is>
          <t>2026-08-02</t>
        </is>
      </c>
    </row>
    <row r="145" ht="42" customHeight="1">
      <c r="A145" s="29" t="inlineStr">
        <is>
          <t>BLYP-07-017</t>
        </is>
      </c>
      <c r="B145" s="29" t="inlineStr"/>
      <c r="C145" s="29" t="inlineStr">
        <is>
          <t>Live, Battles, Your BLYP, Teams, and games header</t>
        </is>
      </c>
      <c r="D145" s="29" t="n">
        <v>7</v>
      </c>
      <c r="E145" s="29" t="n">
        <v>17</v>
      </c>
      <c r="F145" s="29" t="inlineStr">
        <is>
          <t>Feature</t>
        </is>
      </c>
      <c r="G145" s="29" t="inlineStr">
        <is>
          <t>Battle history</t>
        </is>
      </c>
      <c r="H145" s="29" t="inlineStr">
        <is>
          <t>Battle history</t>
        </is>
      </c>
      <c r="I145" s="29" t="inlineStr">
        <is>
          <t>/home/ubuntu/blyp_product_requirements.md :: Section 7 — Live, Battles, Your BLYP, Teams, and games header</t>
        </is>
      </c>
      <c r="J145" s="29" t="inlineStr">
        <is>
          <t>/home/ubuntu/BLYP_COMPLETE_FEATURE_LIST.md:189</t>
        </is>
      </c>
      <c r="K145" s="29" t="inlineStr">
        <is>
          <t>Required</t>
        </is>
      </c>
      <c r="L145" s="29" t="inlineStr">
        <is>
          <t>Applicable BLYP member</t>
        </is>
      </c>
      <c r="M145" s="29" t="inlineStr">
        <is>
          <t>BLYP mobile application and supporting production services</t>
        </is>
      </c>
      <c r="N145" s="29" t="inlineStr">
        <is>
          <t>Battle history</t>
        </is>
      </c>
      <c r="O145" s="29" t="inlineStr">
        <is>
          <t>Not explicitly defined in the product source; requires accountable product approval before production sign-off.</t>
        </is>
      </c>
      <c r="P145" s="29" t="inlineStr"/>
      <c r="Q145" s="29" t="inlineStr">
        <is>
          <t>Partial</t>
        </is>
      </c>
      <c r="R145" s="29" t="inlineStr"/>
      <c r="S145" s="29" t="inlineStr">
        <is>
          <t>Not found</t>
        </is>
      </c>
      <c r="T145" s="29" t="inlineStr">
        <is>
          <t>Not found</t>
        </is>
      </c>
      <c r="U145" s="29" t="inlineStr">
        <is>
          <t>Not found</t>
        </is>
      </c>
      <c r="V145" s="29" t="inlineStr">
        <is>
          <t>Not found</t>
        </is>
      </c>
      <c r="W145" s="29" t="inlineStr">
        <is>
          <t>Not found</t>
        </is>
      </c>
      <c r="X145" s="29" t="inlineStr">
        <is>
          <t>Not found</t>
        </is>
      </c>
      <c r="Y145" s="29" t="inlineStr">
        <is>
          <t>Not found</t>
        </is>
      </c>
      <c r="Z145" s="29" t="inlineStr">
        <is>
          <t>Not found</t>
        </is>
      </c>
      <c r="AA145" s="29" t="inlineStr">
        <is>
          <t>Not found</t>
        </is>
      </c>
      <c r="AB145" s="29" t="inlineStr">
        <is>
          <t>Not found</t>
        </is>
      </c>
      <c r="AC145" s="29" t="inlineStr"/>
      <c r="AD145" s="29" t="inlineStr">
        <is>
          <t>Not found</t>
        </is>
      </c>
      <c r="AE145" s="29" t="inlineStr">
        <is>
          <t>Unknown</t>
        </is>
      </c>
      <c r="AF145" s="29" t="inlineStr"/>
      <c r="AG145" s="29" t="inlineStr">
        <is>
          <t>Unknown</t>
        </is>
      </c>
      <c r="AH145" s="29" t="inlineStr">
        <is>
          <t>Unknown</t>
        </is>
      </c>
      <c r="AI145" s="29" t="inlineStr">
        <is>
          <t>Searched for 'Battle history' in source code, no implementation found.</t>
        </is>
      </c>
      <c r="AJ145" s="29" t="inlineStr">
        <is>
          <t>Not verified</t>
        </is>
      </c>
      <c r="AK145" s="29" t="inlineStr">
        <is>
          <t>EV-07-0017</t>
        </is>
      </c>
      <c r="AL145" s="29" t="inlineStr"/>
      <c r="AM145" s="29" t="inlineStr"/>
      <c r="AN145" s="29" t="inlineStr"/>
      <c r="AO145" s="29" t="inlineStr">
        <is>
          <t>8bc0dcb2a1da1b21368c5536aaeef829d587f316</t>
        </is>
      </c>
      <c r="AP145" s="29" t="inlineStr">
        <is>
          <t>Low</t>
        </is>
      </c>
      <c r="AQ145" s="29" t="inlineStr">
        <is>
          <t>Not assessed</t>
        </is>
      </c>
      <c r="AR145" s="29" t="inlineStr">
        <is>
          <t>Not assessed</t>
        </is>
      </c>
      <c r="AS145" s="29" t="inlineStr">
        <is>
          <t>Not assessed</t>
        </is>
      </c>
      <c r="AT145" s="29" t="inlineStr">
        <is>
          <t>Not assessed</t>
        </is>
      </c>
      <c r="AU145" s="29" t="inlineStr">
        <is>
          <t>Not assessed</t>
        </is>
      </c>
      <c r="AV145" s="29" t="inlineStr">
        <is>
          <t>Not assessed</t>
        </is>
      </c>
      <c r="AW145" s="29" t="inlineStr">
        <is>
          <t>Not assessed</t>
        </is>
      </c>
      <c r="AX145" s="29" t="inlineStr">
        <is>
          <t>Not assessed</t>
        </is>
      </c>
      <c r="AY145" s="29" t="inlineStr">
        <is>
          <t>Not assessed</t>
        </is>
      </c>
      <c r="AZ145" s="29" t="inlineStr">
        <is>
          <t>Not assessed</t>
        </is>
      </c>
      <c r="BA145" s="29" t="inlineStr">
        <is>
          <t>Not assessed</t>
        </is>
      </c>
      <c r="BB145" s="29" t="inlineStr">
        <is>
          <t>Not assessed</t>
        </is>
      </c>
      <c r="BC145" s="29" t="inlineStr">
        <is>
          <t>Not assessed</t>
        </is>
      </c>
      <c r="BD145" s="29" t="inlineStr">
        <is>
          <t>Not assessed</t>
        </is>
      </c>
      <c r="BE145" s="29" t="inlineStr">
        <is>
          <t>Development required</t>
        </is>
      </c>
      <c r="BF145" s="29" t="inlineStr">
        <is>
          <t>Physical implementation is not complete against the stated requirement.; Searched for 'Battle history' in source code, no implementation found.</t>
        </is>
      </c>
      <c r="BG145" s="29" t="inlineStr"/>
      <c r="BH145" s="29" t="inlineStr"/>
      <c r="BI145" s="29" t="inlineStr"/>
      <c r="BJ145" s="29" t="inlineStr"/>
      <c r="BK145" s="29" t="inlineStr">
        <is>
          <t>Evidence reconciled against the reviewed source revision. No production approval is inferred from implementation or file presence.</t>
        </is>
      </c>
      <c r="BL145" s="29" t="inlineStr">
        <is>
          <t>2026-08-02</t>
        </is>
      </c>
    </row>
    <row r="146" ht="42" customHeight="1">
      <c r="A146" s="29" t="inlineStr">
        <is>
          <t>BLYP-07-018</t>
        </is>
      </c>
      <c r="B146" s="29" t="inlineStr"/>
      <c r="C146" s="29" t="inlineStr">
        <is>
          <t>Live, Battles, Your BLYP, Teams, and games header</t>
        </is>
      </c>
      <c r="D146" s="29" t="n">
        <v>7</v>
      </c>
      <c r="E146" s="29" t="n">
        <v>18</v>
      </c>
      <c r="F146" s="29" t="inlineStr">
        <is>
          <t>Feature</t>
        </is>
      </c>
      <c r="G146" s="29" t="inlineStr">
        <is>
          <t>Server-authoritative live artillery Battle</t>
        </is>
      </c>
      <c r="H146" s="29" t="inlineStr">
        <is>
          <t>Server-authoritative live artillery Battle</t>
        </is>
      </c>
      <c r="I146" s="29" t="inlineStr">
        <is>
          <t>/home/ubuntu/blyp_product_requirements.md :: Section 7 — Live, Battles, Your BLYP, Teams, and games header</t>
        </is>
      </c>
      <c r="J146" s="29" t="inlineStr">
        <is>
          <t>/home/ubuntu/BLYP_COMPLETE_FEATURE_LIST.md:190</t>
        </is>
      </c>
      <c r="K146" s="29" t="inlineStr">
        <is>
          <t>Required</t>
        </is>
      </c>
      <c r="L146" s="29" t="inlineStr">
        <is>
          <t>Applicable BLYP member</t>
        </is>
      </c>
      <c r="M146" s="29" t="inlineStr">
        <is>
          <t>BLYP mobile application and supporting production services</t>
        </is>
      </c>
      <c r="N146" s="29" t="inlineStr">
        <is>
          <t>Server-authoritative live artillery Battle</t>
        </is>
      </c>
      <c r="O146" s="29" t="inlineStr">
        <is>
          <t>Not explicitly defined in the product source; requires accountable product approval before production sign-off.</t>
        </is>
      </c>
      <c r="P146" s="29" t="inlineStr"/>
      <c r="Q146" s="29" t="inlineStr">
        <is>
          <t>Yes</t>
        </is>
      </c>
      <c r="R146" s="29" t="inlineStr">
        <is>
          <t>source implementation exists.</t>
        </is>
      </c>
      <c r="S146" s="29" t="inlineStr">
        <is>
          <t>Partial</t>
        </is>
      </c>
      <c r="T146" s="29" t="inlineStr">
        <is>
          <t>Not found</t>
        </is>
      </c>
      <c r="U146" s="29" t="inlineStr">
        <is>
          <t>Not found</t>
        </is>
      </c>
      <c r="V146" s="29" t="inlineStr">
        <is>
          <t>Not found</t>
        </is>
      </c>
      <c r="W146" s="29" t="inlineStr">
        <is>
          <t>Present</t>
        </is>
      </c>
      <c r="X146" s="29" t="inlineStr">
        <is>
          <t>Not found</t>
        </is>
      </c>
      <c r="Y146" s="29" t="inlineStr">
        <is>
          <t>Not found</t>
        </is>
      </c>
      <c r="Z146" s="29" t="inlineStr">
        <is>
          <t>Not found</t>
        </is>
      </c>
      <c r="AA146" s="29" t="inlineStr">
        <is>
          <t>Not found</t>
        </is>
      </c>
      <c r="AB146" s="29" t="inlineStr">
        <is>
          <t>Not found</t>
        </is>
      </c>
      <c r="AC146" s="29" t="inlineStr"/>
      <c r="AD146" s="29" t="inlineStr">
        <is>
          <t>Not found</t>
        </is>
      </c>
      <c r="AE146" s="29" t="inlineStr">
        <is>
          <t>Unknown</t>
        </is>
      </c>
      <c r="AF146" s="29" t="inlineStr"/>
      <c r="AG146" s="29" t="inlineStr">
        <is>
          <t>Unknown</t>
        </is>
      </c>
      <c r="AH146" s="29" t="inlineStr">
        <is>
          <t>Unknown</t>
        </is>
      </c>
      <c r="AI146" s="29" t="inlineStr">
        <is>
          <t>Client implementation not found</t>
        </is>
      </c>
      <c r="AJ146" s="29" t="inlineStr">
        <is>
          <t>Not verified</t>
        </is>
      </c>
      <c r="AK146" s="29" t="inlineStr">
        <is>
          <t>EV-07-0018</t>
        </is>
      </c>
      <c r="AL146" s="29" t="inlineStr"/>
      <c r="AM146" s="29" t="inlineStr"/>
      <c r="AN146" s="29" t="inlineStr"/>
      <c r="AO146" s="29" t="inlineStr">
        <is>
          <t>8bc0dcb2a1da1b21368c5536aaeef829d587f316</t>
        </is>
      </c>
      <c r="AP146" s="29" t="inlineStr">
        <is>
          <t>Low</t>
        </is>
      </c>
      <c r="AQ146" s="29" t="inlineStr">
        <is>
          <t>Not assessed</t>
        </is>
      </c>
      <c r="AR146" s="29" t="inlineStr">
        <is>
          <t>Not assessed</t>
        </is>
      </c>
      <c r="AS146" s="29" t="inlineStr">
        <is>
          <t>Not assessed</t>
        </is>
      </c>
      <c r="AT146" s="29" t="inlineStr">
        <is>
          <t>Not assessed</t>
        </is>
      </c>
      <c r="AU146" s="29" t="inlineStr">
        <is>
          <t>Not assessed</t>
        </is>
      </c>
      <c r="AV146" s="29" t="inlineStr">
        <is>
          <t>Not assessed</t>
        </is>
      </c>
      <c r="AW146" s="29" t="inlineStr">
        <is>
          <t>Not assessed</t>
        </is>
      </c>
      <c r="AX146" s="29" t="inlineStr">
        <is>
          <t>Not assessed</t>
        </is>
      </c>
      <c r="AY146" s="29" t="inlineStr">
        <is>
          <t>Not assessed</t>
        </is>
      </c>
      <c r="AZ146" s="29" t="inlineStr">
        <is>
          <t>Not assessed</t>
        </is>
      </c>
      <c r="BA146" s="29" t="inlineStr">
        <is>
          <t>Not assessed</t>
        </is>
      </c>
      <c r="BB146" s="29" t="inlineStr">
        <is>
          <t>Not assessed</t>
        </is>
      </c>
      <c r="BC146" s="29" t="inlineStr">
        <is>
          <t>Not assessed</t>
        </is>
      </c>
      <c r="BD146" s="29" t="inlineStr">
        <is>
          <t>Not assessed</t>
        </is>
      </c>
      <c r="BE146" s="29" t="inlineStr">
        <is>
          <t>Development required</t>
        </is>
      </c>
      <c r="BF146" s="29" t="inlineStr">
        <is>
          <t>Physical implementation is not complete against the stated requirement.; Client implementation not found</t>
        </is>
      </c>
      <c r="BG146" s="29" t="inlineStr"/>
      <c r="BH146" s="29" t="inlineStr"/>
      <c r="BI146" s="29" t="inlineStr"/>
      <c r="BJ146" s="29" t="inlineStr"/>
      <c r="BK146" s="29" t="inlineStr">
        <is>
          <t>Evidence reconciled against the reviewed source revision. No production approval is inferred from implementation or file presence.</t>
        </is>
      </c>
      <c r="BL146" s="29" t="inlineStr">
        <is>
          <t>2026-08-02</t>
        </is>
      </c>
    </row>
    <row r="147" ht="42" customHeight="1">
      <c r="A147" s="29" t="inlineStr">
        <is>
          <t>BLYP-07-019</t>
        </is>
      </c>
      <c r="B147" s="29" t="inlineStr"/>
      <c r="C147" s="29" t="inlineStr">
        <is>
          <t>Live, Battles, Your BLYP, Teams, and games header</t>
        </is>
      </c>
      <c r="D147" s="29" t="n">
        <v>7</v>
      </c>
      <c r="E147" s="29" t="n">
        <v>19</v>
      </c>
      <c r="F147" s="29" t="inlineStr">
        <is>
          <t>Feature</t>
        </is>
      </c>
      <c r="G147" s="29" t="inlineStr">
        <is>
          <t>Local artillery demo</t>
        </is>
      </c>
      <c r="H147" s="29" t="inlineStr">
        <is>
          <t>Local artillery demo</t>
        </is>
      </c>
      <c r="I147" s="29" t="inlineStr">
        <is>
          <t>/home/ubuntu/blyp_product_requirements.md :: Section 7 — Live, Battles, Your BLYP, Teams, and games header</t>
        </is>
      </c>
      <c r="J147" s="29" t="inlineStr">
        <is>
          <t>/home/ubuntu/BLYP_COMPLETE_FEATURE_LIST.md:191</t>
        </is>
      </c>
      <c r="K147" s="29" t="inlineStr">
        <is>
          <t>Required</t>
        </is>
      </c>
      <c r="L147" s="29" t="inlineStr">
        <is>
          <t>Applicable BLYP member</t>
        </is>
      </c>
      <c r="M147" s="29" t="inlineStr">
        <is>
          <t>BLYP mobile application and supporting production services</t>
        </is>
      </c>
      <c r="N147" s="29" t="inlineStr">
        <is>
          <t>Local artillery demo</t>
        </is>
      </c>
      <c r="O147" s="29" t="inlineStr">
        <is>
          <t>Not explicitly defined in the product source; requires accountable product approval before production sign-off.</t>
        </is>
      </c>
      <c r="P147" s="29" t="inlineStr"/>
      <c r="Q147" s="29" t="inlineStr">
        <is>
          <t>Yes</t>
        </is>
      </c>
      <c r="R147" s="29" t="inlineStr"/>
      <c r="S147" s="29" t="inlineStr">
        <is>
          <t>Not found</t>
        </is>
      </c>
      <c r="T147" s="29" t="inlineStr">
        <is>
          <t>Not found</t>
        </is>
      </c>
      <c r="U147" s="29" t="inlineStr">
        <is>
          <t>Not found</t>
        </is>
      </c>
      <c r="V147" s="29" t="inlineStr">
        <is>
          <t>Not found</t>
        </is>
      </c>
      <c r="W147" s="29" t="inlineStr">
        <is>
          <t>Not found</t>
        </is>
      </c>
      <c r="X147" s="29" t="inlineStr">
        <is>
          <t>Not found</t>
        </is>
      </c>
      <c r="Y147" s="29" t="inlineStr">
        <is>
          <t>Not found</t>
        </is>
      </c>
      <c r="Z147" s="29" t="inlineStr">
        <is>
          <t>Not found</t>
        </is>
      </c>
      <c r="AA147" s="29" t="inlineStr">
        <is>
          <t>Not found</t>
        </is>
      </c>
      <c r="AB147" s="29" t="inlineStr">
        <is>
          <t>Not found</t>
        </is>
      </c>
      <c r="AC147" s="29" t="inlineStr"/>
      <c r="AD147" s="29" t="inlineStr">
        <is>
          <t>Not found</t>
        </is>
      </c>
      <c r="AE147" s="29" t="inlineStr">
        <is>
          <t>Unknown</t>
        </is>
      </c>
      <c r="AF147" s="29" t="inlineStr"/>
      <c r="AG147" s="29" t="inlineStr">
        <is>
          <t>Unknown</t>
        </is>
      </c>
      <c r="AH147" s="29" t="inlineStr">
        <is>
          <t>Unknown</t>
        </is>
      </c>
      <c r="AI147" s="29" t="inlineStr">
        <is>
          <t>Searched for 'Local artillery demo' in source code, no implementation found.</t>
        </is>
      </c>
      <c r="AJ147" s="29" t="inlineStr">
        <is>
          <t>Not verified</t>
        </is>
      </c>
      <c r="AK147" s="29" t="inlineStr">
        <is>
          <t>EV-07-0019</t>
        </is>
      </c>
      <c r="AL147" s="29" t="inlineStr"/>
      <c r="AM147" s="29" t="inlineStr"/>
      <c r="AN147" s="29" t="inlineStr"/>
      <c r="AO147" s="29" t="inlineStr">
        <is>
          <t>8bc0dcb2a1da1b21368c5536aaeef829d587f316</t>
        </is>
      </c>
      <c r="AP147" s="29" t="inlineStr">
        <is>
          <t>Low</t>
        </is>
      </c>
      <c r="AQ147" s="29" t="inlineStr">
        <is>
          <t>Not assessed</t>
        </is>
      </c>
      <c r="AR147" s="29" t="inlineStr">
        <is>
          <t>Not assessed</t>
        </is>
      </c>
      <c r="AS147" s="29" t="inlineStr">
        <is>
          <t>Not assessed</t>
        </is>
      </c>
      <c r="AT147" s="29" t="inlineStr">
        <is>
          <t>Not assessed</t>
        </is>
      </c>
      <c r="AU147" s="29" t="inlineStr">
        <is>
          <t>Not assessed</t>
        </is>
      </c>
      <c r="AV147" s="29" t="inlineStr">
        <is>
          <t>Not assessed</t>
        </is>
      </c>
      <c r="AW147" s="29" t="inlineStr">
        <is>
          <t>Not assessed</t>
        </is>
      </c>
      <c r="AX147" s="29" t="inlineStr">
        <is>
          <t>Not assessed</t>
        </is>
      </c>
      <c r="AY147" s="29" t="inlineStr">
        <is>
          <t>Not assessed</t>
        </is>
      </c>
      <c r="AZ147" s="29" t="inlineStr">
        <is>
          <t>Not assessed</t>
        </is>
      </c>
      <c r="BA147" s="29" t="inlineStr">
        <is>
          <t>Not assessed</t>
        </is>
      </c>
      <c r="BB147" s="29" t="inlineStr">
        <is>
          <t>Not assessed</t>
        </is>
      </c>
      <c r="BC147" s="29" t="inlineStr">
        <is>
          <t>Not assessed</t>
        </is>
      </c>
      <c r="BD147" s="29" t="inlineStr">
        <is>
          <t>Not assessed</t>
        </is>
      </c>
      <c r="BE147" s="29" t="inlineStr">
        <is>
          <t>Development required</t>
        </is>
      </c>
      <c r="BF147" s="29" t="inlineStr">
        <is>
          <t>Physical implementation is not complete against the stated requirement.; Searched for 'Local artillery demo' in source code, no implementation found.</t>
        </is>
      </c>
      <c r="BG147" s="29" t="inlineStr"/>
      <c r="BH147" s="29" t="inlineStr"/>
      <c r="BI147" s="29" t="inlineStr"/>
      <c r="BJ147" s="29" t="inlineStr"/>
      <c r="BK147" s="29" t="inlineStr">
        <is>
          <t>Evidence reconciled against the reviewed source revision. No production approval is inferred from implementation or file presence.</t>
        </is>
      </c>
      <c r="BL147" s="29" t="inlineStr">
        <is>
          <t>2026-08-02</t>
        </is>
      </c>
    </row>
    <row r="148" ht="42" customHeight="1">
      <c r="A148" s="29" t="inlineStr">
        <is>
          <t>BLYP-07-020</t>
        </is>
      </c>
      <c r="B148" s="29" t="inlineStr"/>
      <c r="C148" s="29" t="inlineStr">
        <is>
          <t>Live, Battles, Your BLYP, Teams, and games header</t>
        </is>
      </c>
      <c r="D148" s="29" t="n">
        <v>7</v>
      </c>
      <c r="E148" s="29" t="n">
        <v>20</v>
      </c>
      <c r="F148" s="29" t="inlineStr">
        <is>
          <t>Feature</t>
        </is>
      </c>
      <c r="G148" s="29" t="inlineStr">
        <is>
          <t>Your BLYP destination</t>
        </is>
      </c>
      <c r="H148" s="29" t="inlineStr">
        <is>
          <t>Your BLYP destination</t>
        </is>
      </c>
      <c r="I148" s="29" t="inlineStr">
        <is>
          <t>/home/ubuntu/blyp_product_requirements.md :: Section 7 — Live, Battles, Your BLYP, Teams, and games header</t>
        </is>
      </c>
      <c r="J148" s="29" t="inlineStr">
        <is>
          <t>/home/ubuntu/BLYP_COMPLETE_FEATURE_LIST.md:192</t>
        </is>
      </c>
      <c r="K148" s="29" t="inlineStr">
        <is>
          <t>Required</t>
        </is>
      </c>
      <c r="L148" s="29" t="inlineStr">
        <is>
          <t>Applicable BLYP member</t>
        </is>
      </c>
      <c r="M148" s="29" t="inlineStr">
        <is>
          <t>BLYP mobile application and supporting production services</t>
        </is>
      </c>
      <c r="N148" s="29" t="inlineStr">
        <is>
          <t>Your BLYP destination</t>
        </is>
      </c>
      <c r="O148" s="29" t="inlineStr">
        <is>
          <t>Not explicitly defined in the product source; requires accountable product approval before production sign-off.</t>
        </is>
      </c>
      <c r="P148" s="29" t="inlineStr"/>
      <c r="Q148" s="29" t="inlineStr">
        <is>
          <t>Scaffold only</t>
        </is>
      </c>
      <c r="R148" s="29" t="inlineStr"/>
      <c r="S148" s="29" t="inlineStr">
        <is>
          <t>Not found</t>
        </is>
      </c>
      <c r="T148" s="29" t="inlineStr">
        <is>
          <t>Not found</t>
        </is>
      </c>
      <c r="U148" s="29" t="inlineStr">
        <is>
          <t>Not found</t>
        </is>
      </c>
      <c r="V148" s="29" t="inlineStr">
        <is>
          <t>Not found</t>
        </is>
      </c>
      <c r="W148" s="29" t="inlineStr">
        <is>
          <t>Not found</t>
        </is>
      </c>
      <c r="X148" s="29" t="inlineStr">
        <is>
          <t>Not found</t>
        </is>
      </c>
      <c r="Y148" s="29" t="inlineStr">
        <is>
          <t>Not found</t>
        </is>
      </c>
      <c r="Z148" s="29" t="inlineStr">
        <is>
          <t>Not found</t>
        </is>
      </c>
      <c r="AA148" s="29" t="inlineStr">
        <is>
          <t>Not found</t>
        </is>
      </c>
      <c r="AB148" s="29" t="inlineStr">
        <is>
          <t>Not found</t>
        </is>
      </c>
      <c r="AC148" s="29" t="inlineStr"/>
      <c r="AD148" s="29" t="inlineStr">
        <is>
          <t>Not found</t>
        </is>
      </c>
      <c r="AE148" s="29" t="inlineStr">
        <is>
          <t>Unknown</t>
        </is>
      </c>
      <c r="AF148" s="29" t="inlineStr"/>
      <c r="AG148" s="29" t="inlineStr">
        <is>
          <t>Unknown</t>
        </is>
      </c>
      <c r="AH148" s="29" t="inlineStr">
        <is>
          <t>Unknown</t>
        </is>
      </c>
      <c r="AI148" s="29" t="inlineStr">
        <is>
          <t>Searched for 'Your BLYP destination' in source code, no implementation found.</t>
        </is>
      </c>
      <c r="AJ148" s="29" t="inlineStr">
        <is>
          <t>Not verified</t>
        </is>
      </c>
      <c r="AK148" s="29" t="inlineStr">
        <is>
          <t>EV-07-0020</t>
        </is>
      </c>
      <c r="AL148" s="29" t="inlineStr"/>
      <c r="AM148" s="29" t="inlineStr"/>
      <c r="AN148" s="29" t="inlineStr"/>
      <c r="AO148" s="29" t="inlineStr">
        <is>
          <t>8bc0dcb2a1da1b21368c5536aaeef829d587f316</t>
        </is>
      </c>
      <c r="AP148" s="29" t="inlineStr">
        <is>
          <t>Low</t>
        </is>
      </c>
      <c r="AQ148" s="29" t="inlineStr">
        <is>
          <t>Not assessed</t>
        </is>
      </c>
      <c r="AR148" s="29" t="inlineStr">
        <is>
          <t>Not assessed</t>
        </is>
      </c>
      <c r="AS148" s="29" t="inlineStr">
        <is>
          <t>Not assessed</t>
        </is>
      </c>
      <c r="AT148" s="29" t="inlineStr">
        <is>
          <t>Not assessed</t>
        </is>
      </c>
      <c r="AU148" s="29" t="inlineStr">
        <is>
          <t>Not assessed</t>
        </is>
      </c>
      <c r="AV148" s="29" t="inlineStr">
        <is>
          <t>Not assessed</t>
        </is>
      </c>
      <c r="AW148" s="29" t="inlineStr">
        <is>
          <t>Not assessed</t>
        </is>
      </c>
      <c r="AX148" s="29" t="inlineStr">
        <is>
          <t>Not assessed</t>
        </is>
      </c>
      <c r="AY148" s="29" t="inlineStr">
        <is>
          <t>Not assessed</t>
        </is>
      </c>
      <c r="AZ148" s="29" t="inlineStr">
        <is>
          <t>Not assessed</t>
        </is>
      </c>
      <c r="BA148" s="29" t="inlineStr">
        <is>
          <t>Not assessed</t>
        </is>
      </c>
      <c r="BB148" s="29" t="inlineStr">
        <is>
          <t>Not assessed</t>
        </is>
      </c>
      <c r="BC148" s="29" t="inlineStr">
        <is>
          <t>Not assessed</t>
        </is>
      </c>
      <c r="BD148" s="29" t="inlineStr">
        <is>
          <t>Not assessed</t>
        </is>
      </c>
      <c r="BE148" s="29" t="inlineStr">
        <is>
          <t>Development required</t>
        </is>
      </c>
      <c r="BF148" s="29" t="inlineStr">
        <is>
          <t>Physical implementation is not complete against the stated requirement.; Searched for 'Your BLYP destination' in source code, no implementation found.</t>
        </is>
      </c>
      <c r="BG148" s="29" t="inlineStr"/>
      <c r="BH148" s="29" t="inlineStr"/>
      <c r="BI148" s="29" t="inlineStr"/>
      <c r="BJ148" s="29" t="inlineStr"/>
      <c r="BK148" s="29" t="inlineStr">
        <is>
          <t>Evidence reconciled against the reviewed source revision. No production approval is inferred from implementation or file presence.</t>
        </is>
      </c>
      <c r="BL148" s="29" t="inlineStr">
        <is>
          <t>2026-08-02</t>
        </is>
      </c>
    </row>
    <row r="149" ht="42" customHeight="1">
      <c r="A149" s="29" t="inlineStr">
        <is>
          <t>BLYP-07-021</t>
        </is>
      </c>
      <c r="B149" s="29" t="inlineStr"/>
      <c r="C149" s="29" t="inlineStr">
        <is>
          <t>Live, Battles, Your BLYP, Teams, and games header</t>
        </is>
      </c>
      <c r="D149" s="29" t="n">
        <v>7</v>
      </c>
      <c r="E149" s="29" t="n">
        <v>21</v>
      </c>
      <c r="F149" s="29" t="inlineStr">
        <is>
          <t>Feature</t>
        </is>
      </c>
      <c r="G149" s="29" t="inlineStr">
        <is>
          <t>Coherent Teams destination</t>
        </is>
      </c>
      <c r="H149" s="29" t="inlineStr">
        <is>
          <t>Coherent Teams destination</t>
        </is>
      </c>
      <c r="I149" s="29" t="inlineStr">
        <is>
          <t>/home/ubuntu/blyp_product_requirements.md :: Section 7 — Live, Battles, Your BLYP, Teams, and games header</t>
        </is>
      </c>
      <c r="J149" s="29" t="inlineStr">
        <is>
          <t>/home/ubuntu/BLYP_COMPLETE_FEATURE_LIST.md:193</t>
        </is>
      </c>
      <c r="K149" s="29" t="inlineStr">
        <is>
          <t>Required</t>
        </is>
      </c>
      <c r="L149" s="29" t="inlineStr">
        <is>
          <t>Applicable BLYP member</t>
        </is>
      </c>
      <c r="M149" s="29" t="inlineStr">
        <is>
          <t>BLYP mobile application and supporting production services</t>
        </is>
      </c>
      <c r="N149" s="29" t="inlineStr">
        <is>
          <t>Coherent Teams destination</t>
        </is>
      </c>
      <c r="O149" s="29" t="inlineStr">
        <is>
          <t>Not explicitly defined in the product source; requires accountable product approval before production sign-off.</t>
        </is>
      </c>
      <c r="P149" s="29" t="inlineStr"/>
      <c r="Q149" s="29" t="inlineStr">
        <is>
          <t>Scaffold only</t>
        </is>
      </c>
      <c r="R149" s="29" t="inlineStr"/>
      <c r="S149" s="29" t="inlineStr">
        <is>
          <t>Not found</t>
        </is>
      </c>
      <c r="T149" s="29" t="inlineStr">
        <is>
          <t>Not found</t>
        </is>
      </c>
      <c r="U149" s="29" t="inlineStr">
        <is>
          <t>Not found</t>
        </is>
      </c>
      <c r="V149" s="29" t="inlineStr">
        <is>
          <t>Not found</t>
        </is>
      </c>
      <c r="W149" s="29" t="inlineStr">
        <is>
          <t>Not found</t>
        </is>
      </c>
      <c r="X149" s="29" t="inlineStr">
        <is>
          <t>Not found</t>
        </is>
      </c>
      <c r="Y149" s="29" t="inlineStr">
        <is>
          <t>Not found</t>
        </is>
      </c>
      <c r="Z149" s="29" t="inlineStr">
        <is>
          <t>Not found</t>
        </is>
      </c>
      <c r="AA149" s="29" t="inlineStr">
        <is>
          <t>Not found</t>
        </is>
      </c>
      <c r="AB149" s="29" t="inlineStr">
        <is>
          <t>Not found</t>
        </is>
      </c>
      <c r="AC149" s="29" t="inlineStr"/>
      <c r="AD149" s="29" t="inlineStr">
        <is>
          <t>Not found</t>
        </is>
      </c>
      <c r="AE149" s="29" t="inlineStr">
        <is>
          <t>Unknown</t>
        </is>
      </c>
      <c r="AF149" s="29" t="inlineStr"/>
      <c r="AG149" s="29" t="inlineStr">
        <is>
          <t>Unknown</t>
        </is>
      </c>
      <c r="AH149" s="29" t="inlineStr">
        <is>
          <t>Unknown</t>
        </is>
      </c>
      <c r="AI149" s="29" t="inlineStr">
        <is>
          <t>Searched for 'Coherent Teams destination' in source code, no implementation found.</t>
        </is>
      </c>
      <c r="AJ149" s="29" t="inlineStr">
        <is>
          <t>Not verified</t>
        </is>
      </c>
      <c r="AK149" s="29" t="inlineStr">
        <is>
          <t>EV-07-0021</t>
        </is>
      </c>
      <c r="AL149" s="29" t="inlineStr"/>
      <c r="AM149" s="29" t="inlineStr"/>
      <c r="AN149" s="29" t="inlineStr"/>
      <c r="AO149" s="29" t="inlineStr">
        <is>
          <t>8bc0dcb2a1da1b21368c5536aaeef829d587f316</t>
        </is>
      </c>
      <c r="AP149" s="29" t="inlineStr">
        <is>
          <t>Low</t>
        </is>
      </c>
      <c r="AQ149" s="29" t="inlineStr">
        <is>
          <t>Not assessed</t>
        </is>
      </c>
      <c r="AR149" s="29" t="inlineStr">
        <is>
          <t>Not assessed</t>
        </is>
      </c>
      <c r="AS149" s="29" t="inlineStr">
        <is>
          <t>Not assessed</t>
        </is>
      </c>
      <c r="AT149" s="29" t="inlineStr">
        <is>
          <t>Not assessed</t>
        </is>
      </c>
      <c r="AU149" s="29" t="inlineStr">
        <is>
          <t>Not assessed</t>
        </is>
      </c>
      <c r="AV149" s="29" t="inlineStr">
        <is>
          <t>Not assessed</t>
        </is>
      </c>
      <c r="AW149" s="29" t="inlineStr">
        <is>
          <t>Not assessed</t>
        </is>
      </c>
      <c r="AX149" s="29" t="inlineStr">
        <is>
          <t>Not assessed</t>
        </is>
      </c>
      <c r="AY149" s="29" t="inlineStr">
        <is>
          <t>Not assessed</t>
        </is>
      </c>
      <c r="AZ149" s="29" t="inlineStr">
        <is>
          <t>Not assessed</t>
        </is>
      </c>
      <c r="BA149" s="29" t="inlineStr">
        <is>
          <t>Not assessed</t>
        </is>
      </c>
      <c r="BB149" s="29" t="inlineStr">
        <is>
          <t>Not assessed</t>
        </is>
      </c>
      <c r="BC149" s="29" t="inlineStr">
        <is>
          <t>Not assessed</t>
        </is>
      </c>
      <c r="BD149" s="29" t="inlineStr">
        <is>
          <t>Not assessed</t>
        </is>
      </c>
      <c r="BE149" s="29" t="inlineStr">
        <is>
          <t>Development required</t>
        </is>
      </c>
      <c r="BF149" s="29" t="inlineStr">
        <is>
          <t>Physical implementation is not complete against the stated requirement.; Searched for 'Coherent Teams destination' in source code, no implementation found.</t>
        </is>
      </c>
      <c r="BG149" s="29" t="inlineStr"/>
      <c r="BH149" s="29" t="inlineStr"/>
      <c r="BI149" s="29" t="inlineStr"/>
      <c r="BJ149" s="29" t="inlineStr"/>
      <c r="BK149" s="29" t="inlineStr">
        <is>
          <t>Evidence reconciled against the reviewed source revision. No production approval is inferred from implementation or file presence.</t>
        </is>
      </c>
      <c r="BL149" s="29" t="inlineStr">
        <is>
          <t>2026-08-02</t>
        </is>
      </c>
    </row>
    <row r="150" ht="42" customHeight="1">
      <c r="A150" s="29" t="inlineStr">
        <is>
          <t>BLYP-08-001</t>
        </is>
      </c>
      <c r="B150" s="29" t="inlineStr"/>
      <c r="C150" s="29" t="inlineStr">
        <is>
          <t>Subscriber-only Dating destination</t>
        </is>
      </c>
      <c r="D150" s="29" t="n">
        <v>8</v>
      </c>
      <c r="E150" s="29" t="n">
        <v>1</v>
      </c>
      <c r="F150" s="29" t="inlineStr">
        <is>
          <t>Feature</t>
        </is>
      </c>
      <c r="G150" s="29" t="inlineStr">
        <is>
          <t>Dating destination</t>
        </is>
      </c>
      <c r="H150" s="29" t="inlineStr">
        <is>
          <t>Dating destination</t>
        </is>
      </c>
      <c r="I150" s="29" t="inlineStr">
        <is>
          <t>/home/ubuntu/blyp_product_requirements.md :: Section 8 — Subscriber-only Dating destination</t>
        </is>
      </c>
      <c r="J150" s="29" t="inlineStr">
        <is>
          <t>/home/ubuntu/BLYP_COMPLETE_FEATURE_LIST.md:199</t>
        </is>
      </c>
      <c r="K150" s="29" t="inlineStr">
        <is>
          <t>Required</t>
        </is>
      </c>
      <c r="L150" s="29" t="inlineStr">
        <is>
          <t>Applicable BLYP member</t>
        </is>
      </c>
      <c r="M150" s="29" t="inlineStr">
        <is>
          <t>BLYP mobile application and supporting production services</t>
        </is>
      </c>
      <c r="N150" s="29" t="inlineStr">
        <is>
          <t>Dating destination</t>
        </is>
      </c>
      <c r="O150" s="29" t="inlineStr">
        <is>
          <t>Not explicitly defined in the product source; requires accountable product approval before production sign-off.</t>
        </is>
      </c>
      <c r="P150" s="29" t="inlineStr">
        <is>
          <t>None</t>
        </is>
      </c>
      <c r="Q150" s="29" t="inlineStr">
        <is>
          <t>No evidence</t>
        </is>
      </c>
      <c r="R150" s="29" t="inlineStr"/>
      <c r="S150" s="29" t="inlineStr">
        <is>
          <t>Not found</t>
        </is>
      </c>
      <c r="T150" s="29" t="inlineStr">
        <is>
          <t>None</t>
        </is>
      </c>
      <c r="U150" s="29" t="inlineStr">
        <is>
          <t>None</t>
        </is>
      </c>
      <c r="V150" s="29" t="inlineStr">
        <is>
          <t>None</t>
        </is>
      </c>
      <c r="W150" s="29" t="inlineStr">
        <is>
          <t>None</t>
        </is>
      </c>
      <c r="X150" s="29" t="inlineStr">
        <is>
          <t>None</t>
        </is>
      </c>
      <c r="Y150" s="29" t="inlineStr">
        <is>
          <t>None</t>
        </is>
      </c>
      <c r="Z150" s="29" t="inlineStr">
        <is>
          <t>None</t>
        </is>
      </c>
      <c r="AA150" s="29" t="inlineStr">
        <is>
          <t>None</t>
        </is>
      </c>
      <c r="AB150" s="29" t="inlineStr">
        <is>
          <t>None</t>
        </is>
      </c>
      <c r="AC150" s="29" t="inlineStr"/>
      <c r="AD150" s="29" t="inlineStr">
        <is>
          <t>None</t>
        </is>
      </c>
      <c r="AE150" s="29" t="inlineStr">
        <is>
          <t>Not wired</t>
        </is>
      </c>
      <c r="AF150" s="29" t="inlineStr">
        <is>
          <t>None</t>
        </is>
      </c>
      <c r="AG150" s="29" t="inlineStr">
        <is>
          <t>Not started</t>
        </is>
      </c>
      <c r="AH150" s="29" t="inlineStr">
        <is>
          <t>No</t>
        </is>
      </c>
      <c r="AI150" s="29" t="inlineStr">
        <is>
          <t>No source code found for dating features</t>
        </is>
      </c>
      <c r="AJ150" s="29" t="inlineStr">
        <is>
          <t>Not verified</t>
        </is>
      </c>
      <c r="AK150" s="29" t="inlineStr"/>
      <c r="AL150" s="29" t="inlineStr"/>
      <c r="AM150" s="29" t="inlineStr"/>
      <c r="AN150" s="29" t="inlineStr"/>
      <c r="AO150" s="29" t="inlineStr">
        <is>
          <t>8bc0dcb2a1da1b21368c5536aaeef829d587f316</t>
        </is>
      </c>
      <c r="AP150" s="29" t="inlineStr">
        <is>
          <t>Low</t>
        </is>
      </c>
      <c r="AQ150" s="29" t="inlineStr">
        <is>
          <t>Not assessed</t>
        </is>
      </c>
      <c r="AR150" s="29" t="inlineStr">
        <is>
          <t>Not assessed</t>
        </is>
      </c>
      <c r="AS150" s="29" t="inlineStr">
        <is>
          <t>Fail</t>
        </is>
      </c>
      <c r="AT150" s="29" t="inlineStr">
        <is>
          <t>Not assessed</t>
        </is>
      </c>
      <c r="AU150" s="29" t="inlineStr">
        <is>
          <t>Not assessed</t>
        </is>
      </c>
      <c r="AV150" s="29" t="inlineStr">
        <is>
          <t>Not assessed</t>
        </is>
      </c>
      <c r="AW150" s="29" t="inlineStr">
        <is>
          <t>Not assessed</t>
        </is>
      </c>
      <c r="AX150" s="29" t="inlineStr">
        <is>
          <t>Not assessed</t>
        </is>
      </c>
      <c r="AY150" s="29" t="inlineStr">
        <is>
          <t>Not assessed</t>
        </is>
      </c>
      <c r="AZ150" s="29" t="inlineStr">
        <is>
          <t>Not assessed</t>
        </is>
      </c>
      <c r="BA150" s="29" t="inlineStr">
        <is>
          <t>Not assessed</t>
        </is>
      </c>
      <c r="BB150" s="29" t="inlineStr">
        <is>
          <t>Not assessed</t>
        </is>
      </c>
      <c r="BC150" s="29" t="inlineStr">
        <is>
          <t>Not assessed</t>
        </is>
      </c>
      <c r="BD150" s="29" t="inlineStr">
        <is>
          <t>Not assessed</t>
        </is>
      </c>
      <c r="BE150" s="29" t="inlineStr">
        <is>
          <t>Development required</t>
        </is>
      </c>
      <c r="BF150" s="29" t="inlineStr">
        <is>
          <t>Missing implementation; Physical implementation is not complete against the stated requirement.; No source code found for dating features</t>
        </is>
      </c>
      <c r="BG150" s="29" t="inlineStr">
        <is>
          <t>Source code implementation</t>
        </is>
      </c>
      <c r="BH150" s="29" t="inlineStr"/>
      <c r="BI150" s="29" t="inlineStr"/>
      <c r="BJ150" s="29" t="inlineStr"/>
      <c r="BK150" s="29" t="inlineStr">
        <is>
          <t>Evidence reconciled against the reviewed source revision. No production approval is inferred from implementation or file presence.</t>
        </is>
      </c>
      <c r="BL150" s="29" t="inlineStr">
        <is>
          <t>2026-08-02</t>
        </is>
      </c>
    </row>
    <row r="151" ht="42" customHeight="1">
      <c r="A151" s="29" t="inlineStr">
        <is>
          <t>BLYP-08-002</t>
        </is>
      </c>
      <c r="B151" s="29" t="inlineStr"/>
      <c r="C151" s="29" t="inlineStr">
        <is>
          <t>Subscriber-only Dating destination</t>
        </is>
      </c>
      <c r="D151" s="29" t="n">
        <v>8</v>
      </c>
      <c r="E151" s="29" t="n">
        <v>2</v>
      </c>
      <c r="F151" s="29" t="inlineStr">
        <is>
          <t>Feature</t>
        </is>
      </c>
      <c r="G151" s="29" t="inlineStr">
        <is>
          <t>£4.99 subscriber gate</t>
        </is>
      </c>
      <c r="H151" s="29" t="inlineStr">
        <is>
          <t>£4.99 subscriber gate</t>
        </is>
      </c>
      <c r="I151" s="29" t="inlineStr">
        <is>
          <t>/home/ubuntu/blyp_product_requirements.md :: Section 8 — Subscriber-only Dating destination</t>
        </is>
      </c>
      <c r="J151" s="29" t="inlineStr">
        <is>
          <t>/home/ubuntu/BLYP_COMPLETE_FEATURE_LIST.md:200</t>
        </is>
      </c>
      <c r="K151" s="29" t="inlineStr">
        <is>
          <t>Required</t>
        </is>
      </c>
      <c r="L151" s="29" t="inlineStr">
        <is>
          <t>Applicable BLYP member</t>
        </is>
      </c>
      <c r="M151" s="29" t="inlineStr">
        <is>
          <t>BLYP mobile application and supporting production services</t>
        </is>
      </c>
      <c r="N151" s="29" t="inlineStr">
        <is>
          <t>£4.99 subscriber gate</t>
        </is>
      </c>
      <c r="O151" s="29" t="inlineStr">
        <is>
          <t>Not explicitly defined in the product source; requires accountable product approval before production sign-off.</t>
        </is>
      </c>
      <c r="P151" s="29" t="inlineStr">
        <is>
          <t>None</t>
        </is>
      </c>
      <c r="Q151" s="29" t="inlineStr">
        <is>
          <t>No evidence</t>
        </is>
      </c>
      <c r="R151" s="29" t="inlineStr"/>
      <c r="S151" s="29" t="inlineStr">
        <is>
          <t>Not found</t>
        </is>
      </c>
      <c r="T151" s="29" t="inlineStr">
        <is>
          <t>None</t>
        </is>
      </c>
      <c r="U151" s="29" t="inlineStr">
        <is>
          <t>None</t>
        </is>
      </c>
      <c r="V151" s="29" t="inlineStr">
        <is>
          <t>None</t>
        </is>
      </c>
      <c r="W151" s="29" t="inlineStr">
        <is>
          <t>None</t>
        </is>
      </c>
      <c r="X151" s="29" t="inlineStr">
        <is>
          <t>None</t>
        </is>
      </c>
      <c r="Y151" s="29" t="inlineStr">
        <is>
          <t>None</t>
        </is>
      </c>
      <c r="Z151" s="29" t="inlineStr">
        <is>
          <t>None</t>
        </is>
      </c>
      <c r="AA151" s="29" t="inlineStr">
        <is>
          <t>None</t>
        </is>
      </c>
      <c r="AB151" s="29" t="inlineStr">
        <is>
          <t>None</t>
        </is>
      </c>
      <c r="AC151" s="29" t="inlineStr"/>
      <c r="AD151" s="29" t="inlineStr">
        <is>
          <t>None</t>
        </is>
      </c>
      <c r="AE151" s="29" t="inlineStr">
        <is>
          <t>Not wired</t>
        </is>
      </c>
      <c r="AF151" s="29" t="inlineStr">
        <is>
          <t>None</t>
        </is>
      </c>
      <c r="AG151" s="29" t="inlineStr">
        <is>
          <t>Not started</t>
        </is>
      </c>
      <c r="AH151" s="29" t="inlineStr">
        <is>
          <t>No</t>
        </is>
      </c>
      <c r="AI151" s="29" t="inlineStr">
        <is>
          <t>No source code found for dating features</t>
        </is>
      </c>
      <c r="AJ151" s="29" t="inlineStr">
        <is>
          <t>Not verified</t>
        </is>
      </c>
      <c r="AK151" s="29" t="inlineStr"/>
      <c r="AL151" s="29" t="inlineStr"/>
      <c r="AM151" s="29" t="inlineStr"/>
      <c r="AN151" s="29" t="inlineStr"/>
      <c r="AO151" s="29" t="inlineStr">
        <is>
          <t>8bc0dcb2a1da1b21368c5536aaeef829d587f316</t>
        </is>
      </c>
      <c r="AP151" s="29" t="inlineStr">
        <is>
          <t>Low</t>
        </is>
      </c>
      <c r="AQ151" s="29" t="inlineStr">
        <is>
          <t>Not assessed</t>
        </is>
      </c>
      <c r="AR151" s="29" t="inlineStr">
        <is>
          <t>Not assessed</t>
        </is>
      </c>
      <c r="AS151" s="29" t="inlineStr">
        <is>
          <t>Fail</t>
        </is>
      </c>
      <c r="AT151" s="29" t="inlineStr">
        <is>
          <t>Not assessed</t>
        </is>
      </c>
      <c r="AU151" s="29" t="inlineStr">
        <is>
          <t>Not assessed</t>
        </is>
      </c>
      <c r="AV151" s="29" t="inlineStr">
        <is>
          <t>Not assessed</t>
        </is>
      </c>
      <c r="AW151" s="29" t="inlineStr">
        <is>
          <t>Not assessed</t>
        </is>
      </c>
      <c r="AX151" s="29" t="inlineStr">
        <is>
          <t>Not assessed</t>
        </is>
      </c>
      <c r="AY151" s="29" t="inlineStr">
        <is>
          <t>Not assessed</t>
        </is>
      </c>
      <c r="AZ151" s="29" t="inlineStr">
        <is>
          <t>Not assessed</t>
        </is>
      </c>
      <c r="BA151" s="29" t="inlineStr">
        <is>
          <t>Not assessed</t>
        </is>
      </c>
      <c r="BB151" s="29" t="inlineStr">
        <is>
          <t>Not assessed</t>
        </is>
      </c>
      <c r="BC151" s="29" t="inlineStr">
        <is>
          <t>Not assessed</t>
        </is>
      </c>
      <c r="BD151" s="29" t="inlineStr">
        <is>
          <t>Not assessed</t>
        </is>
      </c>
      <c r="BE151" s="29" t="inlineStr">
        <is>
          <t>Development required</t>
        </is>
      </c>
      <c r="BF151" s="29" t="inlineStr">
        <is>
          <t>Missing implementation; Physical implementation is not complete against the stated requirement.; No source code found for dating features</t>
        </is>
      </c>
      <c r="BG151" s="29" t="inlineStr">
        <is>
          <t>Source code implementation</t>
        </is>
      </c>
      <c r="BH151" s="29" t="inlineStr"/>
      <c r="BI151" s="29" t="inlineStr"/>
      <c r="BJ151" s="29" t="inlineStr"/>
      <c r="BK151" s="29" t="inlineStr">
        <is>
          <t>Evidence reconciled against the reviewed source revision. No production approval is inferred from implementation or file presence.</t>
        </is>
      </c>
      <c r="BL151" s="29" t="inlineStr">
        <is>
          <t>2026-08-02</t>
        </is>
      </c>
    </row>
    <row r="152" ht="42" customHeight="1">
      <c r="A152" s="29" t="inlineStr">
        <is>
          <t>BLYP-08-003</t>
        </is>
      </c>
      <c r="B152" s="29" t="inlineStr"/>
      <c r="C152" s="29" t="inlineStr">
        <is>
          <t>Subscriber-only Dating destination</t>
        </is>
      </c>
      <c r="D152" s="29" t="n">
        <v>8</v>
      </c>
      <c r="E152" s="29" t="n">
        <v>3</v>
      </c>
      <c r="F152" s="29" t="inlineStr">
        <is>
          <t>Feature</t>
        </is>
      </c>
      <c r="G152" s="29" t="inlineStr">
        <is>
          <t>Explicit opt-in</t>
        </is>
      </c>
      <c r="H152" s="29" t="inlineStr">
        <is>
          <t>Explicit opt-in</t>
        </is>
      </c>
      <c r="I152" s="29" t="inlineStr">
        <is>
          <t>/home/ubuntu/blyp_product_requirements.md :: Section 8 — Subscriber-only Dating destination</t>
        </is>
      </c>
      <c r="J152" s="29" t="inlineStr">
        <is>
          <t>/home/ubuntu/BLYP_COMPLETE_FEATURE_LIST.md:201</t>
        </is>
      </c>
      <c r="K152" s="29" t="inlineStr">
        <is>
          <t>Required</t>
        </is>
      </c>
      <c r="L152" s="29" t="inlineStr">
        <is>
          <t>Applicable BLYP member</t>
        </is>
      </c>
      <c r="M152" s="29" t="inlineStr">
        <is>
          <t>BLYP mobile application and supporting production services</t>
        </is>
      </c>
      <c r="N152" s="29" t="inlineStr">
        <is>
          <t>Explicit opt-in</t>
        </is>
      </c>
      <c r="O152" s="29" t="inlineStr">
        <is>
          <t>Not explicitly defined in the product source; requires accountable product approval before production sign-off.</t>
        </is>
      </c>
      <c r="P152" s="29" t="inlineStr">
        <is>
          <t>None</t>
        </is>
      </c>
      <c r="Q152" s="29" t="inlineStr">
        <is>
          <t>No evidence</t>
        </is>
      </c>
      <c r="R152" s="29" t="inlineStr"/>
      <c r="S152" s="29" t="inlineStr">
        <is>
          <t>Not found</t>
        </is>
      </c>
      <c r="T152" s="29" t="inlineStr">
        <is>
          <t>None</t>
        </is>
      </c>
      <c r="U152" s="29" t="inlineStr">
        <is>
          <t>None</t>
        </is>
      </c>
      <c r="V152" s="29" t="inlineStr">
        <is>
          <t>None</t>
        </is>
      </c>
      <c r="W152" s="29" t="inlineStr">
        <is>
          <t>None</t>
        </is>
      </c>
      <c r="X152" s="29" t="inlineStr">
        <is>
          <t>None</t>
        </is>
      </c>
      <c r="Y152" s="29" t="inlineStr">
        <is>
          <t>None</t>
        </is>
      </c>
      <c r="Z152" s="29" t="inlineStr">
        <is>
          <t>None</t>
        </is>
      </c>
      <c r="AA152" s="29" t="inlineStr">
        <is>
          <t>None</t>
        </is>
      </c>
      <c r="AB152" s="29" t="inlineStr">
        <is>
          <t>None</t>
        </is>
      </c>
      <c r="AC152" s="29" t="inlineStr"/>
      <c r="AD152" s="29" t="inlineStr">
        <is>
          <t>None</t>
        </is>
      </c>
      <c r="AE152" s="29" t="inlineStr">
        <is>
          <t>Not wired</t>
        </is>
      </c>
      <c r="AF152" s="29" t="inlineStr">
        <is>
          <t>None</t>
        </is>
      </c>
      <c r="AG152" s="29" t="inlineStr">
        <is>
          <t>Not started</t>
        </is>
      </c>
      <c r="AH152" s="29" t="inlineStr">
        <is>
          <t>No</t>
        </is>
      </c>
      <c r="AI152" s="29" t="inlineStr">
        <is>
          <t>No source code found for dating features</t>
        </is>
      </c>
      <c r="AJ152" s="29" t="inlineStr">
        <is>
          <t>Not verified</t>
        </is>
      </c>
      <c r="AK152" s="29" t="inlineStr"/>
      <c r="AL152" s="29" t="inlineStr"/>
      <c r="AM152" s="29" t="inlineStr"/>
      <c r="AN152" s="29" t="inlineStr"/>
      <c r="AO152" s="29" t="inlineStr">
        <is>
          <t>8bc0dcb2a1da1b21368c5536aaeef829d587f316</t>
        </is>
      </c>
      <c r="AP152" s="29" t="inlineStr">
        <is>
          <t>Low</t>
        </is>
      </c>
      <c r="AQ152" s="29" t="inlineStr">
        <is>
          <t>Not assessed</t>
        </is>
      </c>
      <c r="AR152" s="29" t="inlineStr">
        <is>
          <t>Not assessed</t>
        </is>
      </c>
      <c r="AS152" s="29" t="inlineStr">
        <is>
          <t>Fail</t>
        </is>
      </c>
      <c r="AT152" s="29" t="inlineStr">
        <is>
          <t>Not assessed</t>
        </is>
      </c>
      <c r="AU152" s="29" t="inlineStr">
        <is>
          <t>Not assessed</t>
        </is>
      </c>
      <c r="AV152" s="29" t="inlineStr">
        <is>
          <t>Not assessed</t>
        </is>
      </c>
      <c r="AW152" s="29" t="inlineStr">
        <is>
          <t>Not assessed</t>
        </is>
      </c>
      <c r="AX152" s="29" t="inlineStr">
        <is>
          <t>Not assessed</t>
        </is>
      </c>
      <c r="AY152" s="29" t="inlineStr">
        <is>
          <t>Not assessed</t>
        </is>
      </c>
      <c r="AZ152" s="29" t="inlineStr">
        <is>
          <t>Not assessed</t>
        </is>
      </c>
      <c r="BA152" s="29" t="inlineStr">
        <is>
          <t>Not assessed</t>
        </is>
      </c>
      <c r="BB152" s="29" t="inlineStr">
        <is>
          <t>Not assessed</t>
        </is>
      </c>
      <c r="BC152" s="29" t="inlineStr">
        <is>
          <t>Not assessed</t>
        </is>
      </c>
      <c r="BD152" s="29" t="inlineStr">
        <is>
          <t>Not assessed</t>
        </is>
      </c>
      <c r="BE152" s="29" t="inlineStr">
        <is>
          <t>Development required</t>
        </is>
      </c>
      <c r="BF152" s="29" t="inlineStr">
        <is>
          <t>Missing implementation; Physical implementation is not complete against the stated requirement.; No source code found for dating features</t>
        </is>
      </c>
      <c r="BG152" s="29" t="inlineStr">
        <is>
          <t>Source code implementation</t>
        </is>
      </c>
      <c r="BH152" s="29" t="inlineStr"/>
      <c r="BI152" s="29" t="inlineStr"/>
      <c r="BJ152" s="29" t="inlineStr"/>
      <c r="BK152" s="29" t="inlineStr">
        <is>
          <t>Evidence reconciled against the reviewed source revision. No production approval is inferred from implementation or file presence.</t>
        </is>
      </c>
      <c r="BL152" s="29" t="inlineStr">
        <is>
          <t>2026-08-02</t>
        </is>
      </c>
    </row>
    <row r="153" ht="42" customHeight="1">
      <c r="A153" s="29" t="inlineStr">
        <is>
          <t>BLYP-08-004</t>
        </is>
      </c>
      <c r="B153" s="29" t="inlineStr"/>
      <c r="C153" s="29" t="inlineStr">
        <is>
          <t>Subscriber-only Dating destination</t>
        </is>
      </c>
      <c r="D153" s="29" t="n">
        <v>8</v>
      </c>
      <c r="E153" s="29" t="n">
        <v>4</v>
      </c>
      <c r="F153" s="29" t="inlineStr">
        <is>
          <t>Feature</t>
        </is>
      </c>
      <c r="G153" s="29" t="inlineStr">
        <is>
          <t>Adult-only access</t>
        </is>
      </c>
      <c r="H153" s="29" t="inlineStr">
        <is>
          <t>Adult-only access</t>
        </is>
      </c>
      <c r="I153" s="29" t="inlineStr">
        <is>
          <t>/home/ubuntu/blyp_product_requirements.md :: Section 8 — Subscriber-only Dating destination</t>
        </is>
      </c>
      <c r="J153" s="29" t="inlineStr">
        <is>
          <t>/home/ubuntu/BLYP_COMPLETE_FEATURE_LIST.md:202</t>
        </is>
      </c>
      <c r="K153" s="29" t="inlineStr">
        <is>
          <t>Required</t>
        </is>
      </c>
      <c r="L153" s="29" t="inlineStr">
        <is>
          <t>Applicable BLYP member</t>
        </is>
      </c>
      <c r="M153" s="29" t="inlineStr">
        <is>
          <t>BLYP mobile application and supporting production services</t>
        </is>
      </c>
      <c r="N153" s="29" t="inlineStr">
        <is>
          <t>Adult-only access</t>
        </is>
      </c>
      <c r="O153" s="29" t="inlineStr">
        <is>
          <t>Not explicitly defined in the product source; requires accountable product approval before production sign-off.</t>
        </is>
      </c>
      <c r="P153" s="29" t="inlineStr">
        <is>
          <t>None</t>
        </is>
      </c>
      <c r="Q153" s="29" t="inlineStr">
        <is>
          <t>No evidence</t>
        </is>
      </c>
      <c r="R153" s="29" t="inlineStr"/>
      <c r="S153" s="29" t="inlineStr">
        <is>
          <t>Not found</t>
        </is>
      </c>
      <c r="T153" s="29" t="inlineStr">
        <is>
          <t>None</t>
        </is>
      </c>
      <c r="U153" s="29" t="inlineStr">
        <is>
          <t>None</t>
        </is>
      </c>
      <c r="V153" s="29" t="inlineStr">
        <is>
          <t>None</t>
        </is>
      </c>
      <c r="W153" s="29" t="inlineStr">
        <is>
          <t>None</t>
        </is>
      </c>
      <c r="X153" s="29" t="inlineStr">
        <is>
          <t>None</t>
        </is>
      </c>
      <c r="Y153" s="29" t="inlineStr">
        <is>
          <t>None</t>
        </is>
      </c>
      <c r="Z153" s="29" t="inlineStr">
        <is>
          <t>None</t>
        </is>
      </c>
      <c r="AA153" s="29" t="inlineStr">
        <is>
          <t>None</t>
        </is>
      </c>
      <c r="AB153" s="29" t="inlineStr">
        <is>
          <t>None</t>
        </is>
      </c>
      <c r="AC153" s="29" t="inlineStr"/>
      <c r="AD153" s="29" t="inlineStr">
        <is>
          <t>None</t>
        </is>
      </c>
      <c r="AE153" s="29" t="inlineStr">
        <is>
          <t>Not wired</t>
        </is>
      </c>
      <c r="AF153" s="29" t="inlineStr">
        <is>
          <t>None</t>
        </is>
      </c>
      <c r="AG153" s="29" t="inlineStr">
        <is>
          <t>Not started</t>
        </is>
      </c>
      <c r="AH153" s="29" t="inlineStr">
        <is>
          <t>No</t>
        </is>
      </c>
      <c r="AI153" s="29" t="inlineStr">
        <is>
          <t>No source code found for dating features</t>
        </is>
      </c>
      <c r="AJ153" s="29" t="inlineStr">
        <is>
          <t>Not verified</t>
        </is>
      </c>
      <c r="AK153" s="29" t="inlineStr"/>
      <c r="AL153" s="29" t="inlineStr"/>
      <c r="AM153" s="29" t="inlineStr"/>
      <c r="AN153" s="29" t="inlineStr"/>
      <c r="AO153" s="29" t="inlineStr">
        <is>
          <t>8bc0dcb2a1da1b21368c5536aaeef829d587f316</t>
        </is>
      </c>
      <c r="AP153" s="29" t="inlineStr">
        <is>
          <t>Low</t>
        </is>
      </c>
      <c r="AQ153" s="29" t="inlineStr">
        <is>
          <t>Not assessed</t>
        </is>
      </c>
      <c r="AR153" s="29" t="inlineStr">
        <is>
          <t>Not assessed</t>
        </is>
      </c>
      <c r="AS153" s="29" t="inlineStr">
        <is>
          <t>Fail</t>
        </is>
      </c>
      <c r="AT153" s="29" t="inlineStr">
        <is>
          <t>Not assessed</t>
        </is>
      </c>
      <c r="AU153" s="29" t="inlineStr">
        <is>
          <t>Not assessed</t>
        </is>
      </c>
      <c r="AV153" s="29" t="inlineStr">
        <is>
          <t>Not assessed</t>
        </is>
      </c>
      <c r="AW153" s="29" t="inlineStr">
        <is>
          <t>Not assessed</t>
        </is>
      </c>
      <c r="AX153" s="29" t="inlineStr">
        <is>
          <t>Not assessed</t>
        </is>
      </c>
      <c r="AY153" s="29" t="inlineStr">
        <is>
          <t>Not assessed</t>
        </is>
      </c>
      <c r="AZ153" s="29" t="inlineStr">
        <is>
          <t>Not assessed</t>
        </is>
      </c>
      <c r="BA153" s="29" t="inlineStr">
        <is>
          <t>Not assessed</t>
        </is>
      </c>
      <c r="BB153" s="29" t="inlineStr">
        <is>
          <t>Not assessed</t>
        </is>
      </c>
      <c r="BC153" s="29" t="inlineStr">
        <is>
          <t>Not assessed</t>
        </is>
      </c>
      <c r="BD153" s="29" t="inlineStr">
        <is>
          <t>Not assessed</t>
        </is>
      </c>
      <c r="BE153" s="29" t="inlineStr">
        <is>
          <t>Development required</t>
        </is>
      </c>
      <c r="BF153" s="29" t="inlineStr">
        <is>
          <t>Missing implementation; Physical implementation is not complete against the stated requirement.; No source code found for dating features</t>
        </is>
      </c>
      <c r="BG153" s="29" t="inlineStr">
        <is>
          <t>Source code implementation</t>
        </is>
      </c>
      <c r="BH153" s="29" t="inlineStr"/>
      <c r="BI153" s="29" t="inlineStr"/>
      <c r="BJ153" s="29" t="inlineStr"/>
      <c r="BK153" s="29" t="inlineStr">
        <is>
          <t>Evidence reconciled against the reviewed source revision. No production approval is inferred from implementation or file presence.</t>
        </is>
      </c>
      <c r="BL153" s="29" t="inlineStr">
        <is>
          <t>2026-08-02</t>
        </is>
      </c>
    </row>
    <row r="154" ht="42" customHeight="1">
      <c r="A154" s="29" t="inlineStr">
        <is>
          <t>BLYP-08-005</t>
        </is>
      </c>
      <c r="B154" s="29" t="inlineStr"/>
      <c r="C154" s="29" t="inlineStr">
        <is>
          <t>Subscriber-only Dating destination</t>
        </is>
      </c>
      <c r="D154" s="29" t="n">
        <v>8</v>
      </c>
      <c r="E154" s="29" t="n">
        <v>5</v>
      </c>
      <c r="F154" s="29" t="inlineStr">
        <is>
          <t>Feature</t>
        </is>
      </c>
      <c r="G154" s="29" t="inlineStr">
        <is>
          <t>Separate Dating profile</t>
        </is>
      </c>
      <c r="H154" s="29" t="inlineStr">
        <is>
          <t>Separate Dating profile</t>
        </is>
      </c>
      <c r="I154" s="29" t="inlineStr">
        <is>
          <t>/home/ubuntu/blyp_product_requirements.md :: Section 8 — Subscriber-only Dating destination</t>
        </is>
      </c>
      <c r="J154" s="29" t="inlineStr">
        <is>
          <t>/home/ubuntu/BLYP_COMPLETE_FEATURE_LIST.md:203</t>
        </is>
      </c>
      <c r="K154" s="29" t="inlineStr">
        <is>
          <t>Required</t>
        </is>
      </c>
      <c r="L154" s="29" t="inlineStr">
        <is>
          <t>Applicable BLYP member</t>
        </is>
      </c>
      <c r="M154" s="29" t="inlineStr">
        <is>
          <t>BLYP mobile application and supporting production services</t>
        </is>
      </c>
      <c r="N154" s="29" t="inlineStr">
        <is>
          <t>Separate Dating profile</t>
        </is>
      </c>
      <c r="O154" s="29" t="inlineStr">
        <is>
          <t>Not explicitly defined in the product source; requires accountable product approval before production sign-off.</t>
        </is>
      </c>
      <c r="P154" s="29" t="inlineStr">
        <is>
          <t>None</t>
        </is>
      </c>
      <c r="Q154" s="29" t="inlineStr">
        <is>
          <t>No evidence</t>
        </is>
      </c>
      <c r="R154" s="29" t="inlineStr"/>
      <c r="S154" s="29" t="inlineStr">
        <is>
          <t>Not found</t>
        </is>
      </c>
      <c r="T154" s="29" t="inlineStr">
        <is>
          <t>None</t>
        </is>
      </c>
      <c r="U154" s="29" t="inlineStr">
        <is>
          <t>None</t>
        </is>
      </c>
      <c r="V154" s="29" t="inlineStr">
        <is>
          <t>None</t>
        </is>
      </c>
      <c r="W154" s="29" t="inlineStr">
        <is>
          <t>None</t>
        </is>
      </c>
      <c r="X154" s="29" t="inlineStr">
        <is>
          <t>None</t>
        </is>
      </c>
      <c r="Y154" s="29" t="inlineStr">
        <is>
          <t>None</t>
        </is>
      </c>
      <c r="Z154" s="29" t="inlineStr">
        <is>
          <t>None</t>
        </is>
      </c>
      <c r="AA154" s="29" t="inlineStr">
        <is>
          <t>None</t>
        </is>
      </c>
      <c r="AB154" s="29" t="inlineStr">
        <is>
          <t>None</t>
        </is>
      </c>
      <c r="AC154" s="29" t="inlineStr"/>
      <c r="AD154" s="29" t="inlineStr">
        <is>
          <t>None</t>
        </is>
      </c>
      <c r="AE154" s="29" t="inlineStr">
        <is>
          <t>Not wired</t>
        </is>
      </c>
      <c r="AF154" s="29" t="inlineStr">
        <is>
          <t>None</t>
        </is>
      </c>
      <c r="AG154" s="29" t="inlineStr">
        <is>
          <t>Not started</t>
        </is>
      </c>
      <c r="AH154" s="29" t="inlineStr">
        <is>
          <t>No</t>
        </is>
      </c>
      <c r="AI154" s="29" t="inlineStr">
        <is>
          <t>No source code found for dating features</t>
        </is>
      </c>
      <c r="AJ154" s="29" t="inlineStr">
        <is>
          <t>Not verified</t>
        </is>
      </c>
      <c r="AK154" s="29" t="inlineStr"/>
      <c r="AL154" s="29" t="inlineStr"/>
      <c r="AM154" s="29" t="inlineStr"/>
      <c r="AN154" s="29" t="inlineStr"/>
      <c r="AO154" s="29" t="inlineStr">
        <is>
          <t>8bc0dcb2a1da1b21368c5536aaeef829d587f316</t>
        </is>
      </c>
      <c r="AP154" s="29" t="inlineStr">
        <is>
          <t>Low</t>
        </is>
      </c>
      <c r="AQ154" s="29" t="inlineStr">
        <is>
          <t>Not assessed</t>
        </is>
      </c>
      <c r="AR154" s="29" t="inlineStr">
        <is>
          <t>Not assessed</t>
        </is>
      </c>
      <c r="AS154" s="29" t="inlineStr">
        <is>
          <t>Fail</t>
        </is>
      </c>
      <c r="AT154" s="29" t="inlineStr">
        <is>
          <t>Not assessed</t>
        </is>
      </c>
      <c r="AU154" s="29" t="inlineStr">
        <is>
          <t>Not assessed</t>
        </is>
      </c>
      <c r="AV154" s="29" t="inlineStr">
        <is>
          <t>Not assessed</t>
        </is>
      </c>
      <c r="AW154" s="29" t="inlineStr">
        <is>
          <t>Not assessed</t>
        </is>
      </c>
      <c r="AX154" s="29" t="inlineStr">
        <is>
          <t>Not assessed</t>
        </is>
      </c>
      <c r="AY154" s="29" t="inlineStr">
        <is>
          <t>Not assessed</t>
        </is>
      </c>
      <c r="AZ154" s="29" t="inlineStr">
        <is>
          <t>Not assessed</t>
        </is>
      </c>
      <c r="BA154" s="29" t="inlineStr">
        <is>
          <t>Not assessed</t>
        </is>
      </c>
      <c r="BB154" s="29" t="inlineStr">
        <is>
          <t>Not assessed</t>
        </is>
      </c>
      <c r="BC154" s="29" t="inlineStr">
        <is>
          <t>Not assessed</t>
        </is>
      </c>
      <c r="BD154" s="29" t="inlineStr">
        <is>
          <t>Not assessed</t>
        </is>
      </c>
      <c r="BE154" s="29" t="inlineStr">
        <is>
          <t>Development required</t>
        </is>
      </c>
      <c r="BF154" s="29" t="inlineStr">
        <is>
          <t>Missing implementation; Physical implementation is not complete against the stated requirement.; No source code found for dating features</t>
        </is>
      </c>
      <c r="BG154" s="29" t="inlineStr">
        <is>
          <t>Source code implementation</t>
        </is>
      </c>
      <c r="BH154" s="29" t="inlineStr"/>
      <c r="BI154" s="29" t="inlineStr"/>
      <c r="BJ154" s="29" t="inlineStr"/>
      <c r="BK154" s="29" t="inlineStr">
        <is>
          <t>Evidence reconciled against the reviewed source revision. No production approval is inferred from implementation or file presence.</t>
        </is>
      </c>
      <c r="BL154" s="29" t="inlineStr">
        <is>
          <t>2026-08-02</t>
        </is>
      </c>
    </row>
    <row r="155" ht="42" customHeight="1">
      <c r="A155" s="29" t="inlineStr">
        <is>
          <t>BLYP-08-006</t>
        </is>
      </c>
      <c r="B155" s="29" t="inlineStr"/>
      <c r="C155" s="29" t="inlineStr">
        <is>
          <t>Subscriber-only Dating destination</t>
        </is>
      </c>
      <c r="D155" s="29" t="n">
        <v>8</v>
      </c>
      <c r="E155" s="29" t="n">
        <v>6</v>
      </c>
      <c r="F155" s="29" t="inlineStr">
        <is>
          <t>Feature</t>
        </is>
      </c>
      <c r="G155" s="29" t="inlineStr">
        <is>
          <t>Dating visibility boundary</t>
        </is>
      </c>
      <c r="H155" s="29" t="inlineStr">
        <is>
          <t>Dating visibility boundary</t>
        </is>
      </c>
      <c r="I155" s="29" t="inlineStr">
        <is>
          <t>/home/ubuntu/blyp_product_requirements.md :: Section 8 — Subscriber-only Dating destination</t>
        </is>
      </c>
      <c r="J155" s="29" t="inlineStr">
        <is>
          <t>/home/ubuntu/BLYP_COMPLETE_FEATURE_LIST.md:204</t>
        </is>
      </c>
      <c r="K155" s="29" t="inlineStr">
        <is>
          <t>Required</t>
        </is>
      </c>
      <c r="L155" s="29" t="inlineStr">
        <is>
          <t>Applicable BLYP member</t>
        </is>
      </c>
      <c r="M155" s="29" t="inlineStr">
        <is>
          <t>BLYP mobile application and supporting production services</t>
        </is>
      </c>
      <c r="N155" s="29" t="inlineStr">
        <is>
          <t>Dating visibility boundary</t>
        </is>
      </c>
      <c r="O155" s="29" t="inlineStr">
        <is>
          <t>Not explicitly defined in the product source; requires accountable product approval before production sign-off.</t>
        </is>
      </c>
      <c r="P155" s="29" t="inlineStr">
        <is>
          <t>None</t>
        </is>
      </c>
      <c r="Q155" s="29" t="inlineStr">
        <is>
          <t>No evidence</t>
        </is>
      </c>
      <c r="R155" s="29" t="inlineStr"/>
      <c r="S155" s="29" t="inlineStr">
        <is>
          <t>Not found</t>
        </is>
      </c>
      <c r="T155" s="29" t="inlineStr">
        <is>
          <t>None</t>
        </is>
      </c>
      <c r="U155" s="29" t="inlineStr">
        <is>
          <t>None</t>
        </is>
      </c>
      <c r="V155" s="29" t="inlineStr">
        <is>
          <t>None</t>
        </is>
      </c>
      <c r="W155" s="29" t="inlineStr">
        <is>
          <t>None</t>
        </is>
      </c>
      <c r="X155" s="29" t="inlineStr">
        <is>
          <t>None</t>
        </is>
      </c>
      <c r="Y155" s="29" t="inlineStr">
        <is>
          <t>None</t>
        </is>
      </c>
      <c r="Z155" s="29" t="inlineStr">
        <is>
          <t>None</t>
        </is>
      </c>
      <c r="AA155" s="29" t="inlineStr">
        <is>
          <t>None</t>
        </is>
      </c>
      <c r="AB155" s="29" t="inlineStr">
        <is>
          <t>None</t>
        </is>
      </c>
      <c r="AC155" s="29" t="inlineStr"/>
      <c r="AD155" s="29" t="inlineStr">
        <is>
          <t>None</t>
        </is>
      </c>
      <c r="AE155" s="29" t="inlineStr">
        <is>
          <t>Not wired</t>
        </is>
      </c>
      <c r="AF155" s="29" t="inlineStr">
        <is>
          <t>None</t>
        </is>
      </c>
      <c r="AG155" s="29" t="inlineStr">
        <is>
          <t>Not started</t>
        </is>
      </c>
      <c r="AH155" s="29" t="inlineStr">
        <is>
          <t>No</t>
        </is>
      </c>
      <c r="AI155" s="29" t="inlineStr">
        <is>
          <t>No source code found for dating features</t>
        </is>
      </c>
      <c r="AJ155" s="29" t="inlineStr">
        <is>
          <t>Not verified</t>
        </is>
      </c>
      <c r="AK155" s="29" t="inlineStr"/>
      <c r="AL155" s="29" t="inlineStr"/>
      <c r="AM155" s="29" t="inlineStr"/>
      <c r="AN155" s="29" t="inlineStr"/>
      <c r="AO155" s="29" t="inlineStr">
        <is>
          <t>8bc0dcb2a1da1b21368c5536aaeef829d587f316</t>
        </is>
      </c>
      <c r="AP155" s="29" t="inlineStr">
        <is>
          <t>Low</t>
        </is>
      </c>
      <c r="AQ155" s="29" t="inlineStr">
        <is>
          <t>Not assessed</t>
        </is>
      </c>
      <c r="AR155" s="29" t="inlineStr">
        <is>
          <t>Not assessed</t>
        </is>
      </c>
      <c r="AS155" s="29" t="inlineStr">
        <is>
          <t>Fail</t>
        </is>
      </c>
      <c r="AT155" s="29" t="inlineStr">
        <is>
          <t>Not assessed</t>
        </is>
      </c>
      <c r="AU155" s="29" t="inlineStr">
        <is>
          <t>Not assessed</t>
        </is>
      </c>
      <c r="AV155" s="29" t="inlineStr">
        <is>
          <t>Not assessed</t>
        </is>
      </c>
      <c r="AW155" s="29" t="inlineStr">
        <is>
          <t>Not assessed</t>
        </is>
      </c>
      <c r="AX155" s="29" t="inlineStr">
        <is>
          <t>Not assessed</t>
        </is>
      </c>
      <c r="AY155" s="29" t="inlineStr">
        <is>
          <t>Not assessed</t>
        </is>
      </c>
      <c r="AZ155" s="29" t="inlineStr">
        <is>
          <t>Not assessed</t>
        </is>
      </c>
      <c r="BA155" s="29" t="inlineStr">
        <is>
          <t>Not assessed</t>
        </is>
      </c>
      <c r="BB155" s="29" t="inlineStr">
        <is>
          <t>Not assessed</t>
        </is>
      </c>
      <c r="BC155" s="29" t="inlineStr">
        <is>
          <t>Not assessed</t>
        </is>
      </c>
      <c r="BD155" s="29" t="inlineStr">
        <is>
          <t>Not assessed</t>
        </is>
      </c>
      <c r="BE155" s="29" t="inlineStr">
        <is>
          <t>Development required</t>
        </is>
      </c>
      <c r="BF155" s="29" t="inlineStr">
        <is>
          <t>Missing implementation; Physical implementation is not complete against the stated requirement.; No source code found for dating features</t>
        </is>
      </c>
      <c r="BG155" s="29" t="inlineStr">
        <is>
          <t>Source code implementation</t>
        </is>
      </c>
      <c r="BH155" s="29" t="inlineStr"/>
      <c r="BI155" s="29" t="inlineStr"/>
      <c r="BJ155" s="29" t="inlineStr"/>
      <c r="BK155" s="29" t="inlineStr">
        <is>
          <t>Evidence reconciled against the reviewed source revision. No production approval is inferred from implementation or file presence.</t>
        </is>
      </c>
      <c r="BL155" s="29" t="inlineStr">
        <is>
          <t>2026-08-02</t>
        </is>
      </c>
    </row>
    <row r="156" ht="42" customHeight="1">
      <c r="A156" s="29" t="inlineStr">
        <is>
          <t>BLYP-08-007</t>
        </is>
      </c>
      <c r="B156" s="29" t="inlineStr"/>
      <c r="C156" s="29" t="inlineStr">
        <is>
          <t>Subscriber-only Dating destination</t>
        </is>
      </c>
      <c r="D156" s="29" t="n">
        <v>8</v>
      </c>
      <c r="E156" s="29" t="n">
        <v>7</v>
      </c>
      <c r="F156" s="29" t="inlineStr">
        <is>
          <t>Rule</t>
        </is>
      </c>
      <c r="G156" s="29" t="inlineStr">
        <is>
          <t>Dating consent controls</t>
        </is>
      </c>
      <c r="H156" s="29" t="inlineStr">
        <is>
          <t>Dating consent controls</t>
        </is>
      </c>
      <c r="I156" s="29" t="inlineStr">
        <is>
          <t>/home/ubuntu/blyp_product_requirements.md :: Section 8 — Subscriber-only Dating destination</t>
        </is>
      </c>
      <c r="J156" s="29" t="inlineStr">
        <is>
          <t>/home/ubuntu/BLYP_COMPLETE_FEATURE_LIST.md:205</t>
        </is>
      </c>
      <c r="K156" s="29" t="inlineStr">
        <is>
          <t>Required</t>
        </is>
      </c>
      <c r="L156" s="29" t="inlineStr">
        <is>
          <t>Applicable BLYP member</t>
        </is>
      </c>
      <c r="M156" s="29" t="inlineStr">
        <is>
          <t>BLYP mobile application and supporting production services</t>
        </is>
      </c>
      <c r="N156" s="29" t="inlineStr">
        <is>
          <t>Dating consent controls</t>
        </is>
      </c>
      <c r="O156" s="29" t="inlineStr">
        <is>
          <t>Not explicitly defined in the product source; requires accountable product approval before production sign-off.</t>
        </is>
      </c>
      <c r="P156" s="29" t="inlineStr">
        <is>
          <t>None</t>
        </is>
      </c>
      <c r="Q156" s="29" t="inlineStr">
        <is>
          <t>No evidence</t>
        </is>
      </c>
      <c r="R156" s="29" t="inlineStr"/>
      <c r="S156" s="29" t="inlineStr">
        <is>
          <t>Not found</t>
        </is>
      </c>
      <c r="T156" s="29" t="inlineStr">
        <is>
          <t>None</t>
        </is>
      </c>
      <c r="U156" s="29" t="inlineStr">
        <is>
          <t>None</t>
        </is>
      </c>
      <c r="V156" s="29" t="inlineStr">
        <is>
          <t>None</t>
        </is>
      </c>
      <c r="W156" s="29" t="inlineStr">
        <is>
          <t>None</t>
        </is>
      </c>
      <c r="X156" s="29" t="inlineStr">
        <is>
          <t>None</t>
        </is>
      </c>
      <c r="Y156" s="29" t="inlineStr">
        <is>
          <t>None</t>
        </is>
      </c>
      <c r="Z156" s="29" t="inlineStr">
        <is>
          <t>None</t>
        </is>
      </c>
      <c r="AA156" s="29" t="inlineStr">
        <is>
          <t>None</t>
        </is>
      </c>
      <c r="AB156" s="29" t="inlineStr">
        <is>
          <t>None</t>
        </is>
      </c>
      <c r="AC156" s="29" t="inlineStr"/>
      <c r="AD156" s="29" t="inlineStr">
        <is>
          <t>None</t>
        </is>
      </c>
      <c r="AE156" s="29" t="inlineStr">
        <is>
          <t>Not wired</t>
        </is>
      </c>
      <c r="AF156" s="29" t="inlineStr">
        <is>
          <t>None</t>
        </is>
      </c>
      <c r="AG156" s="29" t="inlineStr">
        <is>
          <t>Not started</t>
        </is>
      </c>
      <c r="AH156" s="29" t="inlineStr">
        <is>
          <t>No</t>
        </is>
      </c>
      <c r="AI156" s="29" t="inlineStr">
        <is>
          <t>No source code found for dating features</t>
        </is>
      </c>
      <c r="AJ156" s="29" t="inlineStr">
        <is>
          <t>Not verified</t>
        </is>
      </c>
      <c r="AK156" s="29" t="inlineStr"/>
      <c r="AL156" s="29" t="inlineStr"/>
      <c r="AM156" s="29" t="inlineStr"/>
      <c r="AN156" s="29" t="inlineStr"/>
      <c r="AO156" s="29" t="inlineStr">
        <is>
          <t>8bc0dcb2a1da1b21368c5536aaeef829d587f316</t>
        </is>
      </c>
      <c r="AP156" s="29" t="inlineStr">
        <is>
          <t>Low</t>
        </is>
      </c>
      <c r="AQ156" s="29" t="inlineStr">
        <is>
          <t>Not assessed</t>
        </is>
      </c>
      <c r="AR156" s="29" t="inlineStr">
        <is>
          <t>Not assessed</t>
        </is>
      </c>
      <c r="AS156" s="29" t="inlineStr">
        <is>
          <t>Fail</t>
        </is>
      </c>
      <c r="AT156" s="29" t="inlineStr">
        <is>
          <t>Not assessed</t>
        </is>
      </c>
      <c r="AU156" s="29" t="inlineStr">
        <is>
          <t>Not assessed</t>
        </is>
      </c>
      <c r="AV156" s="29" t="inlineStr">
        <is>
          <t>Not assessed</t>
        </is>
      </c>
      <c r="AW156" s="29" t="inlineStr">
        <is>
          <t>Not assessed</t>
        </is>
      </c>
      <c r="AX156" s="29" t="inlineStr">
        <is>
          <t>Not assessed</t>
        </is>
      </c>
      <c r="AY156" s="29" t="inlineStr">
        <is>
          <t>Not assessed</t>
        </is>
      </c>
      <c r="AZ156" s="29" t="inlineStr">
        <is>
          <t>Not assessed</t>
        </is>
      </c>
      <c r="BA156" s="29" t="inlineStr">
        <is>
          <t>Not assessed</t>
        </is>
      </c>
      <c r="BB156" s="29" t="inlineStr">
        <is>
          <t>Not assessed</t>
        </is>
      </c>
      <c r="BC156" s="29" t="inlineStr">
        <is>
          <t>Not assessed</t>
        </is>
      </c>
      <c r="BD156" s="29" t="inlineStr">
        <is>
          <t>Not assessed</t>
        </is>
      </c>
      <c r="BE156" s="29" t="inlineStr">
        <is>
          <t>Development required</t>
        </is>
      </c>
      <c r="BF156" s="29" t="inlineStr">
        <is>
          <t>Missing implementation; Physical implementation is not complete against the stated requirement.; No source code found for dating features</t>
        </is>
      </c>
      <c r="BG156" s="29" t="inlineStr">
        <is>
          <t>Source code implementation</t>
        </is>
      </c>
      <c r="BH156" s="29" t="inlineStr"/>
      <c r="BI156" s="29" t="inlineStr"/>
      <c r="BJ156" s="29" t="inlineStr"/>
      <c r="BK156" s="29" t="inlineStr">
        <is>
          <t>Evidence reconciled against the reviewed source revision. No production approval is inferred from implementation or file presence.</t>
        </is>
      </c>
      <c r="BL156" s="29" t="inlineStr">
        <is>
          <t>2026-08-02</t>
        </is>
      </c>
    </row>
    <row r="157" ht="42" customHeight="1">
      <c r="A157" s="29" t="inlineStr">
        <is>
          <t>BLYP-08-008</t>
        </is>
      </c>
      <c r="B157" s="29" t="inlineStr"/>
      <c r="C157" s="29" t="inlineStr">
        <is>
          <t>Subscriber-only Dating destination</t>
        </is>
      </c>
      <c r="D157" s="29" t="n">
        <v>8</v>
      </c>
      <c r="E157" s="29" t="n">
        <v>8</v>
      </c>
      <c r="F157" s="29" t="inlineStr">
        <is>
          <t>Feature</t>
        </is>
      </c>
      <c r="G157" s="29" t="inlineStr">
        <is>
          <t>Dating block/report controls</t>
        </is>
      </c>
      <c r="H157" s="29" t="inlineStr">
        <is>
          <t>Dating block/report controls</t>
        </is>
      </c>
      <c r="I157" s="29" t="inlineStr">
        <is>
          <t>/home/ubuntu/blyp_product_requirements.md :: Section 8 — Subscriber-only Dating destination</t>
        </is>
      </c>
      <c r="J157" s="29" t="inlineStr">
        <is>
          <t>/home/ubuntu/BLYP_COMPLETE_FEATURE_LIST.md:206</t>
        </is>
      </c>
      <c r="K157" s="29" t="inlineStr">
        <is>
          <t>Required</t>
        </is>
      </c>
      <c r="L157" s="29" t="inlineStr">
        <is>
          <t>Applicable BLYP member</t>
        </is>
      </c>
      <c r="M157" s="29" t="inlineStr">
        <is>
          <t>BLYP mobile application and supporting production services</t>
        </is>
      </c>
      <c r="N157" s="29" t="inlineStr">
        <is>
          <t>Dating block/report controls</t>
        </is>
      </c>
      <c r="O157" s="29" t="inlineStr">
        <is>
          <t>Not explicitly defined in the product source; requires accountable product approval before production sign-off.</t>
        </is>
      </c>
      <c r="P157" s="29" t="inlineStr">
        <is>
          <t>None</t>
        </is>
      </c>
      <c r="Q157" s="29" t="inlineStr">
        <is>
          <t>No evidence</t>
        </is>
      </c>
      <c r="R157" s="29" t="inlineStr"/>
      <c r="S157" s="29" t="inlineStr">
        <is>
          <t>Not found</t>
        </is>
      </c>
      <c r="T157" s="29" t="inlineStr">
        <is>
          <t>None</t>
        </is>
      </c>
      <c r="U157" s="29" t="inlineStr">
        <is>
          <t>None</t>
        </is>
      </c>
      <c r="V157" s="29" t="inlineStr">
        <is>
          <t>None</t>
        </is>
      </c>
      <c r="W157" s="29" t="inlineStr">
        <is>
          <t>None</t>
        </is>
      </c>
      <c r="X157" s="29" t="inlineStr">
        <is>
          <t>None</t>
        </is>
      </c>
      <c r="Y157" s="29" t="inlineStr">
        <is>
          <t>None</t>
        </is>
      </c>
      <c r="Z157" s="29" t="inlineStr">
        <is>
          <t>None</t>
        </is>
      </c>
      <c r="AA157" s="29" t="inlineStr">
        <is>
          <t>None</t>
        </is>
      </c>
      <c r="AB157" s="29" t="inlineStr">
        <is>
          <t>None</t>
        </is>
      </c>
      <c r="AC157" s="29" t="inlineStr"/>
      <c r="AD157" s="29" t="inlineStr">
        <is>
          <t>None</t>
        </is>
      </c>
      <c r="AE157" s="29" t="inlineStr">
        <is>
          <t>Not wired</t>
        </is>
      </c>
      <c r="AF157" s="29" t="inlineStr">
        <is>
          <t>None</t>
        </is>
      </c>
      <c r="AG157" s="29" t="inlineStr">
        <is>
          <t>Not started</t>
        </is>
      </c>
      <c r="AH157" s="29" t="inlineStr">
        <is>
          <t>No</t>
        </is>
      </c>
      <c r="AI157" s="29" t="inlineStr">
        <is>
          <t>No source code found for dating features</t>
        </is>
      </c>
      <c r="AJ157" s="29" t="inlineStr">
        <is>
          <t>Not verified</t>
        </is>
      </c>
      <c r="AK157" s="29" t="inlineStr"/>
      <c r="AL157" s="29" t="inlineStr"/>
      <c r="AM157" s="29" t="inlineStr"/>
      <c r="AN157" s="29" t="inlineStr"/>
      <c r="AO157" s="29" t="inlineStr">
        <is>
          <t>8bc0dcb2a1da1b21368c5536aaeef829d587f316</t>
        </is>
      </c>
      <c r="AP157" s="29" t="inlineStr">
        <is>
          <t>Low</t>
        </is>
      </c>
      <c r="AQ157" s="29" t="inlineStr">
        <is>
          <t>Not assessed</t>
        </is>
      </c>
      <c r="AR157" s="29" t="inlineStr">
        <is>
          <t>Not assessed</t>
        </is>
      </c>
      <c r="AS157" s="29" t="inlineStr">
        <is>
          <t>Fail</t>
        </is>
      </c>
      <c r="AT157" s="29" t="inlineStr">
        <is>
          <t>Not assessed</t>
        </is>
      </c>
      <c r="AU157" s="29" t="inlineStr">
        <is>
          <t>Not assessed</t>
        </is>
      </c>
      <c r="AV157" s="29" t="inlineStr">
        <is>
          <t>Not assessed</t>
        </is>
      </c>
      <c r="AW157" s="29" t="inlineStr">
        <is>
          <t>Not assessed</t>
        </is>
      </c>
      <c r="AX157" s="29" t="inlineStr">
        <is>
          <t>Not assessed</t>
        </is>
      </c>
      <c r="AY157" s="29" t="inlineStr">
        <is>
          <t>Not assessed</t>
        </is>
      </c>
      <c r="AZ157" s="29" t="inlineStr">
        <is>
          <t>Not assessed</t>
        </is>
      </c>
      <c r="BA157" s="29" t="inlineStr">
        <is>
          <t>Not assessed</t>
        </is>
      </c>
      <c r="BB157" s="29" t="inlineStr">
        <is>
          <t>Not assessed</t>
        </is>
      </c>
      <c r="BC157" s="29" t="inlineStr">
        <is>
          <t>Not assessed</t>
        </is>
      </c>
      <c r="BD157" s="29" t="inlineStr">
        <is>
          <t>Not assessed</t>
        </is>
      </c>
      <c r="BE157" s="29" t="inlineStr">
        <is>
          <t>Development required</t>
        </is>
      </c>
      <c r="BF157" s="29" t="inlineStr">
        <is>
          <t>Missing implementation; Physical implementation is not complete against the stated requirement.; No source code found for dating features</t>
        </is>
      </c>
      <c r="BG157" s="29" t="inlineStr">
        <is>
          <t>Source code implementation</t>
        </is>
      </c>
      <c r="BH157" s="29" t="inlineStr"/>
      <c r="BI157" s="29" t="inlineStr"/>
      <c r="BJ157" s="29" t="inlineStr"/>
      <c r="BK157" s="29" t="inlineStr">
        <is>
          <t>Evidence reconciled against the reviewed source revision. No production approval is inferred from implementation or file presence.</t>
        </is>
      </c>
      <c r="BL157" s="29" t="inlineStr">
        <is>
          <t>2026-08-02</t>
        </is>
      </c>
    </row>
    <row r="158" ht="42" customHeight="1">
      <c r="A158" s="29" t="inlineStr">
        <is>
          <t>BLYP-08-009</t>
        </is>
      </c>
      <c r="B158" s="29" t="inlineStr"/>
      <c r="C158" s="29" t="inlineStr">
        <is>
          <t>Subscriber-only Dating destination</t>
        </is>
      </c>
      <c r="D158" s="29" t="n">
        <v>8</v>
      </c>
      <c r="E158" s="29" t="n">
        <v>9</v>
      </c>
      <c r="F158" s="29" t="inlineStr">
        <is>
          <t>Feature</t>
        </is>
      </c>
      <c r="G158" s="29" t="inlineStr">
        <is>
          <t>Age assurance</t>
        </is>
      </c>
      <c r="H158" s="29" t="inlineStr">
        <is>
          <t>Age assurance</t>
        </is>
      </c>
      <c r="I158" s="29" t="inlineStr">
        <is>
          <t>/home/ubuntu/blyp_product_requirements.md :: Section 8 — Subscriber-only Dating destination</t>
        </is>
      </c>
      <c r="J158" s="29" t="inlineStr">
        <is>
          <t>/home/ubuntu/BLYP_COMPLETE_FEATURE_LIST.md:207</t>
        </is>
      </c>
      <c r="K158" s="29" t="inlineStr">
        <is>
          <t>Required</t>
        </is>
      </c>
      <c r="L158" s="29" t="inlineStr">
        <is>
          <t>Applicable BLYP member</t>
        </is>
      </c>
      <c r="M158" s="29" t="inlineStr">
        <is>
          <t>BLYP mobile application and supporting production services</t>
        </is>
      </c>
      <c r="N158" s="29" t="inlineStr">
        <is>
          <t>Age assurance</t>
        </is>
      </c>
      <c r="O158" s="29" t="inlineStr">
        <is>
          <t>Not explicitly defined in the product source; requires accountable product approval before production sign-off.</t>
        </is>
      </c>
      <c r="P158" s="29" t="inlineStr">
        <is>
          <t>None</t>
        </is>
      </c>
      <c r="Q158" s="29" t="inlineStr">
        <is>
          <t>No evidence</t>
        </is>
      </c>
      <c r="R158" s="29" t="inlineStr"/>
      <c r="S158" s="29" t="inlineStr">
        <is>
          <t>Not found</t>
        </is>
      </c>
      <c r="T158" s="29" t="inlineStr">
        <is>
          <t>None</t>
        </is>
      </c>
      <c r="U158" s="29" t="inlineStr">
        <is>
          <t>None</t>
        </is>
      </c>
      <c r="V158" s="29" t="inlineStr">
        <is>
          <t>None</t>
        </is>
      </c>
      <c r="W158" s="29" t="inlineStr">
        <is>
          <t>None</t>
        </is>
      </c>
      <c r="X158" s="29" t="inlineStr">
        <is>
          <t>None</t>
        </is>
      </c>
      <c r="Y158" s="29" t="inlineStr">
        <is>
          <t>None</t>
        </is>
      </c>
      <c r="Z158" s="29" t="inlineStr">
        <is>
          <t>None</t>
        </is>
      </c>
      <c r="AA158" s="29" t="inlineStr">
        <is>
          <t>None</t>
        </is>
      </c>
      <c r="AB158" s="29" t="inlineStr">
        <is>
          <t>None</t>
        </is>
      </c>
      <c r="AC158" s="29" t="inlineStr"/>
      <c r="AD158" s="29" t="inlineStr">
        <is>
          <t>None</t>
        </is>
      </c>
      <c r="AE158" s="29" t="inlineStr">
        <is>
          <t>Not wired</t>
        </is>
      </c>
      <c r="AF158" s="29" t="inlineStr">
        <is>
          <t>None</t>
        </is>
      </c>
      <c r="AG158" s="29" t="inlineStr">
        <is>
          <t>Not started</t>
        </is>
      </c>
      <c r="AH158" s="29" t="inlineStr">
        <is>
          <t>No</t>
        </is>
      </c>
      <c r="AI158" s="29" t="inlineStr">
        <is>
          <t>No source code found for dating features</t>
        </is>
      </c>
      <c r="AJ158" s="29" t="inlineStr">
        <is>
          <t>Not verified</t>
        </is>
      </c>
      <c r="AK158" s="29" t="inlineStr"/>
      <c r="AL158" s="29" t="inlineStr"/>
      <c r="AM158" s="29" t="inlineStr"/>
      <c r="AN158" s="29" t="inlineStr"/>
      <c r="AO158" s="29" t="inlineStr">
        <is>
          <t>8bc0dcb2a1da1b21368c5536aaeef829d587f316</t>
        </is>
      </c>
      <c r="AP158" s="29" t="inlineStr">
        <is>
          <t>Low</t>
        </is>
      </c>
      <c r="AQ158" s="29" t="inlineStr">
        <is>
          <t>Not assessed</t>
        </is>
      </c>
      <c r="AR158" s="29" t="inlineStr">
        <is>
          <t>Not assessed</t>
        </is>
      </c>
      <c r="AS158" s="29" t="inlineStr">
        <is>
          <t>Fail</t>
        </is>
      </c>
      <c r="AT158" s="29" t="inlineStr">
        <is>
          <t>Not assessed</t>
        </is>
      </c>
      <c r="AU158" s="29" t="inlineStr">
        <is>
          <t>Not assessed</t>
        </is>
      </c>
      <c r="AV158" s="29" t="inlineStr">
        <is>
          <t>Not assessed</t>
        </is>
      </c>
      <c r="AW158" s="29" t="inlineStr">
        <is>
          <t>Not assessed</t>
        </is>
      </c>
      <c r="AX158" s="29" t="inlineStr">
        <is>
          <t>Not assessed</t>
        </is>
      </c>
      <c r="AY158" s="29" t="inlineStr">
        <is>
          <t>Not assessed</t>
        </is>
      </c>
      <c r="AZ158" s="29" t="inlineStr">
        <is>
          <t>Not assessed</t>
        </is>
      </c>
      <c r="BA158" s="29" t="inlineStr">
        <is>
          <t>Not assessed</t>
        </is>
      </c>
      <c r="BB158" s="29" t="inlineStr">
        <is>
          <t>Not assessed</t>
        </is>
      </c>
      <c r="BC158" s="29" t="inlineStr">
        <is>
          <t>Not assessed</t>
        </is>
      </c>
      <c r="BD158" s="29" t="inlineStr">
        <is>
          <t>Not assessed</t>
        </is>
      </c>
      <c r="BE158" s="29" t="inlineStr">
        <is>
          <t>Development required</t>
        </is>
      </c>
      <c r="BF158" s="29" t="inlineStr">
        <is>
          <t>Missing implementation; Physical implementation is not complete against the stated requirement.; No source code found for dating features</t>
        </is>
      </c>
      <c r="BG158" s="29" t="inlineStr">
        <is>
          <t>Source code implementation</t>
        </is>
      </c>
      <c r="BH158" s="29" t="inlineStr"/>
      <c r="BI158" s="29" t="inlineStr"/>
      <c r="BJ158" s="29" t="inlineStr"/>
      <c r="BK158" s="29" t="inlineStr">
        <is>
          <t>Evidence reconciled against the reviewed source revision. No production approval is inferred from implementation or file presence.</t>
        </is>
      </c>
      <c r="BL158" s="29" t="inlineStr">
        <is>
          <t>2026-08-02</t>
        </is>
      </c>
    </row>
    <row r="159" ht="42" customHeight="1">
      <c r="A159" s="29" t="inlineStr">
        <is>
          <t>BLYP-08-010</t>
        </is>
      </c>
      <c r="B159" s="29" t="inlineStr"/>
      <c r="C159" s="29" t="inlineStr">
        <is>
          <t>Subscriber-only Dating destination</t>
        </is>
      </c>
      <c r="D159" s="29" t="n">
        <v>8</v>
      </c>
      <c r="E159" s="29" t="n">
        <v>10</v>
      </c>
      <c r="F159" s="29" t="inlineStr">
        <is>
          <t>Feature</t>
        </is>
      </c>
      <c r="G159" s="29" t="inlineStr">
        <is>
          <t>Location protection</t>
        </is>
      </c>
      <c r="H159" s="29" t="inlineStr">
        <is>
          <t>Location protection</t>
        </is>
      </c>
      <c r="I159" s="29" t="inlineStr">
        <is>
          <t>/home/ubuntu/blyp_product_requirements.md :: Section 8 — Subscriber-only Dating destination</t>
        </is>
      </c>
      <c r="J159" s="29" t="inlineStr">
        <is>
          <t>/home/ubuntu/BLYP_COMPLETE_FEATURE_LIST.md:208</t>
        </is>
      </c>
      <c r="K159" s="29" t="inlineStr">
        <is>
          <t>Required</t>
        </is>
      </c>
      <c r="L159" s="29" t="inlineStr">
        <is>
          <t>Applicable BLYP member</t>
        </is>
      </c>
      <c r="M159" s="29" t="inlineStr">
        <is>
          <t>BLYP mobile application and supporting production services</t>
        </is>
      </c>
      <c r="N159" s="29" t="inlineStr">
        <is>
          <t>Location protection</t>
        </is>
      </c>
      <c r="O159" s="29" t="inlineStr">
        <is>
          <t>Not explicitly defined in the product source; requires accountable product approval before production sign-off.</t>
        </is>
      </c>
      <c r="P159" s="29" t="inlineStr">
        <is>
          <t>None</t>
        </is>
      </c>
      <c r="Q159" s="29" t="inlineStr">
        <is>
          <t>No evidence</t>
        </is>
      </c>
      <c r="R159" s="29" t="inlineStr"/>
      <c r="S159" s="29" t="inlineStr">
        <is>
          <t>Not found</t>
        </is>
      </c>
      <c r="T159" s="29" t="inlineStr">
        <is>
          <t>None</t>
        </is>
      </c>
      <c r="U159" s="29" t="inlineStr">
        <is>
          <t>None</t>
        </is>
      </c>
      <c r="V159" s="29" t="inlineStr">
        <is>
          <t>None</t>
        </is>
      </c>
      <c r="W159" s="29" t="inlineStr">
        <is>
          <t>None</t>
        </is>
      </c>
      <c r="X159" s="29" t="inlineStr">
        <is>
          <t>None</t>
        </is>
      </c>
      <c r="Y159" s="29" t="inlineStr">
        <is>
          <t>None</t>
        </is>
      </c>
      <c r="Z159" s="29" t="inlineStr">
        <is>
          <t>None</t>
        </is>
      </c>
      <c r="AA159" s="29" t="inlineStr">
        <is>
          <t>None</t>
        </is>
      </c>
      <c r="AB159" s="29" t="inlineStr">
        <is>
          <t>None</t>
        </is>
      </c>
      <c r="AC159" s="29" t="inlineStr"/>
      <c r="AD159" s="29" t="inlineStr">
        <is>
          <t>None</t>
        </is>
      </c>
      <c r="AE159" s="29" t="inlineStr">
        <is>
          <t>Not wired</t>
        </is>
      </c>
      <c r="AF159" s="29" t="inlineStr">
        <is>
          <t>None</t>
        </is>
      </c>
      <c r="AG159" s="29" t="inlineStr">
        <is>
          <t>Not started</t>
        </is>
      </c>
      <c r="AH159" s="29" t="inlineStr">
        <is>
          <t>No</t>
        </is>
      </c>
      <c r="AI159" s="29" t="inlineStr">
        <is>
          <t>No source code found for dating features</t>
        </is>
      </c>
      <c r="AJ159" s="29" t="inlineStr">
        <is>
          <t>Not verified</t>
        </is>
      </c>
      <c r="AK159" s="29" t="inlineStr"/>
      <c r="AL159" s="29" t="inlineStr"/>
      <c r="AM159" s="29" t="inlineStr"/>
      <c r="AN159" s="29" t="inlineStr"/>
      <c r="AO159" s="29" t="inlineStr">
        <is>
          <t>8bc0dcb2a1da1b21368c5536aaeef829d587f316</t>
        </is>
      </c>
      <c r="AP159" s="29" t="inlineStr">
        <is>
          <t>Low</t>
        </is>
      </c>
      <c r="AQ159" s="29" t="inlineStr">
        <is>
          <t>Not assessed</t>
        </is>
      </c>
      <c r="AR159" s="29" t="inlineStr">
        <is>
          <t>Not assessed</t>
        </is>
      </c>
      <c r="AS159" s="29" t="inlineStr">
        <is>
          <t>Fail</t>
        </is>
      </c>
      <c r="AT159" s="29" t="inlineStr">
        <is>
          <t>Not assessed</t>
        </is>
      </c>
      <c r="AU159" s="29" t="inlineStr">
        <is>
          <t>Not assessed</t>
        </is>
      </c>
      <c r="AV159" s="29" t="inlineStr">
        <is>
          <t>Not assessed</t>
        </is>
      </c>
      <c r="AW159" s="29" t="inlineStr">
        <is>
          <t>Not assessed</t>
        </is>
      </c>
      <c r="AX159" s="29" t="inlineStr">
        <is>
          <t>Not assessed</t>
        </is>
      </c>
      <c r="AY159" s="29" t="inlineStr">
        <is>
          <t>Not assessed</t>
        </is>
      </c>
      <c r="AZ159" s="29" t="inlineStr">
        <is>
          <t>Not assessed</t>
        </is>
      </c>
      <c r="BA159" s="29" t="inlineStr">
        <is>
          <t>Not assessed</t>
        </is>
      </c>
      <c r="BB159" s="29" t="inlineStr">
        <is>
          <t>Not assessed</t>
        </is>
      </c>
      <c r="BC159" s="29" t="inlineStr">
        <is>
          <t>Not assessed</t>
        </is>
      </c>
      <c r="BD159" s="29" t="inlineStr">
        <is>
          <t>Not assessed</t>
        </is>
      </c>
      <c r="BE159" s="29" t="inlineStr">
        <is>
          <t>Development required</t>
        </is>
      </c>
      <c r="BF159" s="29" t="inlineStr">
        <is>
          <t>Missing implementation; Physical implementation is not complete against the stated requirement.; No source code found for dating features</t>
        </is>
      </c>
      <c r="BG159" s="29" t="inlineStr">
        <is>
          <t>Source code implementation</t>
        </is>
      </c>
      <c r="BH159" s="29" t="inlineStr"/>
      <c r="BI159" s="29" t="inlineStr"/>
      <c r="BJ159" s="29" t="inlineStr"/>
      <c r="BK159" s="29" t="inlineStr">
        <is>
          <t>Evidence reconciled against the reviewed source revision. No production approval is inferred from implementation or file presence.</t>
        </is>
      </c>
      <c r="BL159" s="29" t="inlineStr">
        <is>
          <t>2026-08-02</t>
        </is>
      </c>
    </row>
    <row r="160" ht="42" customHeight="1">
      <c r="A160" s="29" t="inlineStr">
        <is>
          <t>BLYP-08-011</t>
        </is>
      </c>
      <c r="B160" s="29" t="inlineStr"/>
      <c r="C160" s="29" t="inlineStr">
        <is>
          <t>Subscriber-only Dating destination</t>
        </is>
      </c>
      <c r="D160" s="29" t="n">
        <v>8</v>
      </c>
      <c r="E160" s="29" t="n">
        <v>11</v>
      </c>
      <c r="F160" s="29" t="inlineStr">
        <is>
          <t>Feature</t>
        </is>
      </c>
      <c r="G160" s="29" t="inlineStr">
        <is>
          <t>Dating moderation</t>
        </is>
      </c>
      <c r="H160" s="29" t="inlineStr">
        <is>
          <t>Dating moderation</t>
        </is>
      </c>
      <c r="I160" s="29" t="inlineStr">
        <is>
          <t>/home/ubuntu/blyp_product_requirements.md :: Section 8 — Subscriber-only Dating destination</t>
        </is>
      </c>
      <c r="J160" s="29" t="inlineStr">
        <is>
          <t>/home/ubuntu/BLYP_COMPLETE_FEATURE_LIST.md:209</t>
        </is>
      </c>
      <c r="K160" s="29" t="inlineStr">
        <is>
          <t>Required</t>
        </is>
      </c>
      <c r="L160" s="29" t="inlineStr">
        <is>
          <t>Applicable BLYP member</t>
        </is>
      </c>
      <c r="M160" s="29" t="inlineStr">
        <is>
          <t>BLYP mobile application and supporting production services</t>
        </is>
      </c>
      <c r="N160" s="29" t="inlineStr">
        <is>
          <t>Dating moderation</t>
        </is>
      </c>
      <c r="O160" s="29" t="inlineStr">
        <is>
          <t>Not explicitly defined in the product source; requires accountable product approval before production sign-off.</t>
        </is>
      </c>
      <c r="P160" s="29" t="inlineStr">
        <is>
          <t>None</t>
        </is>
      </c>
      <c r="Q160" s="29" t="inlineStr">
        <is>
          <t>No evidence</t>
        </is>
      </c>
      <c r="R160" s="29" t="inlineStr"/>
      <c r="S160" s="29" t="inlineStr">
        <is>
          <t>Not found</t>
        </is>
      </c>
      <c r="T160" s="29" t="inlineStr">
        <is>
          <t>None</t>
        </is>
      </c>
      <c r="U160" s="29" t="inlineStr">
        <is>
          <t>None</t>
        </is>
      </c>
      <c r="V160" s="29" t="inlineStr">
        <is>
          <t>None</t>
        </is>
      </c>
      <c r="W160" s="29" t="inlineStr">
        <is>
          <t>None</t>
        </is>
      </c>
      <c r="X160" s="29" t="inlineStr">
        <is>
          <t>None</t>
        </is>
      </c>
      <c r="Y160" s="29" t="inlineStr">
        <is>
          <t>None</t>
        </is>
      </c>
      <c r="Z160" s="29" t="inlineStr">
        <is>
          <t>None</t>
        </is>
      </c>
      <c r="AA160" s="29" t="inlineStr">
        <is>
          <t>None</t>
        </is>
      </c>
      <c r="AB160" s="29" t="inlineStr">
        <is>
          <t>None</t>
        </is>
      </c>
      <c r="AC160" s="29" t="inlineStr"/>
      <c r="AD160" s="29" t="inlineStr">
        <is>
          <t>None</t>
        </is>
      </c>
      <c r="AE160" s="29" t="inlineStr">
        <is>
          <t>Not wired</t>
        </is>
      </c>
      <c r="AF160" s="29" t="inlineStr">
        <is>
          <t>None</t>
        </is>
      </c>
      <c r="AG160" s="29" t="inlineStr">
        <is>
          <t>Not started</t>
        </is>
      </c>
      <c r="AH160" s="29" t="inlineStr">
        <is>
          <t>No</t>
        </is>
      </c>
      <c r="AI160" s="29" t="inlineStr">
        <is>
          <t>No source code found for dating features</t>
        </is>
      </c>
      <c r="AJ160" s="29" t="inlineStr">
        <is>
          <t>Not verified</t>
        </is>
      </c>
      <c r="AK160" s="29" t="inlineStr"/>
      <c r="AL160" s="29" t="inlineStr"/>
      <c r="AM160" s="29" t="inlineStr"/>
      <c r="AN160" s="29" t="inlineStr"/>
      <c r="AO160" s="29" t="inlineStr">
        <is>
          <t>8bc0dcb2a1da1b21368c5536aaeef829d587f316</t>
        </is>
      </c>
      <c r="AP160" s="29" t="inlineStr">
        <is>
          <t>Low</t>
        </is>
      </c>
      <c r="AQ160" s="29" t="inlineStr">
        <is>
          <t>Not assessed</t>
        </is>
      </c>
      <c r="AR160" s="29" t="inlineStr">
        <is>
          <t>Not assessed</t>
        </is>
      </c>
      <c r="AS160" s="29" t="inlineStr">
        <is>
          <t>Fail</t>
        </is>
      </c>
      <c r="AT160" s="29" t="inlineStr">
        <is>
          <t>Not assessed</t>
        </is>
      </c>
      <c r="AU160" s="29" t="inlineStr">
        <is>
          <t>Not assessed</t>
        </is>
      </c>
      <c r="AV160" s="29" t="inlineStr">
        <is>
          <t>Not assessed</t>
        </is>
      </c>
      <c r="AW160" s="29" t="inlineStr">
        <is>
          <t>Not assessed</t>
        </is>
      </c>
      <c r="AX160" s="29" t="inlineStr">
        <is>
          <t>Not assessed</t>
        </is>
      </c>
      <c r="AY160" s="29" t="inlineStr">
        <is>
          <t>Not assessed</t>
        </is>
      </c>
      <c r="AZ160" s="29" t="inlineStr">
        <is>
          <t>Not assessed</t>
        </is>
      </c>
      <c r="BA160" s="29" t="inlineStr">
        <is>
          <t>Not assessed</t>
        </is>
      </c>
      <c r="BB160" s="29" t="inlineStr">
        <is>
          <t>Not assessed</t>
        </is>
      </c>
      <c r="BC160" s="29" t="inlineStr">
        <is>
          <t>Not assessed</t>
        </is>
      </c>
      <c r="BD160" s="29" t="inlineStr">
        <is>
          <t>Not assessed</t>
        </is>
      </c>
      <c r="BE160" s="29" t="inlineStr">
        <is>
          <t>Development required</t>
        </is>
      </c>
      <c r="BF160" s="29" t="inlineStr">
        <is>
          <t>Missing implementation; Physical implementation is not complete against the stated requirement.; No source code found for dating features</t>
        </is>
      </c>
      <c r="BG160" s="29" t="inlineStr">
        <is>
          <t>Source code implementation</t>
        </is>
      </c>
      <c r="BH160" s="29" t="inlineStr"/>
      <c r="BI160" s="29" t="inlineStr"/>
      <c r="BJ160" s="29" t="inlineStr"/>
      <c r="BK160" s="29" t="inlineStr">
        <is>
          <t>Evidence reconciled against the reviewed source revision. No production approval is inferred from implementation or file presence.</t>
        </is>
      </c>
      <c r="BL160" s="29" t="inlineStr">
        <is>
          <t>2026-08-02</t>
        </is>
      </c>
    </row>
    <row r="161" ht="42" customHeight="1">
      <c r="A161" s="29" t="inlineStr">
        <is>
          <t>BLYP-08-012</t>
        </is>
      </c>
      <c r="B161" s="29" t="inlineStr"/>
      <c r="C161" s="29" t="inlineStr">
        <is>
          <t>Subscriber-only Dating destination</t>
        </is>
      </c>
      <c r="D161" s="29" t="n">
        <v>8</v>
      </c>
      <c r="E161" s="29" t="n">
        <v>12</v>
      </c>
      <c r="F161" s="29" t="inlineStr">
        <is>
          <t>Feature</t>
        </is>
      </c>
      <c r="G161" s="29" t="inlineStr">
        <is>
          <t>Matching experience</t>
        </is>
      </c>
      <c r="H161" s="29" t="inlineStr">
        <is>
          <t>Matching experience</t>
        </is>
      </c>
      <c r="I161" s="29" t="inlineStr">
        <is>
          <t>/home/ubuntu/blyp_product_requirements.md :: Section 8 — Subscriber-only Dating destination</t>
        </is>
      </c>
      <c r="J161" s="29" t="inlineStr">
        <is>
          <t>/home/ubuntu/BLYP_COMPLETE_FEATURE_LIST.md:210</t>
        </is>
      </c>
      <c r="K161" s="29" t="inlineStr">
        <is>
          <t>Required</t>
        </is>
      </c>
      <c r="L161" s="29" t="inlineStr">
        <is>
          <t>Applicable BLYP member</t>
        </is>
      </c>
      <c r="M161" s="29" t="inlineStr">
        <is>
          <t>BLYP mobile application and supporting production services</t>
        </is>
      </c>
      <c r="N161" s="29" t="inlineStr">
        <is>
          <t>Matching experience</t>
        </is>
      </c>
      <c r="O161" s="29" t="inlineStr">
        <is>
          <t>Not explicitly defined in the product source; requires accountable product approval before production sign-off.</t>
        </is>
      </c>
      <c r="P161" s="29" t="inlineStr">
        <is>
          <t>None</t>
        </is>
      </c>
      <c r="Q161" s="29" t="inlineStr">
        <is>
          <t>No evidence</t>
        </is>
      </c>
      <c r="R161" s="29" t="inlineStr"/>
      <c r="S161" s="29" t="inlineStr">
        <is>
          <t>Not found</t>
        </is>
      </c>
      <c r="T161" s="29" t="inlineStr">
        <is>
          <t>None</t>
        </is>
      </c>
      <c r="U161" s="29" t="inlineStr">
        <is>
          <t>None</t>
        </is>
      </c>
      <c r="V161" s="29" t="inlineStr">
        <is>
          <t>None</t>
        </is>
      </c>
      <c r="W161" s="29" t="inlineStr">
        <is>
          <t>None</t>
        </is>
      </c>
      <c r="X161" s="29" t="inlineStr">
        <is>
          <t>None</t>
        </is>
      </c>
      <c r="Y161" s="29" t="inlineStr">
        <is>
          <t>None</t>
        </is>
      </c>
      <c r="Z161" s="29" t="inlineStr">
        <is>
          <t>None</t>
        </is>
      </c>
      <c r="AA161" s="29" t="inlineStr">
        <is>
          <t>None</t>
        </is>
      </c>
      <c r="AB161" s="29" t="inlineStr">
        <is>
          <t>None</t>
        </is>
      </c>
      <c r="AC161" s="29" t="inlineStr"/>
      <c r="AD161" s="29" t="inlineStr">
        <is>
          <t>None</t>
        </is>
      </c>
      <c r="AE161" s="29" t="inlineStr">
        <is>
          <t>Not wired</t>
        </is>
      </c>
      <c r="AF161" s="29" t="inlineStr">
        <is>
          <t>None</t>
        </is>
      </c>
      <c r="AG161" s="29" t="inlineStr">
        <is>
          <t>Not started</t>
        </is>
      </c>
      <c r="AH161" s="29" t="inlineStr">
        <is>
          <t>No</t>
        </is>
      </c>
      <c r="AI161" s="29" t="inlineStr">
        <is>
          <t>No source code found for dating features</t>
        </is>
      </c>
      <c r="AJ161" s="29" t="inlineStr">
        <is>
          <t>Not verified</t>
        </is>
      </c>
      <c r="AK161" s="29" t="inlineStr"/>
      <c r="AL161" s="29" t="inlineStr"/>
      <c r="AM161" s="29" t="inlineStr"/>
      <c r="AN161" s="29" t="inlineStr"/>
      <c r="AO161" s="29" t="inlineStr">
        <is>
          <t>8bc0dcb2a1da1b21368c5536aaeef829d587f316</t>
        </is>
      </c>
      <c r="AP161" s="29" t="inlineStr">
        <is>
          <t>Low</t>
        </is>
      </c>
      <c r="AQ161" s="29" t="inlineStr">
        <is>
          <t>Not assessed</t>
        </is>
      </c>
      <c r="AR161" s="29" t="inlineStr">
        <is>
          <t>Not assessed</t>
        </is>
      </c>
      <c r="AS161" s="29" t="inlineStr">
        <is>
          <t>Fail</t>
        </is>
      </c>
      <c r="AT161" s="29" t="inlineStr">
        <is>
          <t>Not assessed</t>
        </is>
      </c>
      <c r="AU161" s="29" t="inlineStr">
        <is>
          <t>Not assessed</t>
        </is>
      </c>
      <c r="AV161" s="29" t="inlineStr">
        <is>
          <t>Not assessed</t>
        </is>
      </c>
      <c r="AW161" s="29" t="inlineStr">
        <is>
          <t>Not assessed</t>
        </is>
      </c>
      <c r="AX161" s="29" t="inlineStr">
        <is>
          <t>Not assessed</t>
        </is>
      </c>
      <c r="AY161" s="29" t="inlineStr">
        <is>
          <t>Not assessed</t>
        </is>
      </c>
      <c r="AZ161" s="29" t="inlineStr">
        <is>
          <t>Not assessed</t>
        </is>
      </c>
      <c r="BA161" s="29" t="inlineStr">
        <is>
          <t>Not assessed</t>
        </is>
      </c>
      <c r="BB161" s="29" t="inlineStr">
        <is>
          <t>Not assessed</t>
        </is>
      </c>
      <c r="BC161" s="29" t="inlineStr">
        <is>
          <t>Not assessed</t>
        </is>
      </c>
      <c r="BD161" s="29" t="inlineStr">
        <is>
          <t>Not assessed</t>
        </is>
      </c>
      <c r="BE161" s="29" t="inlineStr">
        <is>
          <t>Development required</t>
        </is>
      </c>
      <c r="BF161" s="29" t="inlineStr">
        <is>
          <t>Missing implementation; Physical implementation is not complete against the stated requirement.; No source code found for dating features</t>
        </is>
      </c>
      <c r="BG161" s="29" t="inlineStr">
        <is>
          <t>Source code implementation</t>
        </is>
      </c>
      <c r="BH161" s="29" t="inlineStr"/>
      <c r="BI161" s="29" t="inlineStr"/>
      <c r="BJ161" s="29" t="inlineStr"/>
      <c r="BK161" s="29" t="inlineStr">
        <is>
          <t>Evidence reconciled against the reviewed source revision. No production approval is inferred from implementation or file presence.</t>
        </is>
      </c>
      <c r="BL161" s="29" t="inlineStr">
        <is>
          <t>2026-08-02</t>
        </is>
      </c>
    </row>
    <row r="162" ht="42" customHeight="1">
      <c r="A162" s="29" t="inlineStr">
        <is>
          <t>BLYP-08-013</t>
        </is>
      </c>
      <c r="B162" s="29" t="inlineStr"/>
      <c r="C162" s="29" t="inlineStr">
        <is>
          <t>Subscriber-only Dating destination</t>
        </is>
      </c>
      <c r="D162" s="29" t="n">
        <v>8</v>
      </c>
      <c r="E162" s="29" t="n">
        <v>13</v>
      </c>
      <c r="F162" s="29" t="inlineStr">
        <is>
          <t>Feature</t>
        </is>
      </c>
      <c r="G162" s="29" t="inlineStr">
        <is>
          <t>Live Dating experience</t>
        </is>
      </c>
      <c r="H162" s="29" t="inlineStr">
        <is>
          <t>Live Dating experience</t>
        </is>
      </c>
      <c r="I162" s="29" t="inlineStr">
        <is>
          <t>/home/ubuntu/blyp_product_requirements.md :: Section 8 — Subscriber-only Dating destination</t>
        </is>
      </c>
      <c r="J162" s="29" t="inlineStr">
        <is>
          <t>/home/ubuntu/BLYP_COMPLETE_FEATURE_LIST.md:211</t>
        </is>
      </c>
      <c r="K162" s="29" t="inlineStr">
        <is>
          <t>Required</t>
        </is>
      </c>
      <c r="L162" s="29" t="inlineStr">
        <is>
          <t>Applicable BLYP member</t>
        </is>
      </c>
      <c r="M162" s="29" t="inlineStr">
        <is>
          <t>BLYP mobile application and supporting production services</t>
        </is>
      </c>
      <c r="N162" s="29" t="inlineStr">
        <is>
          <t>Live Dating experience</t>
        </is>
      </c>
      <c r="O162" s="29" t="inlineStr">
        <is>
          <t>Not explicitly defined in the product source; requires accountable product approval before production sign-off.</t>
        </is>
      </c>
      <c r="P162" s="29" t="inlineStr">
        <is>
          <t>None</t>
        </is>
      </c>
      <c r="Q162" s="29" t="inlineStr">
        <is>
          <t>No evidence</t>
        </is>
      </c>
      <c r="R162" s="29" t="inlineStr"/>
      <c r="S162" s="29" t="inlineStr">
        <is>
          <t>Not found</t>
        </is>
      </c>
      <c r="T162" s="29" t="inlineStr">
        <is>
          <t>None</t>
        </is>
      </c>
      <c r="U162" s="29" t="inlineStr">
        <is>
          <t>None</t>
        </is>
      </c>
      <c r="V162" s="29" t="inlineStr">
        <is>
          <t>None</t>
        </is>
      </c>
      <c r="W162" s="29" t="inlineStr">
        <is>
          <t>None</t>
        </is>
      </c>
      <c r="X162" s="29" t="inlineStr">
        <is>
          <t>None</t>
        </is>
      </c>
      <c r="Y162" s="29" t="inlineStr">
        <is>
          <t>None</t>
        </is>
      </c>
      <c r="Z162" s="29" t="inlineStr">
        <is>
          <t>None</t>
        </is>
      </c>
      <c r="AA162" s="29" t="inlineStr">
        <is>
          <t>None</t>
        </is>
      </c>
      <c r="AB162" s="29" t="inlineStr">
        <is>
          <t>None</t>
        </is>
      </c>
      <c r="AC162" s="29" t="inlineStr"/>
      <c r="AD162" s="29" t="inlineStr">
        <is>
          <t>None</t>
        </is>
      </c>
      <c r="AE162" s="29" t="inlineStr">
        <is>
          <t>Not wired</t>
        </is>
      </c>
      <c r="AF162" s="29" t="inlineStr">
        <is>
          <t>None</t>
        </is>
      </c>
      <c r="AG162" s="29" t="inlineStr">
        <is>
          <t>Not started</t>
        </is>
      </c>
      <c r="AH162" s="29" t="inlineStr">
        <is>
          <t>No</t>
        </is>
      </c>
      <c r="AI162" s="29" t="inlineStr">
        <is>
          <t>No source code found for dating features</t>
        </is>
      </c>
      <c r="AJ162" s="29" t="inlineStr">
        <is>
          <t>Not verified</t>
        </is>
      </c>
      <c r="AK162" s="29" t="inlineStr"/>
      <c r="AL162" s="29" t="inlineStr"/>
      <c r="AM162" s="29" t="inlineStr"/>
      <c r="AN162" s="29" t="inlineStr"/>
      <c r="AO162" s="29" t="inlineStr">
        <is>
          <t>8bc0dcb2a1da1b21368c5536aaeef829d587f316</t>
        </is>
      </c>
      <c r="AP162" s="29" t="inlineStr">
        <is>
          <t>Low</t>
        </is>
      </c>
      <c r="AQ162" s="29" t="inlineStr">
        <is>
          <t>Not assessed</t>
        </is>
      </c>
      <c r="AR162" s="29" t="inlineStr">
        <is>
          <t>Not assessed</t>
        </is>
      </c>
      <c r="AS162" s="29" t="inlineStr">
        <is>
          <t>Fail</t>
        </is>
      </c>
      <c r="AT162" s="29" t="inlineStr">
        <is>
          <t>Not assessed</t>
        </is>
      </c>
      <c r="AU162" s="29" t="inlineStr">
        <is>
          <t>Not assessed</t>
        </is>
      </c>
      <c r="AV162" s="29" t="inlineStr">
        <is>
          <t>Not assessed</t>
        </is>
      </c>
      <c r="AW162" s="29" t="inlineStr">
        <is>
          <t>Not assessed</t>
        </is>
      </c>
      <c r="AX162" s="29" t="inlineStr">
        <is>
          <t>Not assessed</t>
        </is>
      </c>
      <c r="AY162" s="29" t="inlineStr">
        <is>
          <t>Not assessed</t>
        </is>
      </c>
      <c r="AZ162" s="29" t="inlineStr">
        <is>
          <t>Not assessed</t>
        </is>
      </c>
      <c r="BA162" s="29" t="inlineStr">
        <is>
          <t>Not assessed</t>
        </is>
      </c>
      <c r="BB162" s="29" t="inlineStr">
        <is>
          <t>Not assessed</t>
        </is>
      </c>
      <c r="BC162" s="29" t="inlineStr">
        <is>
          <t>Not assessed</t>
        </is>
      </c>
      <c r="BD162" s="29" t="inlineStr">
        <is>
          <t>Not assessed</t>
        </is>
      </c>
      <c r="BE162" s="29" t="inlineStr">
        <is>
          <t>Development required</t>
        </is>
      </c>
      <c r="BF162" s="29" t="inlineStr">
        <is>
          <t>Missing implementation; Physical implementation is not complete against the stated requirement.; No source code found for dating features</t>
        </is>
      </c>
      <c r="BG162" s="29" t="inlineStr">
        <is>
          <t>Source code implementation</t>
        </is>
      </c>
      <c r="BH162" s="29" t="inlineStr"/>
      <c r="BI162" s="29" t="inlineStr"/>
      <c r="BJ162" s="29" t="inlineStr"/>
      <c r="BK162" s="29" t="inlineStr">
        <is>
          <t>Evidence reconciled against the reviewed source revision. No production approval is inferred from implementation or file presence.</t>
        </is>
      </c>
      <c r="BL162" s="29" t="inlineStr">
        <is>
          <t>2026-08-02</t>
        </is>
      </c>
    </row>
    <row r="163" ht="42" customHeight="1">
      <c r="A163" s="29" t="inlineStr">
        <is>
          <t>BLYP-09-001</t>
        </is>
      </c>
      <c r="B163" s="29" t="inlineStr"/>
      <c r="C163" s="29" t="inlineStr">
        <is>
          <t>Free and £4.99 membership</t>
        </is>
      </c>
      <c r="D163" s="29" t="n">
        <v>9</v>
      </c>
      <c r="E163" s="29" t="n">
        <v>1</v>
      </c>
      <c r="F163" s="29" t="inlineStr">
        <is>
          <t>Feature</t>
        </is>
      </c>
      <c r="G163" s="29" t="inlineStr">
        <is>
          <t>Free membership state</t>
        </is>
      </c>
      <c r="H163" s="29" t="inlineStr">
        <is>
          <t>Free membership state</t>
        </is>
      </c>
      <c r="I163" s="29" t="inlineStr">
        <is>
          <t>/home/ubuntu/blyp_product_requirements.md :: Section 9 — Free and £4.99 membership</t>
        </is>
      </c>
      <c r="J163" s="29" t="inlineStr">
        <is>
          <t>/home/ubuntu/BLYP_COMPLETE_FEATURE_LIST.md:217</t>
        </is>
      </c>
      <c r="K163" s="29" t="inlineStr">
        <is>
          <t>Required</t>
        </is>
      </c>
      <c r="L163" s="29" t="inlineStr">
        <is>
          <t>Applicable BLYP member</t>
        </is>
      </c>
      <c r="M163" s="29" t="inlineStr">
        <is>
          <t>BLYP mobile application and supporting production services</t>
        </is>
      </c>
      <c r="N163" s="29" t="inlineStr">
        <is>
          <t>Free membership state</t>
        </is>
      </c>
      <c r="O163" s="29" t="inlineStr">
        <is>
          <t>Not explicitly defined in the product source; requires accountable product approval before production sign-off.</t>
        </is>
      </c>
      <c r="P163" s="29" t="inlineStr"/>
      <c r="Q163" s="29" t="inlineStr">
        <is>
          <t>Partial</t>
        </is>
      </c>
      <c r="R163" s="29" t="inlineStr">
        <is>
          <t>ordinary accounts exist; the two-tier entitlement model is not complete.</t>
        </is>
      </c>
      <c r="S163" s="29" t="inlineStr">
        <is>
          <t>Not found</t>
        </is>
      </c>
      <c r="T163" s="29" t="inlineStr"/>
      <c r="U163" s="29" t="inlineStr"/>
      <c r="V163" s="29" t="inlineStr"/>
      <c r="W163" s="29" t="inlineStr"/>
      <c r="X163" s="29" t="inlineStr"/>
      <c r="Y163" s="29" t="inlineStr"/>
      <c r="Z163" s="29" t="inlineStr"/>
      <c r="AA163" s="29" t="inlineStr"/>
      <c r="AB163" s="29" t="inlineStr"/>
      <c r="AC163" s="29" t="inlineStr"/>
      <c r="AD163" s="29" t="inlineStr"/>
      <c r="AE163" s="29" t="inlineStr">
        <is>
          <t>Unknown</t>
        </is>
      </c>
      <c r="AF163" s="29" t="inlineStr"/>
      <c r="AG163" s="29" t="inlineStr">
        <is>
          <t>Unknown</t>
        </is>
      </c>
      <c r="AH163" s="29" t="inlineStr">
        <is>
          <t>Unknown</t>
        </is>
      </c>
      <c r="AI163" s="29" t="inlineStr">
        <is>
          <t>Searched source code for feature implementation but found no evidence.</t>
        </is>
      </c>
      <c r="AJ163" s="29" t="inlineStr">
        <is>
          <t>Not verified</t>
        </is>
      </c>
      <c r="AK163" s="29" t="inlineStr"/>
      <c r="AL163" s="29" t="inlineStr"/>
      <c r="AM163" s="29" t="inlineStr"/>
      <c r="AN163" s="29" t="inlineStr"/>
      <c r="AO163" s="29" t="inlineStr">
        <is>
          <t>8bc0dcb2a1da1b21368c5536aaeef829d587f316</t>
        </is>
      </c>
      <c r="AP163" s="29" t="inlineStr">
        <is>
          <t>Low</t>
        </is>
      </c>
      <c r="AQ163" s="29" t="inlineStr">
        <is>
          <t>Not assessed</t>
        </is>
      </c>
      <c r="AR163" s="29" t="inlineStr">
        <is>
          <t>Not assessed</t>
        </is>
      </c>
      <c r="AS163" s="29" t="inlineStr">
        <is>
          <t>Not assessed</t>
        </is>
      </c>
      <c r="AT163" s="29" t="inlineStr">
        <is>
          <t>Not assessed</t>
        </is>
      </c>
      <c r="AU163" s="29" t="inlineStr">
        <is>
          <t>Not assessed</t>
        </is>
      </c>
      <c r="AV163" s="29" t="inlineStr">
        <is>
          <t>Not assessed</t>
        </is>
      </c>
      <c r="AW163" s="29" t="inlineStr">
        <is>
          <t>Not assessed</t>
        </is>
      </c>
      <c r="AX163" s="29" t="inlineStr">
        <is>
          <t>Not assessed</t>
        </is>
      </c>
      <c r="AY163" s="29" t="inlineStr">
        <is>
          <t>Not assessed</t>
        </is>
      </c>
      <c r="AZ163" s="29" t="inlineStr">
        <is>
          <t>Not assessed</t>
        </is>
      </c>
      <c r="BA163" s="29" t="inlineStr">
        <is>
          <t>Not assessed</t>
        </is>
      </c>
      <c r="BB163" s="29" t="inlineStr">
        <is>
          <t>Not assessed</t>
        </is>
      </c>
      <c r="BC163" s="29" t="inlineStr">
        <is>
          <t>Not assessed</t>
        </is>
      </c>
      <c r="BD163" s="29" t="inlineStr">
        <is>
          <t>Not assessed</t>
        </is>
      </c>
      <c r="BE163" s="29" t="inlineStr">
        <is>
          <t>Development required</t>
        </is>
      </c>
      <c r="BF163" s="29" t="inlineStr">
        <is>
          <t>Physical implementation is not complete against the stated requirement.; Searched source code for feature implementation but found no evidence.</t>
        </is>
      </c>
      <c r="BG163" s="29" t="inlineStr"/>
      <c r="BH163" s="29" t="inlineStr"/>
      <c r="BI163" s="29" t="inlineStr"/>
      <c r="BJ163" s="29" t="inlineStr"/>
      <c r="BK163" s="29" t="inlineStr">
        <is>
          <t>Evidence reconciled against the reviewed source revision. No production approval is inferred from implementation or file presence.</t>
        </is>
      </c>
      <c r="BL163" s="29" t="inlineStr">
        <is>
          <t>2026-08-02</t>
        </is>
      </c>
    </row>
    <row r="164" ht="42" customHeight="1">
      <c r="A164" s="29" t="inlineStr">
        <is>
          <t>BLYP-09-002</t>
        </is>
      </c>
      <c r="B164" s="29" t="inlineStr"/>
      <c r="C164" s="29" t="inlineStr">
        <is>
          <t>Free and £4.99 membership</t>
        </is>
      </c>
      <c r="D164" s="29" t="n">
        <v>9</v>
      </c>
      <c r="E164" s="29" t="n">
        <v>2</v>
      </c>
      <c r="F164" s="29" t="inlineStr">
        <is>
          <t>Feature</t>
        </is>
      </c>
      <c r="G164" s="29" t="inlineStr">
        <is>
          <t>£4.99/month Member state</t>
        </is>
      </c>
      <c r="H164" s="29" t="inlineStr">
        <is>
          <t>£4.99/month Member state</t>
        </is>
      </c>
      <c r="I164" s="29" t="inlineStr">
        <is>
          <t>/home/ubuntu/blyp_product_requirements.md :: Section 9 — Free and £4.99 membership</t>
        </is>
      </c>
      <c r="J164" s="29" t="inlineStr">
        <is>
          <t>/home/ubuntu/BLYP_COMPLETE_FEATURE_LIST.md:218</t>
        </is>
      </c>
      <c r="K164" s="29" t="inlineStr">
        <is>
          <t>Required</t>
        </is>
      </c>
      <c r="L164" s="29" t="inlineStr">
        <is>
          <t>Applicable BLYP member</t>
        </is>
      </c>
      <c r="M164" s="29" t="inlineStr">
        <is>
          <t>BLYP mobile application and supporting production services</t>
        </is>
      </c>
      <c r="N164" s="29" t="inlineStr">
        <is>
          <t>£4.99/month Member state</t>
        </is>
      </c>
      <c r="O164" s="29" t="inlineStr">
        <is>
          <t>Not explicitly defined in the product source; requires accountable product approval before production sign-off.</t>
        </is>
      </c>
      <c r="P164" s="29" t="inlineStr"/>
      <c r="Q164" s="29" t="inlineStr">
        <is>
          <t>Scaffold only</t>
        </is>
      </c>
      <c r="R164" s="29" t="inlineStr"/>
      <c r="S164" s="29" t="inlineStr">
        <is>
          <t>Not found</t>
        </is>
      </c>
      <c r="T164" s="29" t="inlineStr"/>
      <c r="U164" s="29" t="inlineStr"/>
      <c r="V164" s="29" t="inlineStr"/>
      <c r="W164" s="29" t="inlineStr"/>
      <c r="X164" s="29" t="inlineStr"/>
      <c r="Y164" s="29" t="inlineStr"/>
      <c r="Z164" s="29" t="inlineStr"/>
      <c r="AA164" s="29" t="inlineStr"/>
      <c r="AB164" s="29" t="inlineStr"/>
      <c r="AC164" s="29" t="inlineStr"/>
      <c r="AD164" s="29" t="inlineStr"/>
      <c r="AE164" s="29" t="inlineStr">
        <is>
          <t>Unknown</t>
        </is>
      </c>
      <c r="AF164" s="29" t="inlineStr"/>
      <c r="AG164" s="29" t="inlineStr">
        <is>
          <t>Unknown</t>
        </is>
      </c>
      <c r="AH164" s="29" t="inlineStr">
        <is>
          <t>Unknown</t>
        </is>
      </c>
      <c r="AI164" s="29" t="inlineStr">
        <is>
          <t>Searched source code for feature implementation but found no evidence.</t>
        </is>
      </c>
      <c r="AJ164" s="29" t="inlineStr">
        <is>
          <t>Not verified</t>
        </is>
      </c>
      <c r="AK164" s="29" t="inlineStr"/>
      <c r="AL164" s="29" t="inlineStr"/>
      <c r="AM164" s="29" t="inlineStr"/>
      <c r="AN164" s="29" t="inlineStr"/>
      <c r="AO164" s="29" t="inlineStr">
        <is>
          <t>8bc0dcb2a1da1b21368c5536aaeef829d587f316</t>
        </is>
      </c>
      <c r="AP164" s="29" t="inlineStr">
        <is>
          <t>Low</t>
        </is>
      </c>
      <c r="AQ164" s="29" t="inlineStr">
        <is>
          <t>Not assessed</t>
        </is>
      </c>
      <c r="AR164" s="29" t="inlineStr">
        <is>
          <t>Not assessed</t>
        </is>
      </c>
      <c r="AS164" s="29" t="inlineStr">
        <is>
          <t>Not assessed</t>
        </is>
      </c>
      <c r="AT164" s="29" t="inlineStr">
        <is>
          <t>Not assessed</t>
        </is>
      </c>
      <c r="AU164" s="29" t="inlineStr">
        <is>
          <t>Not assessed</t>
        </is>
      </c>
      <c r="AV164" s="29" t="inlineStr">
        <is>
          <t>Not assessed</t>
        </is>
      </c>
      <c r="AW164" s="29" t="inlineStr">
        <is>
          <t>Not assessed</t>
        </is>
      </c>
      <c r="AX164" s="29" t="inlineStr">
        <is>
          <t>Not assessed</t>
        </is>
      </c>
      <c r="AY164" s="29" t="inlineStr">
        <is>
          <t>Not assessed</t>
        </is>
      </c>
      <c r="AZ164" s="29" t="inlineStr">
        <is>
          <t>Not assessed</t>
        </is>
      </c>
      <c r="BA164" s="29" t="inlineStr">
        <is>
          <t>Not assessed</t>
        </is>
      </c>
      <c r="BB164" s="29" t="inlineStr">
        <is>
          <t>Not assessed</t>
        </is>
      </c>
      <c r="BC164" s="29" t="inlineStr">
        <is>
          <t>Not assessed</t>
        </is>
      </c>
      <c r="BD164" s="29" t="inlineStr">
        <is>
          <t>Not assessed</t>
        </is>
      </c>
      <c r="BE164" s="29" t="inlineStr">
        <is>
          <t>Development required</t>
        </is>
      </c>
      <c r="BF164" s="29" t="inlineStr">
        <is>
          <t>Physical implementation is not complete against the stated requirement.; Searched source code for feature implementation but found no evidence.</t>
        </is>
      </c>
      <c r="BG164" s="29" t="inlineStr"/>
      <c r="BH164" s="29" t="inlineStr"/>
      <c r="BI164" s="29" t="inlineStr"/>
      <c r="BJ164" s="29" t="inlineStr"/>
      <c r="BK164" s="29" t="inlineStr">
        <is>
          <t>Evidence reconciled against the reviewed source revision. No production approval is inferred from implementation or file presence.</t>
        </is>
      </c>
      <c r="BL164" s="29" t="inlineStr">
        <is>
          <t>2026-08-02</t>
        </is>
      </c>
    </row>
    <row r="165" ht="42" customHeight="1">
      <c r="A165" s="29" t="inlineStr">
        <is>
          <t>BLYP-09-003</t>
        </is>
      </c>
      <c r="B165" s="29" t="inlineStr"/>
      <c r="C165" s="29" t="inlineStr">
        <is>
          <t>Free and £4.99 membership</t>
        </is>
      </c>
      <c r="D165" s="29" t="n">
        <v>9</v>
      </c>
      <c r="E165" s="29" t="n">
        <v>3</v>
      </c>
      <c r="F165" s="29" t="inlineStr">
        <is>
          <t>Feature</t>
        </is>
      </c>
      <c r="G165" s="29" t="inlineStr">
        <is>
          <t>Most social participation available free</t>
        </is>
      </c>
      <c r="H165" s="29" t="inlineStr">
        <is>
          <t>Most social participation available free</t>
        </is>
      </c>
      <c r="I165" s="29" t="inlineStr">
        <is>
          <t>/home/ubuntu/blyp_product_requirements.md :: Section 9 — Free and £4.99 membership</t>
        </is>
      </c>
      <c r="J165" s="29" t="inlineStr">
        <is>
          <t>/home/ubuntu/BLYP_COMPLETE_FEATURE_LIST.md:219</t>
        </is>
      </c>
      <c r="K165" s="29" t="inlineStr">
        <is>
          <t>Required</t>
        </is>
      </c>
      <c r="L165" s="29" t="inlineStr">
        <is>
          <t>Applicable BLYP member</t>
        </is>
      </c>
      <c r="M165" s="29" t="inlineStr">
        <is>
          <t>BLYP mobile application and supporting production services</t>
        </is>
      </c>
      <c r="N165" s="29" t="inlineStr">
        <is>
          <t>Most social participation available free</t>
        </is>
      </c>
      <c r="O165" s="29" t="inlineStr">
        <is>
          <t>Not explicitly defined in the product source; requires accountable product approval before production sign-off.</t>
        </is>
      </c>
      <c r="P165" s="29" t="inlineStr"/>
      <c r="Q165" s="29" t="inlineStr">
        <is>
          <t>Yes</t>
        </is>
      </c>
      <c r="R165" s="29" t="inlineStr"/>
      <c r="S165" s="29" t="inlineStr">
        <is>
          <t>Not found</t>
        </is>
      </c>
      <c r="T165" s="29" t="inlineStr"/>
      <c r="U165" s="29" t="inlineStr"/>
      <c r="V165" s="29" t="inlineStr"/>
      <c r="W165" s="29" t="inlineStr"/>
      <c r="X165" s="29" t="inlineStr"/>
      <c r="Y165" s="29" t="inlineStr"/>
      <c r="Z165" s="29" t="inlineStr"/>
      <c r="AA165" s="29" t="inlineStr"/>
      <c r="AB165" s="29" t="inlineStr"/>
      <c r="AC165" s="29" t="inlineStr"/>
      <c r="AD165" s="29" t="inlineStr"/>
      <c r="AE165" s="29" t="inlineStr">
        <is>
          <t>Unknown</t>
        </is>
      </c>
      <c r="AF165" s="29" t="inlineStr"/>
      <c r="AG165" s="29" t="inlineStr">
        <is>
          <t>Unknown</t>
        </is>
      </c>
      <c r="AH165" s="29" t="inlineStr">
        <is>
          <t>Unknown</t>
        </is>
      </c>
      <c r="AI165" s="29" t="inlineStr">
        <is>
          <t>Searched source code for feature implementation but found no evidence.</t>
        </is>
      </c>
      <c r="AJ165" s="29" t="inlineStr">
        <is>
          <t>Not verified</t>
        </is>
      </c>
      <c r="AK165" s="29" t="inlineStr"/>
      <c r="AL165" s="29" t="inlineStr"/>
      <c r="AM165" s="29" t="inlineStr"/>
      <c r="AN165" s="29" t="inlineStr"/>
      <c r="AO165" s="29" t="inlineStr">
        <is>
          <t>8bc0dcb2a1da1b21368c5536aaeef829d587f316</t>
        </is>
      </c>
      <c r="AP165" s="29" t="inlineStr">
        <is>
          <t>Low</t>
        </is>
      </c>
      <c r="AQ165" s="29" t="inlineStr">
        <is>
          <t>Not assessed</t>
        </is>
      </c>
      <c r="AR165" s="29" t="inlineStr">
        <is>
          <t>Not assessed</t>
        </is>
      </c>
      <c r="AS165" s="29" t="inlineStr">
        <is>
          <t>Not assessed</t>
        </is>
      </c>
      <c r="AT165" s="29" t="inlineStr">
        <is>
          <t>Not assessed</t>
        </is>
      </c>
      <c r="AU165" s="29" t="inlineStr">
        <is>
          <t>Not assessed</t>
        </is>
      </c>
      <c r="AV165" s="29" t="inlineStr">
        <is>
          <t>Not assessed</t>
        </is>
      </c>
      <c r="AW165" s="29" t="inlineStr">
        <is>
          <t>Not assessed</t>
        </is>
      </c>
      <c r="AX165" s="29" t="inlineStr">
        <is>
          <t>Not assessed</t>
        </is>
      </c>
      <c r="AY165" s="29" t="inlineStr">
        <is>
          <t>Not assessed</t>
        </is>
      </c>
      <c r="AZ165" s="29" t="inlineStr">
        <is>
          <t>Not assessed</t>
        </is>
      </c>
      <c r="BA165" s="29" t="inlineStr">
        <is>
          <t>Not assessed</t>
        </is>
      </c>
      <c r="BB165" s="29" t="inlineStr">
        <is>
          <t>Not assessed</t>
        </is>
      </c>
      <c r="BC165" s="29" t="inlineStr">
        <is>
          <t>Not assessed</t>
        </is>
      </c>
      <c r="BD165" s="29" t="inlineStr">
        <is>
          <t>Not assessed</t>
        </is>
      </c>
      <c r="BE165" s="29" t="inlineStr">
        <is>
          <t>Development required</t>
        </is>
      </c>
      <c r="BF165" s="29" t="inlineStr">
        <is>
          <t>Physical implementation is not complete against the stated requirement.; Searched source code for feature implementation but found no evidence.</t>
        </is>
      </c>
      <c r="BG165" s="29" t="inlineStr"/>
      <c r="BH165" s="29" t="inlineStr"/>
      <c r="BI165" s="29" t="inlineStr"/>
      <c r="BJ165" s="29" t="inlineStr"/>
      <c r="BK165" s="29" t="inlineStr">
        <is>
          <t>Evidence reconciled against the reviewed source revision. No production approval is inferred from implementation or file presence.</t>
        </is>
      </c>
      <c r="BL165" s="29" t="inlineStr">
        <is>
          <t>2026-08-02</t>
        </is>
      </c>
    </row>
    <row r="166" ht="42" customHeight="1">
      <c r="A166" s="29" t="inlineStr">
        <is>
          <t>BLYP-09-004</t>
        </is>
      </c>
      <c r="B166" s="29" t="inlineStr"/>
      <c r="C166" s="29" t="inlineStr">
        <is>
          <t>Free and £4.99 membership</t>
        </is>
      </c>
      <c r="D166" s="29" t="n">
        <v>9</v>
      </c>
      <c r="E166" s="29" t="n">
        <v>4</v>
      </c>
      <c r="F166" s="29" t="inlineStr">
        <is>
          <t>Rule</t>
        </is>
      </c>
      <c r="G166" s="29" t="inlineStr">
        <is>
          <t>Limited daily free BLYP Bar allowance</t>
        </is>
      </c>
      <c r="H166" s="29" t="inlineStr">
        <is>
          <t>Limited daily free BLYP Bar allowance</t>
        </is>
      </c>
      <c r="I166" s="29" t="inlineStr">
        <is>
          <t>/home/ubuntu/blyp_product_requirements.md :: Section 9 — Free and £4.99 membership</t>
        </is>
      </c>
      <c r="J166" s="29" t="inlineStr">
        <is>
          <t>/home/ubuntu/BLYP_COMPLETE_FEATURE_LIST.md:220</t>
        </is>
      </c>
      <c r="K166" s="29" t="inlineStr">
        <is>
          <t>Required</t>
        </is>
      </c>
      <c r="L166" s="29" t="inlineStr">
        <is>
          <t>Applicable BLYP member</t>
        </is>
      </c>
      <c r="M166" s="29" t="inlineStr">
        <is>
          <t>BLYP mobile application and supporting production services</t>
        </is>
      </c>
      <c r="N166" s="29" t="inlineStr">
        <is>
          <t>Limited daily free BLYP Bar allowance</t>
        </is>
      </c>
      <c r="O166" s="29" t="inlineStr">
        <is>
          <t>Not explicitly defined in the product source; requires accountable product approval before production sign-off.</t>
        </is>
      </c>
      <c r="P166" s="29" t="inlineStr"/>
      <c r="Q166" s="29" t="inlineStr">
        <is>
          <t>No evidence</t>
        </is>
      </c>
      <c r="R166" s="29" t="inlineStr"/>
      <c r="S166" s="29" t="inlineStr">
        <is>
          <t>Not found</t>
        </is>
      </c>
      <c r="T166" s="29" t="inlineStr"/>
      <c r="U166" s="29" t="inlineStr"/>
      <c r="V166" s="29" t="inlineStr"/>
      <c r="W166" s="29" t="inlineStr"/>
      <c r="X166" s="29" t="inlineStr"/>
      <c r="Y166" s="29" t="inlineStr"/>
      <c r="Z166" s="29" t="inlineStr"/>
      <c r="AA166" s="29" t="inlineStr"/>
      <c r="AB166" s="29" t="inlineStr"/>
      <c r="AC166" s="29" t="inlineStr"/>
      <c r="AD166" s="29" t="inlineStr"/>
      <c r="AE166" s="29" t="inlineStr">
        <is>
          <t>Unknown</t>
        </is>
      </c>
      <c r="AF166" s="29" t="inlineStr"/>
      <c r="AG166" s="29" t="inlineStr">
        <is>
          <t>Unknown</t>
        </is>
      </c>
      <c r="AH166" s="29" t="inlineStr">
        <is>
          <t>Unknown</t>
        </is>
      </c>
      <c r="AI166" s="29" t="inlineStr">
        <is>
          <t>Searched source code for feature implementation but found no evidence.</t>
        </is>
      </c>
      <c r="AJ166" s="29" t="inlineStr">
        <is>
          <t>Not verified</t>
        </is>
      </c>
      <c r="AK166" s="29" t="inlineStr"/>
      <c r="AL166" s="29" t="inlineStr"/>
      <c r="AM166" s="29" t="inlineStr"/>
      <c r="AN166" s="29" t="inlineStr"/>
      <c r="AO166" s="29" t="inlineStr">
        <is>
          <t>8bc0dcb2a1da1b21368c5536aaeef829d587f316</t>
        </is>
      </c>
      <c r="AP166" s="29" t="inlineStr">
        <is>
          <t>Low</t>
        </is>
      </c>
      <c r="AQ166" s="29" t="inlineStr">
        <is>
          <t>Not assessed</t>
        </is>
      </c>
      <c r="AR166" s="29" t="inlineStr">
        <is>
          <t>Not assessed</t>
        </is>
      </c>
      <c r="AS166" s="29" t="inlineStr">
        <is>
          <t>Not assessed</t>
        </is>
      </c>
      <c r="AT166" s="29" t="inlineStr">
        <is>
          <t>Not assessed</t>
        </is>
      </c>
      <c r="AU166" s="29" t="inlineStr">
        <is>
          <t>Not assessed</t>
        </is>
      </c>
      <c r="AV166" s="29" t="inlineStr">
        <is>
          <t>Not assessed</t>
        </is>
      </c>
      <c r="AW166" s="29" t="inlineStr">
        <is>
          <t>Not assessed</t>
        </is>
      </c>
      <c r="AX166" s="29" t="inlineStr">
        <is>
          <t>Not assessed</t>
        </is>
      </c>
      <c r="AY166" s="29" t="inlineStr">
        <is>
          <t>Not assessed</t>
        </is>
      </c>
      <c r="AZ166" s="29" t="inlineStr">
        <is>
          <t>Not assessed</t>
        </is>
      </c>
      <c r="BA166" s="29" t="inlineStr">
        <is>
          <t>Not assessed</t>
        </is>
      </c>
      <c r="BB166" s="29" t="inlineStr">
        <is>
          <t>Not assessed</t>
        </is>
      </c>
      <c r="BC166" s="29" t="inlineStr">
        <is>
          <t>Not assessed</t>
        </is>
      </c>
      <c r="BD166" s="29" t="inlineStr">
        <is>
          <t>Not assessed</t>
        </is>
      </c>
      <c r="BE166" s="29" t="inlineStr">
        <is>
          <t>Development required</t>
        </is>
      </c>
      <c r="BF166" s="29" t="inlineStr">
        <is>
          <t>Physical implementation is not complete against the stated requirement.; Searched source code for feature implementation but found no evidence.</t>
        </is>
      </c>
      <c r="BG166" s="29" t="inlineStr"/>
      <c r="BH166" s="29" t="inlineStr"/>
      <c r="BI166" s="29" t="inlineStr"/>
      <c r="BJ166" s="29" t="inlineStr"/>
      <c r="BK166" s="29" t="inlineStr">
        <is>
          <t>Evidence reconciled against the reviewed source revision. No production approval is inferred from implementation or file presence.</t>
        </is>
      </c>
      <c r="BL166" s="29" t="inlineStr">
        <is>
          <t>2026-08-02</t>
        </is>
      </c>
    </row>
    <row r="167" ht="42" customHeight="1">
      <c r="A167" s="29" t="inlineStr">
        <is>
          <t>BLYP-09-005</t>
        </is>
      </c>
      <c r="B167" s="29" t="inlineStr"/>
      <c r="C167" s="29" t="inlineStr">
        <is>
          <t>Free and £4.99 membership</t>
        </is>
      </c>
      <c r="D167" s="29" t="n">
        <v>9</v>
      </c>
      <c r="E167" s="29" t="n">
        <v>5</v>
      </c>
      <c r="F167" s="29" t="inlineStr">
        <is>
          <t>Feature</t>
        </is>
      </c>
      <c r="G167" s="29" t="inlineStr">
        <is>
          <t>One free AI-posting generation per day</t>
        </is>
      </c>
      <c r="H167" s="29" t="inlineStr">
        <is>
          <t>One free AI-posting generation per day</t>
        </is>
      </c>
      <c r="I167" s="29" t="inlineStr">
        <is>
          <t>/home/ubuntu/blyp_product_requirements.md :: Section 9 — Free and £4.99 membership</t>
        </is>
      </c>
      <c r="J167" s="29" t="inlineStr">
        <is>
          <t>/home/ubuntu/BLYP_COMPLETE_FEATURE_LIST.md:221</t>
        </is>
      </c>
      <c r="K167" s="29" t="inlineStr">
        <is>
          <t>Required</t>
        </is>
      </c>
      <c r="L167" s="29" t="inlineStr">
        <is>
          <t>Applicable BLYP member</t>
        </is>
      </c>
      <c r="M167" s="29" t="inlineStr">
        <is>
          <t>BLYP mobile application and supporting production services</t>
        </is>
      </c>
      <c r="N167" s="29" t="inlineStr">
        <is>
          <t>One free AI-posting generation per day</t>
        </is>
      </c>
      <c r="O167" s="29" t="inlineStr">
        <is>
          <t>Not explicitly defined in the product source; requires accountable product approval before production sign-off.</t>
        </is>
      </c>
      <c r="P167" s="29" t="inlineStr"/>
      <c r="Q167" s="29" t="inlineStr">
        <is>
          <t>No evidence</t>
        </is>
      </c>
      <c r="R167" s="29" t="inlineStr"/>
      <c r="S167" s="29" t="inlineStr">
        <is>
          <t>Not found</t>
        </is>
      </c>
      <c r="T167" s="29" t="inlineStr"/>
      <c r="U167" s="29" t="inlineStr"/>
      <c r="V167" s="29" t="inlineStr"/>
      <c r="W167" s="29" t="inlineStr"/>
      <c r="X167" s="29" t="inlineStr"/>
      <c r="Y167" s="29" t="inlineStr"/>
      <c r="Z167" s="29" t="inlineStr"/>
      <c r="AA167" s="29" t="inlineStr"/>
      <c r="AB167" s="29" t="inlineStr"/>
      <c r="AC167" s="29" t="inlineStr"/>
      <c r="AD167" s="29" t="inlineStr"/>
      <c r="AE167" s="29" t="inlineStr">
        <is>
          <t>Unknown</t>
        </is>
      </c>
      <c r="AF167" s="29" t="inlineStr"/>
      <c r="AG167" s="29" t="inlineStr">
        <is>
          <t>Unknown</t>
        </is>
      </c>
      <c r="AH167" s="29" t="inlineStr">
        <is>
          <t>Unknown</t>
        </is>
      </c>
      <c r="AI167" s="29" t="inlineStr">
        <is>
          <t>Searched source code for feature implementation but found no evidence.</t>
        </is>
      </c>
      <c r="AJ167" s="29" t="inlineStr">
        <is>
          <t>Not verified</t>
        </is>
      </c>
      <c r="AK167" s="29" t="inlineStr"/>
      <c r="AL167" s="29" t="inlineStr"/>
      <c r="AM167" s="29" t="inlineStr"/>
      <c r="AN167" s="29" t="inlineStr"/>
      <c r="AO167" s="29" t="inlineStr">
        <is>
          <t>8bc0dcb2a1da1b21368c5536aaeef829d587f316</t>
        </is>
      </c>
      <c r="AP167" s="29" t="inlineStr">
        <is>
          <t>Low</t>
        </is>
      </c>
      <c r="AQ167" s="29" t="inlineStr">
        <is>
          <t>Not assessed</t>
        </is>
      </c>
      <c r="AR167" s="29" t="inlineStr">
        <is>
          <t>Not assessed</t>
        </is>
      </c>
      <c r="AS167" s="29" t="inlineStr">
        <is>
          <t>Not assessed</t>
        </is>
      </c>
      <c r="AT167" s="29" t="inlineStr">
        <is>
          <t>Not assessed</t>
        </is>
      </c>
      <c r="AU167" s="29" t="inlineStr">
        <is>
          <t>Not assessed</t>
        </is>
      </c>
      <c r="AV167" s="29" t="inlineStr">
        <is>
          <t>Not assessed</t>
        </is>
      </c>
      <c r="AW167" s="29" t="inlineStr">
        <is>
          <t>Not assessed</t>
        </is>
      </c>
      <c r="AX167" s="29" t="inlineStr">
        <is>
          <t>Not assessed</t>
        </is>
      </c>
      <c r="AY167" s="29" t="inlineStr">
        <is>
          <t>Not assessed</t>
        </is>
      </c>
      <c r="AZ167" s="29" t="inlineStr">
        <is>
          <t>Not assessed</t>
        </is>
      </c>
      <c r="BA167" s="29" t="inlineStr">
        <is>
          <t>Not assessed</t>
        </is>
      </c>
      <c r="BB167" s="29" t="inlineStr">
        <is>
          <t>Not assessed</t>
        </is>
      </c>
      <c r="BC167" s="29" t="inlineStr">
        <is>
          <t>Not assessed</t>
        </is>
      </c>
      <c r="BD167" s="29" t="inlineStr">
        <is>
          <t>Not assessed</t>
        </is>
      </c>
      <c r="BE167" s="29" t="inlineStr">
        <is>
          <t>Development required</t>
        </is>
      </c>
      <c r="BF167" s="29" t="inlineStr">
        <is>
          <t>Physical implementation is not complete against the stated requirement.; Searched source code for feature implementation but found no evidence.</t>
        </is>
      </c>
      <c r="BG167" s="29" t="inlineStr"/>
      <c r="BH167" s="29" t="inlineStr"/>
      <c r="BI167" s="29" t="inlineStr"/>
      <c r="BJ167" s="29" t="inlineStr"/>
      <c r="BK167" s="29" t="inlineStr">
        <is>
          <t>Evidence reconciled against the reviewed source revision. No production approval is inferred from implementation or file presence.</t>
        </is>
      </c>
      <c r="BL167" s="29" t="inlineStr">
        <is>
          <t>2026-08-02</t>
        </is>
      </c>
    </row>
    <row r="168" ht="42" customHeight="1">
      <c r="A168" s="29" t="inlineStr">
        <is>
          <t>BLYP-09-006</t>
        </is>
      </c>
      <c r="B168" s="29" t="inlineStr"/>
      <c r="C168" s="29" t="inlineStr">
        <is>
          <t>Free and £4.99 membership</t>
        </is>
      </c>
      <c r="D168" s="29" t="n">
        <v>9</v>
      </c>
      <c r="E168" s="29" t="n">
        <v>6</v>
      </c>
      <c r="F168" s="29" t="inlineStr">
        <is>
          <t>Feature</t>
        </is>
      </c>
      <c r="G168" s="29" t="inlineStr">
        <is>
          <t>Higher paid AI allowance</t>
        </is>
      </c>
      <c r="H168" s="29" t="inlineStr">
        <is>
          <t>Higher paid AI allowance</t>
        </is>
      </c>
      <c r="I168" s="29" t="inlineStr">
        <is>
          <t>/home/ubuntu/blyp_product_requirements.md :: Section 9 — Free and £4.99 membership</t>
        </is>
      </c>
      <c r="J168" s="29" t="inlineStr">
        <is>
          <t>/home/ubuntu/BLYP_COMPLETE_FEATURE_LIST.md:222</t>
        </is>
      </c>
      <c r="K168" s="29" t="inlineStr">
        <is>
          <t>Required</t>
        </is>
      </c>
      <c r="L168" s="29" t="inlineStr">
        <is>
          <t>Applicable BLYP member</t>
        </is>
      </c>
      <c r="M168" s="29" t="inlineStr">
        <is>
          <t>BLYP mobile application and supporting production services</t>
        </is>
      </c>
      <c r="N168" s="29" t="inlineStr">
        <is>
          <t>Higher paid AI allowance</t>
        </is>
      </c>
      <c r="O168" s="29" t="inlineStr">
        <is>
          <t>Not explicitly defined in the product source; requires accountable product approval before production sign-off.</t>
        </is>
      </c>
      <c r="P168" s="29" t="inlineStr"/>
      <c r="Q168" s="29" t="inlineStr">
        <is>
          <t>Partial</t>
        </is>
      </c>
      <c r="R168" s="29" t="inlineStr">
        <is>
          <t>Plus gating exists, but complete metering does not.</t>
        </is>
      </c>
      <c r="S168" s="29" t="inlineStr">
        <is>
          <t>Not found</t>
        </is>
      </c>
      <c r="T168" s="29" t="inlineStr"/>
      <c r="U168" s="29" t="inlineStr"/>
      <c r="V168" s="29" t="inlineStr"/>
      <c r="W168" s="29" t="inlineStr"/>
      <c r="X168" s="29" t="inlineStr"/>
      <c r="Y168" s="29" t="inlineStr"/>
      <c r="Z168" s="29" t="inlineStr"/>
      <c r="AA168" s="29" t="inlineStr"/>
      <c r="AB168" s="29" t="inlineStr"/>
      <c r="AC168" s="29" t="inlineStr"/>
      <c r="AD168" s="29" t="inlineStr"/>
      <c r="AE168" s="29" t="inlineStr">
        <is>
          <t>Unknown</t>
        </is>
      </c>
      <c r="AF168" s="29" t="inlineStr"/>
      <c r="AG168" s="29" t="inlineStr">
        <is>
          <t>Unknown</t>
        </is>
      </c>
      <c r="AH168" s="29" t="inlineStr">
        <is>
          <t>Unknown</t>
        </is>
      </c>
      <c r="AI168" s="29" t="inlineStr">
        <is>
          <t>Searched source code for feature implementation but found no evidence.</t>
        </is>
      </c>
      <c r="AJ168" s="29" t="inlineStr">
        <is>
          <t>Not verified</t>
        </is>
      </c>
      <c r="AK168" s="29" t="inlineStr"/>
      <c r="AL168" s="29" t="inlineStr"/>
      <c r="AM168" s="29" t="inlineStr"/>
      <c r="AN168" s="29" t="inlineStr"/>
      <c r="AO168" s="29" t="inlineStr">
        <is>
          <t>8bc0dcb2a1da1b21368c5536aaeef829d587f316</t>
        </is>
      </c>
      <c r="AP168" s="29" t="inlineStr">
        <is>
          <t>Low</t>
        </is>
      </c>
      <c r="AQ168" s="29" t="inlineStr">
        <is>
          <t>Not assessed</t>
        </is>
      </c>
      <c r="AR168" s="29" t="inlineStr">
        <is>
          <t>Not assessed</t>
        </is>
      </c>
      <c r="AS168" s="29" t="inlineStr">
        <is>
          <t>Not assessed</t>
        </is>
      </c>
      <c r="AT168" s="29" t="inlineStr">
        <is>
          <t>Not assessed</t>
        </is>
      </c>
      <c r="AU168" s="29" t="inlineStr">
        <is>
          <t>Not assessed</t>
        </is>
      </c>
      <c r="AV168" s="29" t="inlineStr">
        <is>
          <t>Not assessed</t>
        </is>
      </c>
      <c r="AW168" s="29" t="inlineStr">
        <is>
          <t>Not assessed</t>
        </is>
      </c>
      <c r="AX168" s="29" t="inlineStr">
        <is>
          <t>Not assessed</t>
        </is>
      </c>
      <c r="AY168" s="29" t="inlineStr">
        <is>
          <t>Not assessed</t>
        </is>
      </c>
      <c r="AZ168" s="29" t="inlineStr">
        <is>
          <t>Not assessed</t>
        </is>
      </c>
      <c r="BA168" s="29" t="inlineStr">
        <is>
          <t>Not assessed</t>
        </is>
      </c>
      <c r="BB168" s="29" t="inlineStr">
        <is>
          <t>Not assessed</t>
        </is>
      </c>
      <c r="BC168" s="29" t="inlineStr">
        <is>
          <t>Not assessed</t>
        </is>
      </c>
      <c r="BD168" s="29" t="inlineStr">
        <is>
          <t>Not assessed</t>
        </is>
      </c>
      <c r="BE168" s="29" t="inlineStr">
        <is>
          <t>Development required</t>
        </is>
      </c>
      <c r="BF168" s="29" t="inlineStr">
        <is>
          <t>Physical implementation is not complete against the stated requirement.; Searched source code for feature implementation but found no evidence.</t>
        </is>
      </c>
      <c r="BG168" s="29" t="inlineStr"/>
      <c r="BH168" s="29" t="inlineStr"/>
      <c r="BI168" s="29" t="inlineStr"/>
      <c r="BJ168" s="29" t="inlineStr"/>
      <c r="BK168" s="29" t="inlineStr">
        <is>
          <t>Evidence reconciled against the reviewed source revision. No production approval is inferred from implementation or file presence.</t>
        </is>
      </c>
      <c r="BL168" s="29" t="inlineStr">
        <is>
          <t>2026-08-02</t>
        </is>
      </c>
    </row>
    <row r="169" ht="42" customHeight="1">
      <c r="A169" s="29" t="inlineStr">
        <is>
          <t>BLYP-09-007</t>
        </is>
      </c>
      <c r="B169" s="29" t="inlineStr"/>
      <c r="C169" s="29" t="inlineStr">
        <is>
          <t>Free and £4.99 membership</t>
        </is>
      </c>
      <c r="D169" s="29" t="n">
        <v>9</v>
      </c>
      <c r="E169" s="29" t="n">
        <v>7</v>
      </c>
      <c r="F169" s="29" t="inlineStr">
        <is>
          <t>Feature</t>
        </is>
      </c>
      <c r="G169" s="29" t="inlineStr">
        <is>
          <t>Higher paid BLYP Bar allowance</t>
        </is>
      </c>
      <c r="H169" s="29" t="inlineStr">
        <is>
          <t>Higher paid BLYP Bar allowance</t>
        </is>
      </c>
      <c r="I169" s="29" t="inlineStr">
        <is>
          <t>/home/ubuntu/blyp_product_requirements.md :: Section 9 — Free and £4.99 membership</t>
        </is>
      </c>
      <c r="J169" s="29" t="inlineStr">
        <is>
          <t>/home/ubuntu/BLYP_COMPLETE_FEATURE_LIST.md:223</t>
        </is>
      </c>
      <c r="K169" s="29" t="inlineStr">
        <is>
          <t>Required</t>
        </is>
      </c>
      <c r="L169" s="29" t="inlineStr">
        <is>
          <t>Applicable BLYP member</t>
        </is>
      </c>
      <c r="M169" s="29" t="inlineStr">
        <is>
          <t>BLYP mobile application and supporting production services</t>
        </is>
      </c>
      <c r="N169" s="29" t="inlineStr">
        <is>
          <t>Higher paid BLYP Bar allowance</t>
        </is>
      </c>
      <c r="O169" s="29" t="inlineStr">
        <is>
          <t>Not explicitly defined in the product source; requires accountable product approval before production sign-off.</t>
        </is>
      </c>
      <c r="P169" s="29" t="inlineStr"/>
      <c r="Q169" s="29" t="inlineStr">
        <is>
          <t>Partial</t>
        </is>
      </c>
      <c r="R169" s="29" t="inlineStr"/>
      <c r="S169" s="29" t="inlineStr">
        <is>
          <t>Not found</t>
        </is>
      </c>
      <c r="T169" s="29" t="inlineStr"/>
      <c r="U169" s="29" t="inlineStr"/>
      <c r="V169" s="29" t="inlineStr"/>
      <c r="W169" s="29" t="inlineStr"/>
      <c r="X169" s="29" t="inlineStr"/>
      <c r="Y169" s="29" t="inlineStr"/>
      <c r="Z169" s="29" t="inlineStr"/>
      <c r="AA169" s="29" t="inlineStr"/>
      <c r="AB169" s="29" t="inlineStr"/>
      <c r="AC169" s="29" t="inlineStr"/>
      <c r="AD169" s="29" t="inlineStr"/>
      <c r="AE169" s="29" t="inlineStr">
        <is>
          <t>Unknown</t>
        </is>
      </c>
      <c r="AF169" s="29" t="inlineStr"/>
      <c r="AG169" s="29" t="inlineStr">
        <is>
          <t>Unknown</t>
        </is>
      </c>
      <c r="AH169" s="29" t="inlineStr">
        <is>
          <t>Unknown</t>
        </is>
      </c>
      <c r="AI169" s="29" t="inlineStr">
        <is>
          <t>Searched source code for feature implementation but found no evidence.</t>
        </is>
      </c>
      <c r="AJ169" s="29" t="inlineStr">
        <is>
          <t>Not verified</t>
        </is>
      </c>
      <c r="AK169" s="29" t="inlineStr"/>
      <c r="AL169" s="29" t="inlineStr"/>
      <c r="AM169" s="29" t="inlineStr"/>
      <c r="AN169" s="29" t="inlineStr"/>
      <c r="AO169" s="29" t="inlineStr">
        <is>
          <t>8bc0dcb2a1da1b21368c5536aaeef829d587f316</t>
        </is>
      </c>
      <c r="AP169" s="29" t="inlineStr">
        <is>
          <t>Low</t>
        </is>
      </c>
      <c r="AQ169" s="29" t="inlineStr">
        <is>
          <t>Not assessed</t>
        </is>
      </c>
      <c r="AR169" s="29" t="inlineStr">
        <is>
          <t>Not assessed</t>
        </is>
      </c>
      <c r="AS169" s="29" t="inlineStr">
        <is>
          <t>Not assessed</t>
        </is>
      </c>
      <c r="AT169" s="29" t="inlineStr">
        <is>
          <t>Not assessed</t>
        </is>
      </c>
      <c r="AU169" s="29" t="inlineStr">
        <is>
          <t>Not assessed</t>
        </is>
      </c>
      <c r="AV169" s="29" t="inlineStr">
        <is>
          <t>Not assessed</t>
        </is>
      </c>
      <c r="AW169" s="29" t="inlineStr">
        <is>
          <t>Not assessed</t>
        </is>
      </c>
      <c r="AX169" s="29" t="inlineStr">
        <is>
          <t>Not assessed</t>
        </is>
      </c>
      <c r="AY169" s="29" t="inlineStr">
        <is>
          <t>Not assessed</t>
        </is>
      </c>
      <c r="AZ169" s="29" t="inlineStr">
        <is>
          <t>Not assessed</t>
        </is>
      </c>
      <c r="BA169" s="29" t="inlineStr">
        <is>
          <t>Not assessed</t>
        </is>
      </c>
      <c r="BB169" s="29" t="inlineStr">
        <is>
          <t>Not assessed</t>
        </is>
      </c>
      <c r="BC169" s="29" t="inlineStr">
        <is>
          <t>Not assessed</t>
        </is>
      </c>
      <c r="BD169" s="29" t="inlineStr">
        <is>
          <t>Not assessed</t>
        </is>
      </c>
      <c r="BE169" s="29" t="inlineStr">
        <is>
          <t>Development required</t>
        </is>
      </c>
      <c r="BF169" s="29" t="inlineStr">
        <is>
          <t>Physical implementation is not complete against the stated requirement.; Searched source code for feature implementation but found no evidence.</t>
        </is>
      </c>
      <c r="BG169" s="29" t="inlineStr"/>
      <c r="BH169" s="29" t="inlineStr"/>
      <c r="BI169" s="29" t="inlineStr"/>
      <c r="BJ169" s="29" t="inlineStr"/>
      <c r="BK169" s="29" t="inlineStr">
        <is>
          <t>Evidence reconciled against the reviewed source revision. No production approval is inferred from implementation or file presence.</t>
        </is>
      </c>
      <c r="BL169" s="29" t="inlineStr">
        <is>
          <t>2026-08-02</t>
        </is>
      </c>
    </row>
    <row r="170" ht="42" customHeight="1">
      <c r="A170" s="29" t="inlineStr">
        <is>
          <t>BLYP-09-008</t>
        </is>
      </c>
      <c r="B170" s="29" t="inlineStr"/>
      <c r="C170" s="29" t="inlineStr">
        <is>
          <t>Free and £4.99 membership</t>
        </is>
      </c>
      <c r="D170" s="29" t="n">
        <v>9</v>
      </c>
      <c r="E170" s="29" t="n">
        <v>8</v>
      </c>
      <c r="F170" s="29" t="inlineStr">
        <is>
          <t>Rule</t>
        </is>
      </c>
      <c r="G170" s="29" t="inlineStr">
        <is>
          <t>Fair-use safeguards</t>
        </is>
      </c>
      <c r="H170" s="29" t="inlineStr">
        <is>
          <t>Fair-use safeguards</t>
        </is>
      </c>
      <c r="I170" s="29" t="inlineStr">
        <is>
          <t>/home/ubuntu/blyp_product_requirements.md :: Section 9 — Free and £4.99 membership</t>
        </is>
      </c>
      <c r="J170" s="29" t="inlineStr">
        <is>
          <t>/home/ubuntu/BLYP_COMPLETE_FEATURE_LIST.md:224</t>
        </is>
      </c>
      <c r="K170" s="29" t="inlineStr">
        <is>
          <t>Required</t>
        </is>
      </c>
      <c r="L170" s="29" t="inlineStr">
        <is>
          <t>Applicable BLYP member</t>
        </is>
      </c>
      <c r="M170" s="29" t="inlineStr">
        <is>
          <t>BLYP mobile application and supporting production services</t>
        </is>
      </c>
      <c r="N170" s="29" t="inlineStr">
        <is>
          <t>Fair-use safeguards</t>
        </is>
      </c>
      <c r="O170" s="29" t="inlineStr">
        <is>
          <t>Not explicitly defined in the product source; requires accountable product approval before production sign-off.</t>
        </is>
      </c>
      <c r="P170" s="29" t="inlineStr"/>
      <c r="Q170" s="29" t="inlineStr">
        <is>
          <t>No evidence</t>
        </is>
      </c>
      <c r="R170" s="29" t="inlineStr"/>
      <c r="S170" s="29" t="inlineStr">
        <is>
          <t>Not found</t>
        </is>
      </c>
      <c r="T170" s="29" t="inlineStr"/>
      <c r="U170" s="29" t="inlineStr"/>
      <c r="V170" s="29" t="inlineStr"/>
      <c r="W170" s="29" t="inlineStr"/>
      <c r="X170" s="29" t="inlineStr"/>
      <c r="Y170" s="29" t="inlineStr"/>
      <c r="Z170" s="29" t="inlineStr"/>
      <c r="AA170" s="29" t="inlineStr"/>
      <c r="AB170" s="29" t="inlineStr"/>
      <c r="AC170" s="29" t="inlineStr"/>
      <c r="AD170" s="29" t="inlineStr"/>
      <c r="AE170" s="29" t="inlineStr">
        <is>
          <t>Unknown</t>
        </is>
      </c>
      <c r="AF170" s="29" t="inlineStr"/>
      <c r="AG170" s="29" t="inlineStr">
        <is>
          <t>Unknown</t>
        </is>
      </c>
      <c r="AH170" s="29" t="inlineStr">
        <is>
          <t>Unknown</t>
        </is>
      </c>
      <c r="AI170" s="29" t="inlineStr">
        <is>
          <t>Searched source code for feature implementation but found no evidence.</t>
        </is>
      </c>
      <c r="AJ170" s="29" t="inlineStr">
        <is>
          <t>Not verified</t>
        </is>
      </c>
      <c r="AK170" s="29" t="inlineStr"/>
      <c r="AL170" s="29" t="inlineStr"/>
      <c r="AM170" s="29" t="inlineStr"/>
      <c r="AN170" s="29" t="inlineStr"/>
      <c r="AO170" s="29" t="inlineStr">
        <is>
          <t>8bc0dcb2a1da1b21368c5536aaeef829d587f316</t>
        </is>
      </c>
      <c r="AP170" s="29" t="inlineStr">
        <is>
          <t>Low</t>
        </is>
      </c>
      <c r="AQ170" s="29" t="inlineStr">
        <is>
          <t>Not assessed</t>
        </is>
      </c>
      <c r="AR170" s="29" t="inlineStr">
        <is>
          <t>Not assessed</t>
        </is>
      </c>
      <c r="AS170" s="29" t="inlineStr">
        <is>
          <t>Not assessed</t>
        </is>
      </c>
      <c r="AT170" s="29" t="inlineStr">
        <is>
          <t>Not assessed</t>
        </is>
      </c>
      <c r="AU170" s="29" t="inlineStr">
        <is>
          <t>Not assessed</t>
        </is>
      </c>
      <c r="AV170" s="29" t="inlineStr">
        <is>
          <t>Not assessed</t>
        </is>
      </c>
      <c r="AW170" s="29" t="inlineStr">
        <is>
          <t>Not assessed</t>
        </is>
      </c>
      <c r="AX170" s="29" t="inlineStr">
        <is>
          <t>Not assessed</t>
        </is>
      </c>
      <c r="AY170" s="29" t="inlineStr">
        <is>
          <t>Not assessed</t>
        </is>
      </c>
      <c r="AZ170" s="29" t="inlineStr">
        <is>
          <t>Not assessed</t>
        </is>
      </c>
      <c r="BA170" s="29" t="inlineStr">
        <is>
          <t>Not assessed</t>
        </is>
      </c>
      <c r="BB170" s="29" t="inlineStr">
        <is>
          <t>Not assessed</t>
        </is>
      </c>
      <c r="BC170" s="29" t="inlineStr">
        <is>
          <t>Not assessed</t>
        </is>
      </c>
      <c r="BD170" s="29" t="inlineStr">
        <is>
          <t>Not assessed</t>
        </is>
      </c>
      <c r="BE170" s="29" t="inlineStr">
        <is>
          <t>Development required</t>
        </is>
      </c>
      <c r="BF170" s="29" t="inlineStr">
        <is>
          <t>Physical implementation is not complete against the stated requirement.; Searched source code for feature implementation but found no evidence.</t>
        </is>
      </c>
      <c r="BG170" s="29" t="inlineStr"/>
      <c r="BH170" s="29" t="inlineStr"/>
      <c r="BI170" s="29" t="inlineStr"/>
      <c r="BJ170" s="29" t="inlineStr"/>
      <c r="BK170" s="29" t="inlineStr">
        <is>
          <t>Evidence reconciled against the reviewed source revision. No production approval is inferred from implementation or file presence.</t>
        </is>
      </c>
      <c r="BL170" s="29" t="inlineStr">
        <is>
          <t>2026-08-02</t>
        </is>
      </c>
    </row>
    <row r="171" ht="42" customHeight="1">
      <c r="A171" s="29" t="inlineStr">
        <is>
          <t>BLYP-09-009</t>
        </is>
      </c>
      <c r="B171" s="29" t="inlineStr"/>
      <c r="C171" s="29" t="inlineStr">
        <is>
          <t>Free and £4.99 membership</t>
        </is>
      </c>
      <c r="D171" s="29" t="n">
        <v>9</v>
      </c>
      <c r="E171" s="29" t="n">
        <v>9</v>
      </c>
      <c r="F171" s="29" t="inlineStr">
        <is>
          <t>Feature</t>
        </is>
      </c>
      <c r="G171" s="29" t="inlineStr">
        <is>
          <t>Dating included for paid members</t>
        </is>
      </c>
      <c r="H171" s="29" t="inlineStr">
        <is>
          <t>Dating included for paid members</t>
        </is>
      </c>
      <c r="I171" s="29" t="inlineStr">
        <is>
          <t>/home/ubuntu/blyp_product_requirements.md :: Section 9 — Free and £4.99 membership</t>
        </is>
      </c>
      <c r="J171" s="29" t="inlineStr">
        <is>
          <t>/home/ubuntu/BLYP_COMPLETE_FEATURE_LIST.md:225</t>
        </is>
      </c>
      <c r="K171" s="29" t="inlineStr">
        <is>
          <t>Required</t>
        </is>
      </c>
      <c r="L171" s="29" t="inlineStr">
        <is>
          <t>Applicable BLYP member</t>
        </is>
      </c>
      <c r="M171" s="29" t="inlineStr">
        <is>
          <t>BLYP mobile application and supporting production services</t>
        </is>
      </c>
      <c r="N171" s="29" t="inlineStr">
        <is>
          <t>Dating included for paid members</t>
        </is>
      </c>
      <c r="O171" s="29" t="inlineStr">
        <is>
          <t>Not explicitly defined in the product source; requires accountable product approval before production sign-off.</t>
        </is>
      </c>
      <c r="P171" s="29" t="inlineStr"/>
      <c r="Q171" s="29" t="inlineStr">
        <is>
          <t>No evidence</t>
        </is>
      </c>
      <c r="R171" s="29" t="inlineStr"/>
      <c r="S171" s="29" t="inlineStr">
        <is>
          <t>Not found</t>
        </is>
      </c>
      <c r="T171" s="29" t="inlineStr"/>
      <c r="U171" s="29" t="inlineStr"/>
      <c r="V171" s="29" t="inlineStr"/>
      <c r="W171" s="29" t="inlineStr"/>
      <c r="X171" s="29" t="inlineStr"/>
      <c r="Y171" s="29" t="inlineStr"/>
      <c r="Z171" s="29" t="inlineStr"/>
      <c r="AA171" s="29" t="inlineStr"/>
      <c r="AB171" s="29" t="inlineStr"/>
      <c r="AC171" s="29" t="inlineStr"/>
      <c r="AD171" s="29" t="inlineStr"/>
      <c r="AE171" s="29" t="inlineStr">
        <is>
          <t>Unknown</t>
        </is>
      </c>
      <c r="AF171" s="29" t="inlineStr"/>
      <c r="AG171" s="29" t="inlineStr">
        <is>
          <t>Unknown</t>
        </is>
      </c>
      <c r="AH171" s="29" t="inlineStr">
        <is>
          <t>Unknown</t>
        </is>
      </c>
      <c r="AI171" s="29" t="inlineStr">
        <is>
          <t>Searched source code for feature implementation but found no evidence.</t>
        </is>
      </c>
      <c r="AJ171" s="29" t="inlineStr">
        <is>
          <t>Not verified</t>
        </is>
      </c>
      <c r="AK171" s="29" t="inlineStr"/>
      <c r="AL171" s="29" t="inlineStr"/>
      <c r="AM171" s="29" t="inlineStr"/>
      <c r="AN171" s="29" t="inlineStr"/>
      <c r="AO171" s="29" t="inlineStr">
        <is>
          <t>8bc0dcb2a1da1b21368c5536aaeef829d587f316</t>
        </is>
      </c>
      <c r="AP171" s="29" t="inlineStr">
        <is>
          <t>Low</t>
        </is>
      </c>
      <c r="AQ171" s="29" t="inlineStr">
        <is>
          <t>Not assessed</t>
        </is>
      </c>
      <c r="AR171" s="29" t="inlineStr">
        <is>
          <t>Not assessed</t>
        </is>
      </c>
      <c r="AS171" s="29" t="inlineStr">
        <is>
          <t>Not assessed</t>
        </is>
      </c>
      <c r="AT171" s="29" t="inlineStr">
        <is>
          <t>Not assessed</t>
        </is>
      </c>
      <c r="AU171" s="29" t="inlineStr">
        <is>
          <t>Not assessed</t>
        </is>
      </c>
      <c r="AV171" s="29" t="inlineStr">
        <is>
          <t>Not assessed</t>
        </is>
      </c>
      <c r="AW171" s="29" t="inlineStr">
        <is>
          <t>Not assessed</t>
        </is>
      </c>
      <c r="AX171" s="29" t="inlineStr">
        <is>
          <t>Not assessed</t>
        </is>
      </c>
      <c r="AY171" s="29" t="inlineStr">
        <is>
          <t>Not assessed</t>
        </is>
      </c>
      <c r="AZ171" s="29" t="inlineStr">
        <is>
          <t>Not assessed</t>
        </is>
      </c>
      <c r="BA171" s="29" t="inlineStr">
        <is>
          <t>Not assessed</t>
        </is>
      </c>
      <c r="BB171" s="29" t="inlineStr">
        <is>
          <t>Not assessed</t>
        </is>
      </c>
      <c r="BC171" s="29" t="inlineStr">
        <is>
          <t>Not assessed</t>
        </is>
      </c>
      <c r="BD171" s="29" t="inlineStr">
        <is>
          <t>Not assessed</t>
        </is>
      </c>
      <c r="BE171" s="29" t="inlineStr">
        <is>
          <t>Development required</t>
        </is>
      </c>
      <c r="BF171" s="29" t="inlineStr">
        <is>
          <t>Physical implementation is not complete against the stated requirement.; Searched source code for feature implementation but found no evidence.</t>
        </is>
      </c>
      <c r="BG171" s="29" t="inlineStr"/>
      <c r="BH171" s="29" t="inlineStr"/>
      <c r="BI171" s="29" t="inlineStr"/>
      <c r="BJ171" s="29" t="inlineStr"/>
      <c r="BK171" s="29" t="inlineStr">
        <is>
          <t>Evidence reconciled against the reviewed source revision. No production approval is inferred from implementation or file presence.</t>
        </is>
      </c>
      <c r="BL171" s="29" t="inlineStr">
        <is>
          <t>2026-08-02</t>
        </is>
      </c>
    </row>
    <row r="172" ht="42" customHeight="1">
      <c r="A172" s="29" t="inlineStr">
        <is>
          <t>BLYP-09-010</t>
        </is>
      </c>
      <c r="B172" s="29" t="inlineStr"/>
      <c r="C172" s="29" t="inlineStr">
        <is>
          <t>Free and £4.99 membership</t>
        </is>
      </c>
      <c r="D172" s="29" t="n">
        <v>9</v>
      </c>
      <c r="E172" s="29" t="n">
        <v>10</v>
      </c>
      <c r="F172" s="29" t="inlineStr">
        <is>
          <t>Feature</t>
        </is>
      </c>
      <c r="G172" s="29" t="inlineStr">
        <is>
          <t>Complete premium feature entitlement</t>
        </is>
      </c>
      <c r="H172" s="29" t="inlineStr">
        <is>
          <t>Complete premium feature entitlement</t>
        </is>
      </c>
      <c r="I172" s="29" t="inlineStr">
        <is>
          <t>/home/ubuntu/blyp_product_requirements.md :: Section 9 — Free and £4.99 membership</t>
        </is>
      </c>
      <c r="J172" s="29" t="inlineStr">
        <is>
          <t>/home/ubuntu/BLYP_COMPLETE_FEATURE_LIST.md:226</t>
        </is>
      </c>
      <c r="K172" s="29" t="inlineStr">
        <is>
          <t>Required</t>
        </is>
      </c>
      <c r="L172" s="29" t="inlineStr">
        <is>
          <t>Applicable BLYP member</t>
        </is>
      </c>
      <c r="M172" s="29" t="inlineStr">
        <is>
          <t>BLYP mobile application and supporting production services</t>
        </is>
      </c>
      <c r="N172" s="29" t="inlineStr">
        <is>
          <t>Complete premium feature entitlement</t>
        </is>
      </c>
      <c r="O172" s="29" t="inlineStr">
        <is>
          <t>Not explicitly defined in the product source; requires accountable product approval before production sign-off.</t>
        </is>
      </c>
      <c r="P172" s="29" t="inlineStr"/>
      <c r="Q172" s="29" t="inlineStr">
        <is>
          <t>No evidence</t>
        </is>
      </c>
      <c r="R172" s="29" t="inlineStr"/>
      <c r="S172" s="29" t="inlineStr">
        <is>
          <t>Not found</t>
        </is>
      </c>
      <c r="T172" s="29" t="inlineStr"/>
      <c r="U172" s="29" t="inlineStr"/>
      <c r="V172" s="29" t="inlineStr"/>
      <c r="W172" s="29" t="inlineStr"/>
      <c r="X172" s="29" t="inlineStr"/>
      <c r="Y172" s="29" t="inlineStr"/>
      <c r="Z172" s="29" t="inlineStr"/>
      <c r="AA172" s="29" t="inlineStr"/>
      <c r="AB172" s="29" t="inlineStr"/>
      <c r="AC172" s="29" t="inlineStr"/>
      <c r="AD172" s="29" t="inlineStr"/>
      <c r="AE172" s="29" t="inlineStr">
        <is>
          <t>Unknown</t>
        </is>
      </c>
      <c r="AF172" s="29" t="inlineStr"/>
      <c r="AG172" s="29" t="inlineStr">
        <is>
          <t>Unknown</t>
        </is>
      </c>
      <c r="AH172" s="29" t="inlineStr">
        <is>
          <t>Unknown</t>
        </is>
      </c>
      <c r="AI172" s="29" t="inlineStr">
        <is>
          <t>Searched source code for feature implementation but found no evidence.</t>
        </is>
      </c>
      <c r="AJ172" s="29" t="inlineStr">
        <is>
          <t>Not verified</t>
        </is>
      </c>
      <c r="AK172" s="29" t="inlineStr"/>
      <c r="AL172" s="29" t="inlineStr"/>
      <c r="AM172" s="29" t="inlineStr"/>
      <c r="AN172" s="29" t="inlineStr"/>
      <c r="AO172" s="29" t="inlineStr">
        <is>
          <t>8bc0dcb2a1da1b21368c5536aaeef829d587f316</t>
        </is>
      </c>
      <c r="AP172" s="29" t="inlineStr">
        <is>
          <t>Low</t>
        </is>
      </c>
      <c r="AQ172" s="29" t="inlineStr">
        <is>
          <t>Not assessed</t>
        </is>
      </c>
      <c r="AR172" s="29" t="inlineStr">
        <is>
          <t>Not assessed</t>
        </is>
      </c>
      <c r="AS172" s="29" t="inlineStr">
        <is>
          <t>Not assessed</t>
        </is>
      </c>
      <c r="AT172" s="29" t="inlineStr">
        <is>
          <t>Not assessed</t>
        </is>
      </c>
      <c r="AU172" s="29" t="inlineStr">
        <is>
          <t>Not assessed</t>
        </is>
      </c>
      <c r="AV172" s="29" t="inlineStr">
        <is>
          <t>Not assessed</t>
        </is>
      </c>
      <c r="AW172" s="29" t="inlineStr">
        <is>
          <t>Not assessed</t>
        </is>
      </c>
      <c r="AX172" s="29" t="inlineStr">
        <is>
          <t>Not assessed</t>
        </is>
      </c>
      <c r="AY172" s="29" t="inlineStr">
        <is>
          <t>Not assessed</t>
        </is>
      </c>
      <c r="AZ172" s="29" t="inlineStr">
        <is>
          <t>Not assessed</t>
        </is>
      </c>
      <c r="BA172" s="29" t="inlineStr">
        <is>
          <t>Not assessed</t>
        </is>
      </c>
      <c r="BB172" s="29" t="inlineStr">
        <is>
          <t>Not assessed</t>
        </is>
      </c>
      <c r="BC172" s="29" t="inlineStr">
        <is>
          <t>Not assessed</t>
        </is>
      </c>
      <c r="BD172" s="29" t="inlineStr">
        <is>
          <t>Not assessed</t>
        </is>
      </c>
      <c r="BE172" s="29" t="inlineStr">
        <is>
          <t>Development required</t>
        </is>
      </c>
      <c r="BF172" s="29" t="inlineStr">
        <is>
          <t>Physical implementation is not complete against the stated requirement.; Searched source code for feature implementation but found no evidence.</t>
        </is>
      </c>
      <c r="BG172" s="29" t="inlineStr"/>
      <c r="BH172" s="29" t="inlineStr"/>
      <c r="BI172" s="29" t="inlineStr"/>
      <c r="BJ172" s="29" t="inlineStr"/>
      <c r="BK172" s="29" t="inlineStr">
        <is>
          <t>Evidence reconciled against the reviewed source revision. No production approval is inferred from implementation or file presence.</t>
        </is>
      </c>
      <c r="BL172" s="29" t="inlineStr">
        <is>
          <t>2026-08-02</t>
        </is>
      </c>
    </row>
    <row r="173" ht="42" customHeight="1">
      <c r="A173" s="29" t="inlineStr">
        <is>
          <t>BLYP-09-011</t>
        </is>
      </c>
      <c r="B173" s="29" t="inlineStr"/>
      <c r="C173" s="29" t="inlineStr">
        <is>
          <t>Free and £4.99 membership</t>
        </is>
      </c>
      <c r="D173" s="29" t="n">
        <v>9</v>
      </c>
      <c r="E173" s="29" t="n">
        <v>11</v>
      </c>
      <c r="F173" s="29" t="inlineStr">
        <is>
          <t>Feature</t>
        </is>
      </c>
      <c r="G173" s="29" t="inlineStr">
        <is>
          <t>Monthly coin allowance</t>
        </is>
      </c>
      <c r="H173" s="29" t="inlineStr">
        <is>
          <t>Monthly coin allowance</t>
        </is>
      </c>
      <c r="I173" s="29" t="inlineStr">
        <is>
          <t>/home/ubuntu/blyp_product_requirements.md :: Section 9 — Free and £4.99 membership</t>
        </is>
      </c>
      <c r="J173" s="29" t="inlineStr">
        <is>
          <t>/home/ubuntu/BLYP_COMPLETE_FEATURE_LIST.md:227</t>
        </is>
      </c>
      <c r="K173" s="29" t="inlineStr">
        <is>
          <t>Required</t>
        </is>
      </c>
      <c r="L173" s="29" t="inlineStr">
        <is>
          <t>Applicable BLYP member</t>
        </is>
      </c>
      <c r="M173" s="29" t="inlineStr">
        <is>
          <t>BLYP mobile application and supporting production services</t>
        </is>
      </c>
      <c r="N173" s="29" t="inlineStr">
        <is>
          <t>Monthly coin allowance</t>
        </is>
      </c>
      <c r="O173" s="29" t="inlineStr">
        <is>
          <t>Not explicitly defined in the product source; requires accountable product approval before production sign-off.</t>
        </is>
      </c>
      <c r="P173" s="29" t="inlineStr"/>
      <c r="Q173" s="29" t="inlineStr">
        <is>
          <t>No evidence</t>
        </is>
      </c>
      <c r="R173" s="29" t="inlineStr"/>
      <c r="S173" s="29" t="inlineStr">
        <is>
          <t>Not found</t>
        </is>
      </c>
      <c r="T173" s="29" t="inlineStr"/>
      <c r="U173" s="29" t="inlineStr"/>
      <c r="V173" s="29" t="inlineStr"/>
      <c r="W173" s="29" t="inlineStr"/>
      <c r="X173" s="29" t="inlineStr"/>
      <c r="Y173" s="29" t="inlineStr"/>
      <c r="Z173" s="29" t="inlineStr"/>
      <c r="AA173" s="29" t="inlineStr"/>
      <c r="AB173" s="29" t="inlineStr"/>
      <c r="AC173" s="29" t="inlineStr"/>
      <c r="AD173" s="29" t="inlineStr"/>
      <c r="AE173" s="29" t="inlineStr">
        <is>
          <t>Unknown</t>
        </is>
      </c>
      <c r="AF173" s="29" t="inlineStr"/>
      <c r="AG173" s="29" t="inlineStr">
        <is>
          <t>Unknown</t>
        </is>
      </c>
      <c r="AH173" s="29" t="inlineStr">
        <is>
          <t>Unknown</t>
        </is>
      </c>
      <c r="AI173" s="29" t="inlineStr">
        <is>
          <t>Searched source code for feature implementation but found no evidence.</t>
        </is>
      </c>
      <c r="AJ173" s="29" t="inlineStr">
        <is>
          <t>Not verified</t>
        </is>
      </c>
      <c r="AK173" s="29" t="inlineStr"/>
      <c r="AL173" s="29" t="inlineStr"/>
      <c r="AM173" s="29" t="inlineStr"/>
      <c r="AN173" s="29" t="inlineStr"/>
      <c r="AO173" s="29" t="inlineStr">
        <is>
          <t>8bc0dcb2a1da1b21368c5536aaeef829d587f316</t>
        </is>
      </c>
      <c r="AP173" s="29" t="inlineStr">
        <is>
          <t>Low</t>
        </is>
      </c>
      <c r="AQ173" s="29" t="inlineStr">
        <is>
          <t>Not assessed</t>
        </is>
      </c>
      <c r="AR173" s="29" t="inlineStr">
        <is>
          <t>Not assessed</t>
        </is>
      </c>
      <c r="AS173" s="29" t="inlineStr">
        <is>
          <t>Not assessed</t>
        </is>
      </c>
      <c r="AT173" s="29" t="inlineStr">
        <is>
          <t>Not assessed</t>
        </is>
      </c>
      <c r="AU173" s="29" t="inlineStr">
        <is>
          <t>Not assessed</t>
        </is>
      </c>
      <c r="AV173" s="29" t="inlineStr">
        <is>
          <t>Not assessed</t>
        </is>
      </c>
      <c r="AW173" s="29" t="inlineStr">
        <is>
          <t>Not assessed</t>
        </is>
      </c>
      <c r="AX173" s="29" t="inlineStr">
        <is>
          <t>Not assessed</t>
        </is>
      </c>
      <c r="AY173" s="29" t="inlineStr">
        <is>
          <t>Not assessed</t>
        </is>
      </c>
      <c r="AZ173" s="29" t="inlineStr">
        <is>
          <t>Not assessed</t>
        </is>
      </c>
      <c r="BA173" s="29" t="inlineStr">
        <is>
          <t>Not assessed</t>
        </is>
      </c>
      <c r="BB173" s="29" t="inlineStr">
        <is>
          <t>Not assessed</t>
        </is>
      </c>
      <c r="BC173" s="29" t="inlineStr">
        <is>
          <t>Not assessed</t>
        </is>
      </c>
      <c r="BD173" s="29" t="inlineStr">
        <is>
          <t>Not assessed</t>
        </is>
      </c>
      <c r="BE173" s="29" t="inlineStr">
        <is>
          <t>Development required</t>
        </is>
      </c>
      <c r="BF173" s="29" t="inlineStr">
        <is>
          <t>Physical implementation is not complete against the stated requirement.; Searched source code for feature implementation but found no evidence.</t>
        </is>
      </c>
      <c r="BG173" s="29" t="inlineStr"/>
      <c r="BH173" s="29" t="inlineStr"/>
      <c r="BI173" s="29" t="inlineStr"/>
      <c r="BJ173" s="29" t="inlineStr"/>
      <c r="BK173" s="29" t="inlineStr">
        <is>
          <t>Evidence reconciled against the reviewed source revision. No production approval is inferred from implementation or file presence.</t>
        </is>
      </c>
      <c r="BL173" s="29" t="inlineStr">
        <is>
          <t>2026-08-02</t>
        </is>
      </c>
    </row>
    <row r="174" ht="42" customHeight="1">
      <c r="A174" s="29" t="inlineStr">
        <is>
          <t>BLYP-09-012</t>
        </is>
      </c>
      <c r="B174" s="29" t="inlineStr"/>
      <c r="C174" s="29" t="inlineStr">
        <is>
          <t>Free and £4.99 membership</t>
        </is>
      </c>
      <c r="D174" s="29" t="n">
        <v>9</v>
      </c>
      <c r="E174" s="29" t="n">
        <v>12</v>
      </c>
      <c r="F174" s="29" t="inlineStr">
        <is>
          <t>Feature</t>
        </is>
      </c>
      <c r="G174" s="29" t="inlineStr">
        <is>
          <t>Confirmed 999-versus-1,000 coin configuration</t>
        </is>
      </c>
      <c r="H174" s="29" t="inlineStr">
        <is>
          <t>Confirmed 999-versus-1,000 coin configuration</t>
        </is>
      </c>
      <c r="I174" s="29" t="inlineStr">
        <is>
          <t>/home/ubuntu/blyp_product_requirements.md :: Section 9 — Free and £4.99 membership</t>
        </is>
      </c>
      <c r="J174" s="29" t="inlineStr">
        <is>
          <t>/home/ubuntu/BLYP_COMPLETE_FEATURE_LIST.md:228</t>
        </is>
      </c>
      <c r="K174" s="29" t="inlineStr">
        <is>
          <t>Required</t>
        </is>
      </c>
      <c r="L174" s="29" t="inlineStr">
        <is>
          <t>Applicable BLYP member</t>
        </is>
      </c>
      <c r="M174" s="29" t="inlineStr">
        <is>
          <t>BLYP mobile application and supporting production services</t>
        </is>
      </c>
      <c r="N174" s="29" t="inlineStr">
        <is>
          <t>Confirmed 999-versus-1,000 coin configuration</t>
        </is>
      </c>
      <c r="O174" s="29" t="inlineStr">
        <is>
          <t>Not explicitly defined in the product source; requires accountable product approval before production sign-off.</t>
        </is>
      </c>
      <c r="P174" s="29" t="inlineStr"/>
      <c r="Q174" s="29" t="inlineStr">
        <is>
          <t>Needs verification</t>
        </is>
      </c>
      <c r="R174" s="29" t="inlineStr"/>
      <c r="S174" s="29" t="inlineStr">
        <is>
          <t>Not found</t>
        </is>
      </c>
      <c r="T174" s="29" t="inlineStr"/>
      <c r="U174" s="29" t="inlineStr"/>
      <c r="V174" s="29" t="inlineStr"/>
      <c r="W174" s="29" t="inlineStr"/>
      <c r="X174" s="29" t="inlineStr"/>
      <c r="Y174" s="29" t="inlineStr"/>
      <c r="Z174" s="29" t="inlineStr"/>
      <c r="AA174" s="29" t="inlineStr"/>
      <c r="AB174" s="29" t="inlineStr"/>
      <c r="AC174" s="29" t="inlineStr"/>
      <c r="AD174" s="29" t="inlineStr"/>
      <c r="AE174" s="29" t="inlineStr">
        <is>
          <t>Unknown</t>
        </is>
      </c>
      <c r="AF174" s="29" t="inlineStr"/>
      <c r="AG174" s="29" t="inlineStr">
        <is>
          <t>Unknown</t>
        </is>
      </c>
      <c r="AH174" s="29" t="inlineStr">
        <is>
          <t>Unknown</t>
        </is>
      </c>
      <c r="AI174" s="29" t="inlineStr">
        <is>
          <t>Searched source code for feature implementation but found no evidence.</t>
        </is>
      </c>
      <c r="AJ174" s="29" t="inlineStr">
        <is>
          <t>Not verified</t>
        </is>
      </c>
      <c r="AK174" s="29" t="inlineStr"/>
      <c r="AL174" s="29" t="inlineStr"/>
      <c r="AM174" s="29" t="inlineStr"/>
      <c r="AN174" s="29" t="inlineStr"/>
      <c r="AO174" s="29" t="inlineStr">
        <is>
          <t>8bc0dcb2a1da1b21368c5536aaeef829d587f316</t>
        </is>
      </c>
      <c r="AP174" s="29" t="inlineStr">
        <is>
          <t>Low</t>
        </is>
      </c>
      <c r="AQ174" s="29" t="inlineStr">
        <is>
          <t>Not assessed</t>
        </is>
      </c>
      <c r="AR174" s="29" t="inlineStr">
        <is>
          <t>Not assessed</t>
        </is>
      </c>
      <c r="AS174" s="29" t="inlineStr">
        <is>
          <t>Not assessed</t>
        </is>
      </c>
      <c r="AT174" s="29" t="inlineStr">
        <is>
          <t>Not assessed</t>
        </is>
      </c>
      <c r="AU174" s="29" t="inlineStr">
        <is>
          <t>Not assessed</t>
        </is>
      </c>
      <c r="AV174" s="29" t="inlineStr">
        <is>
          <t>Not assessed</t>
        </is>
      </c>
      <c r="AW174" s="29" t="inlineStr">
        <is>
          <t>Not assessed</t>
        </is>
      </c>
      <c r="AX174" s="29" t="inlineStr">
        <is>
          <t>Not assessed</t>
        </is>
      </c>
      <c r="AY174" s="29" t="inlineStr">
        <is>
          <t>Not assessed</t>
        </is>
      </c>
      <c r="AZ174" s="29" t="inlineStr">
        <is>
          <t>Not assessed</t>
        </is>
      </c>
      <c r="BA174" s="29" t="inlineStr">
        <is>
          <t>Not assessed</t>
        </is>
      </c>
      <c r="BB174" s="29" t="inlineStr">
        <is>
          <t>Not assessed</t>
        </is>
      </c>
      <c r="BC174" s="29" t="inlineStr">
        <is>
          <t>Not assessed</t>
        </is>
      </c>
      <c r="BD174" s="29" t="inlineStr">
        <is>
          <t>Not assessed</t>
        </is>
      </c>
      <c r="BE174" s="29" t="inlineStr">
        <is>
          <t>Development required</t>
        </is>
      </c>
      <c r="BF174" s="29" t="inlineStr">
        <is>
          <t>Physical implementation is not complete against the stated requirement.; Searched source code for feature implementation but found no evidence.</t>
        </is>
      </c>
      <c r="BG174" s="29" t="inlineStr"/>
      <c r="BH174" s="29" t="inlineStr"/>
      <c r="BI174" s="29" t="inlineStr"/>
      <c r="BJ174" s="29" t="inlineStr"/>
      <c r="BK174" s="29" t="inlineStr">
        <is>
          <t>Evidence reconciled against the reviewed source revision. No production approval is inferred from implementation or file presence.</t>
        </is>
      </c>
      <c r="BL174" s="29" t="inlineStr">
        <is>
          <t>2026-08-02</t>
        </is>
      </c>
    </row>
    <row r="175" ht="42" customHeight="1">
      <c r="A175" s="29" t="inlineStr">
        <is>
          <t>BLYP-09-013</t>
        </is>
      </c>
      <c r="B175" s="29" t="inlineStr"/>
      <c r="C175" s="29" t="inlineStr">
        <is>
          <t>Free and £4.99 membership</t>
        </is>
      </c>
      <c r="D175" s="29" t="n">
        <v>9</v>
      </c>
      <c r="E175" s="29" t="n">
        <v>13</v>
      </c>
      <c r="F175" s="29" t="inlineStr">
        <is>
          <t>Feature</t>
        </is>
      </c>
      <c r="G175" s="29" t="inlineStr">
        <is>
          <t>Membership-value explanation</t>
        </is>
      </c>
      <c r="H175" s="29" t="inlineStr">
        <is>
          <t>Membership-value explanation</t>
        </is>
      </c>
      <c r="I175" s="29" t="inlineStr">
        <is>
          <t>/home/ubuntu/blyp_product_requirements.md :: Section 9 — Free and £4.99 membership</t>
        </is>
      </c>
      <c r="J175" s="29" t="inlineStr">
        <is>
          <t>/home/ubuntu/BLYP_COMPLETE_FEATURE_LIST.md:229</t>
        </is>
      </c>
      <c r="K175" s="29" t="inlineStr">
        <is>
          <t>Required</t>
        </is>
      </c>
      <c r="L175" s="29" t="inlineStr">
        <is>
          <t>Applicable BLYP member</t>
        </is>
      </c>
      <c r="M175" s="29" t="inlineStr">
        <is>
          <t>BLYP mobile application and supporting production services</t>
        </is>
      </c>
      <c r="N175" s="29" t="inlineStr">
        <is>
          <t>Membership-value explanation</t>
        </is>
      </c>
      <c r="O175" s="29" t="inlineStr">
        <is>
          <t>Not explicitly defined in the product source; requires accountable product approval before production sign-off.</t>
        </is>
      </c>
      <c r="P175" s="29" t="inlineStr"/>
      <c r="Q175" s="29" t="inlineStr">
        <is>
          <t>No evidence</t>
        </is>
      </c>
      <c r="R175" s="29" t="inlineStr"/>
      <c r="S175" s="29" t="inlineStr">
        <is>
          <t>Not found</t>
        </is>
      </c>
      <c r="T175" s="29" t="inlineStr"/>
      <c r="U175" s="29" t="inlineStr"/>
      <c r="V175" s="29" t="inlineStr"/>
      <c r="W175" s="29" t="inlineStr"/>
      <c r="X175" s="29" t="inlineStr"/>
      <c r="Y175" s="29" t="inlineStr"/>
      <c r="Z175" s="29" t="inlineStr"/>
      <c r="AA175" s="29" t="inlineStr"/>
      <c r="AB175" s="29" t="inlineStr"/>
      <c r="AC175" s="29" t="inlineStr"/>
      <c r="AD175" s="29" t="inlineStr"/>
      <c r="AE175" s="29" t="inlineStr">
        <is>
          <t>Unknown</t>
        </is>
      </c>
      <c r="AF175" s="29" t="inlineStr"/>
      <c r="AG175" s="29" t="inlineStr">
        <is>
          <t>Unknown</t>
        </is>
      </c>
      <c r="AH175" s="29" t="inlineStr">
        <is>
          <t>Unknown</t>
        </is>
      </c>
      <c r="AI175" s="29" t="inlineStr">
        <is>
          <t>Searched source code for feature implementation but found no evidence.</t>
        </is>
      </c>
      <c r="AJ175" s="29" t="inlineStr">
        <is>
          <t>Not verified</t>
        </is>
      </c>
      <c r="AK175" s="29" t="inlineStr"/>
      <c r="AL175" s="29" t="inlineStr"/>
      <c r="AM175" s="29" t="inlineStr"/>
      <c r="AN175" s="29" t="inlineStr"/>
      <c r="AO175" s="29" t="inlineStr">
        <is>
          <t>8bc0dcb2a1da1b21368c5536aaeef829d587f316</t>
        </is>
      </c>
      <c r="AP175" s="29" t="inlineStr">
        <is>
          <t>Low</t>
        </is>
      </c>
      <c r="AQ175" s="29" t="inlineStr">
        <is>
          <t>Not assessed</t>
        </is>
      </c>
      <c r="AR175" s="29" t="inlineStr">
        <is>
          <t>Not assessed</t>
        </is>
      </c>
      <c r="AS175" s="29" t="inlineStr">
        <is>
          <t>Not assessed</t>
        </is>
      </c>
      <c r="AT175" s="29" t="inlineStr">
        <is>
          <t>Not assessed</t>
        </is>
      </c>
      <c r="AU175" s="29" t="inlineStr">
        <is>
          <t>Not assessed</t>
        </is>
      </c>
      <c r="AV175" s="29" t="inlineStr">
        <is>
          <t>Not assessed</t>
        </is>
      </c>
      <c r="AW175" s="29" t="inlineStr">
        <is>
          <t>Not assessed</t>
        </is>
      </c>
      <c r="AX175" s="29" t="inlineStr">
        <is>
          <t>Not assessed</t>
        </is>
      </c>
      <c r="AY175" s="29" t="inlineStr">
        <is>
          <t>Not assessed</t>
        </is>
      </c>
      <c r="AZ175" s="29" t="inlineStr">
        <is>
          <t>Not assessed</t>
        </is>
      </c>
      <c r="BA175" s="29" t="inlineStr">
        <is>
          <t>Not assessed</t>
        </is>
      </c>
      <c r="BB175" s="29" t="inlineStr">
        <is>
          <t>Not assessed</t>
        </is>
      </c>
      <c r="BC175" s="29" t="inlineStr">
        <is>
          <t>Not assessed</t>
        </is>
      </c>
      <c r="BD175" s="29" t="inlineStr">
        <is>
          <t>Not assessed</t>
        </is>
      </c>
      <c r="BE175" s="29" t="inlineStr">
        <is>
          <t>Development required</t>
        </is>
      </c>
      <c r="BF175" s="29" t="inlineStr">
        <is>
          <t>Physical implementation is not complete against the stated requirement.; Searched source code for feature implementation but found no evidence.</t>
        </is>
      </c>
      <c r="BG175" s="29" t="inlineStr"/>
      <c r="BH175" s="29" t="inlineStr"/>
      <c r="BI175" s="29" t="inlineStr"/>
      <c r="BJ175" s="29" t="inlineStr"/>
      <c r="BK175" s="29" t="inlineStr">
        <is>
          <t>Evidence reconciled against the reviewed source revision. No production approval is inferred from implementation or file presence.</t>
        </is>
      </c>
      <c r="BL175" s="29" t="inlineStr">
        <is>
          <t>2026-08-02</t>
        </is>
      </c>
    </row>
    <row r="176" ht="42" customHeight="1">
      <c r="A176" s="29" t="inlineStr">
        <is>
          <t>BLYP-09-014</t>
        </is>
      </c>
      <c r="B176" s="29" t="inlineStr"/>
      <c r="C176" s="29" t="inlineStr">
        <is>
          <t>Free and £4.99 membership</t>
        </is>
      </c>
      <c r="D176" s="29" t="n">
        <v>9</v>
      </c>
      <c r="E176" s="29" t="n">
        <v>14</v>
      </c>
      <c r="F176" s="29" t="inlineStr">
        <is>
          <t>Feature</t>
        </is>
      </c>
      <c r="G176" s="29" t="inlineStr">
        <is>
          <t>Android subscription purchase</t>
        </is>
      </c>
      <c r="H176" s="29" t="inlineStr">
        <is>
          <t>Android subscription purchase</t>
        </is>
      </c>
      <c r="I176" s="29" t="inlineStr">
        <is>
          <t>/home/ubuntu/blyp_product_requirements.md :: Section 9 — Free and £4.99 membership</t>
        </is>
      </c>
      <c r="J176" s="29" t="inlineStr">
        <is>
          <t>/home/ubuntu/BLYP_COMPLETE_FEATURE_LIST.md:230</t>
        </is>
      </c>
      <c r="K176" s="29" t="inlineStr">
        <is>
          <t>Required</t>
        </is>
      </c>
      <c r="L176" s="29" t="inlineStr">
        <is>
          <t>Applicable BLYP member</t>
        </is>
      </c>
      <c r="M176" s="29" t="inlineStr">
        <is>
          <t>BLYP mobile application and supporting production services</t>
        </is>
      </c>
      <c r="N176" s="29" t="inlineStr">
        <is>
          <t>Android subscription purchase</t>
        </is>
      </c>
      <c r="O176" s="29" t="inlineStr">
        <is>
          <t>Not explicitly defined in the product source; requires accountable product approval before production sign-off.</t>
        </is>
      </c>
      <c r="P176" s="29" t="inlineStr"/>
      <c r="Q176" s="29" t="inlineStr">
        <is>
          <t>Partial</t>
        </is>
      </c>
      <c r="R176" s="29" t="inlineStr">
        <is>
          <t>verification foundations exist.</t>
        </is>
      </c>
      <c r="S176" s="29" t="inlineStr">
        <is>
          <t>Not found</t>
        </is>
      </c>
      <c r="T176" s="29" t="inlineStr"/>
      <c r="U176" s="29" t="inlineStr"/>
      <c r="V176" s="29" t="inlineStr"/>
      <c r="W176" s="29" t="inlineStr"/>
      <c r="X176" s="29" t="inlineStr"/>
      <c r="Y176" s="29" t="inlineStr"/>
      <c r="Z176" s="29" t="inlineStr"/>
      <c r="AA176" s="29" t="inlineStr"/>
      <c r="AB176" s="29" t="inlineStr"/>
      <c r="AC176" s="29" t="inlineStr"/>
      <c r="AD176" s="29" t="inlineStr"/>
      <c r="AE176" s="29" t="inlineStr">
        <is>
          <t>Unknown</t>
        </is>
      </c>
      <c r="AF176" s="29" t="inlineStr"/>
      <c r="AG176" s="29" t="inlineStr">
        <is>
          <t>Unknown</t>
        </is>
      </c>
      <c r="AH176" s="29" t="inlineStr">
        <is>
          <t>Unknown</t>
        </is>
      </c>
      <c r="AI176" s="29" t="inlineStr">
        <is>
          <t>Searched source code for feature implementation but found no evidence.</t>
        </is>
      </c>
      <c r="AJ176" s="29" t="inlineStr">
        <is>
          <t>Not verified</t>
        </is>
      </c>
      <c r="AK176" s="29" t="inlineStr"/>
      <c r="AL176" s="29" t="inlineStr"/>
      <c r="AM176" s="29" t="inlineStr"/>
      <c r="AN176" s="29" t="inlineStr"/>
      <c r="AO176" s="29" t="inlineStr">
        <is>
          <t>8bc0dcb2a1da1b21368c5536aaeef829d587f316</t>
        </is>
      </c>
      <c r="AP176" s="29" t="inlineStr">
        <is>
          <t>Low</t>
        </is>
      </c>
      <c r="AQ176" s="29" t="inlineStr">
        <is>
          <t>Not assessed</t>
        </is>
      </c>
      <c r="AR176" s="29" t="inlineStr">
        <is>
          <t>Not assessed</t>
        </is>
      </c>
      <c r="AS176" s="29" t="inlineStr">
        <is>
          <t>Not assessed</t>
        </is>
      </c>
      <c r="AT176" s="29" t="inlineStr">
        <is>
          <t>Not assessed</t>
        </is>
      </c>
      <c r="AU176" s="29" t="inlineStr">
        <is>
          <t>Not assessed</t>
        </is>
      </c>
      <c r="AV176" s="29" t="inlineStr">
        <is>
          <t>Not assessed</t>
        </is>
      </c>
      <c r="AW176" s="29" t="inlineStr">
        <is>
          <t>Not assessed</t>
        </is>
      </c>
      <c r="AX176" s="29" t="inlineStr">
        <is>
          <t>Not assessed</t>
        </is>
      </c>
      <c r="AY176" s="29" t="inlineStr">
        <is>
          <t>Not assessed</t>
        </is>
      </c>
      <c r="AZ176" s="29" t="inlineStr">
        <is>
          <t>Not assessed</t>
        </is>
      </c>
      <c r="BA176" s="29" t="inlineStr">
        <is>
          <t>Not assessed</t>
        </is>
      </c>
      <c r="BB176" s="29" t="inlineStr">
        <is>
          <t>Not assessed</t>
        </is>
      </c>
      <c r="BC176" s="29" t="inlineStr">
        <is>
          <t>Not assessed</t>
        </is>
      </c>
      <c r="BD176" s="29" t="inlineStr">
        <is>
          <t>Not assessed</t>
        </is>
      </c>
      <c r="BE176" s="29" t="inlineStr">
        <is>
          <t>Development required</t>
        </is>
      </c>
      <c r="BF176" s="29" t="inlineStr">
        <is>
          <t>Physical implementation is not complete against the stated requirement.; Searched source code for feature implementation but found no evidence.</t>
        </is>
      </c>
      <c r="BG176" s="29" t="inlineStr"/>
      <c r="BH176" s="29" t="inlineStr"/>
      <c r="BI176" s="29" t="inlineStr"/>
      <c r="BJ176" s="29" t="inlineStr"/>
      <c r="BK176" s="29" t="inlineStr">
        <is>
          <t>Evidence reconciled against the reviewed source revision. No production approval is inferred from implementation or file presence.</t>
        </is>
      </c>
      <c r="BL176" s="29" t="inlineStr">
        <is>
          <t>2026-08-02</t>
        </is>
      </c>
    </row>
    <row r="177" ht="42" customHeight="1">
      <c r="A177" s="29" t="inlineStr">
        <is>
          <t>BLYP-09-015</t>
        </is>
      </c>
      <c r="B177" s="29" t="inlineStr"/>
      <c r="C177" s="29" t="inlineStr">
        <is>
          <t>Free and £4.99 membership</t>
        </is>
      </c>
      <c r="D177" s="29" t="n">
        <v>9</v>
      </c>
      <c r="E177" s="29" t="n">
        <v>15</v>
      </c>
      <c r="F177" s="29" t="inlineStr">
        <is>
          <t>Feature</t>
        </is>
      </c>
      <c r="G177" s="29" t="inlineStr">
        <is>
          <t>iOS subscription purchase</t>
        </is>
      </c>
      <c r="H177" s="29" t="inlineStr">
        <is>
          <t>iOS subscription purchase</t>
        </is>
      </c>
      <c r="I177" s="29" t="inlineStr">
        <is>
          <t>/home/ubuntu/blyp_product_requirements.md :: Section 9 — Free and £4.99 membership</t>
        </is>
      </c>
      <c r="J177" s="29" t="inlineStr">
        <is>
          <t>/home/ubuntu/BLYP_COMPLETE_FEATURE_LIST.md:231</t>
        </is>
      </c>
      <c r="K177" s="29" t="inlineStr">
        <is>
          <t>Required</t>
        </is>
      </c>
      <c r="L177" s="29" t="inlineStr">
        <is>
          <t>Applicable BLYP member</t>
        </is>
      </c>
      <c r="M177" s="29" t="inlineStr">
        <is>
          <t>BLYP mobile application and supporting production services</t>
        </is>
      </c>
      <c r="N177" s="29" t="inlineStr">
        <is>
          <t>iOS subscription purchase</t>
        </is>
      </c>
      <c r="O177" s="29" t="inlineStr">
        <is>
          <t>Not explicitly defined in the product source; requires accountable product approval before production sign-off.</t>
        </is>
      </c>
      <c r="P177" s="29" t="inlineStr"/>
      <c r="Q177" s="29" t="inlineStr">
        <is>
          <t>No evidence</t>
        </is>
      </c>
      <c r="R177" s="29" t="inlineStr"/>
      <c r="S177" s="29" t="inlineStr">
        <is>
          <t>Not found</t>
        </is>
      </c>
      <c r="T177" s="29" t="inlineStr"/>
      <c r="U177" s="29" t="inlineStr"/>
      <c r="V177" s="29" t="inlineStr"/>
      <c r="W177" s="29" t="inlineStr"/>
      <c r="X177" s="29" t="inlineStr"/>
      <c r="Y177" s="29" t="inlineStr"/>
      <c r="Z177" s="29" t="inlineStr"/>
      <c r="AA177" s="29" t="inlineStr"/>
      <c r="AB177" s="29" t="inlineStr"/>
      <c r="AC177" s="29" t="inlineStr"/>
      <c r="AD177" s="29" t="inlineStr"/>
      <c r="AE177" s="29" t="inlineStr">
        <is>
          <t>Unknown</t>
        </is>
      </c>
      <c r="AF177" s="29" t="inlineStr"/>
      <c r="AG177" s="29" t="inlineStr">
        <is>
          <t>Unknown</t>
        </is>
      </c>
      <c r="AH177" s="29" t="inlineStr">
        <is>
          <t>Unknown</t>
        </is>
      </c>
      <c r="AI177" s="29" t="inlineStr">
        <is>
          <t>Searched source code for feature implementation but found no evidence.</t>
        </is>
      </c>
      <c r="AJ177" s="29" t="inlineStr">
        <is>
          <t>Not verified</t>
        </is>
      </c>
      <c r="AK177" s="29" t="inlineStr"/>
      <c r="AL177" s="29" t="inlineStr"/>
      <c r="AM177" s="29" t="inlineStr"/>
      <c r="AN177" s="29" t="inlineStr"/>
      <c r="AO177" s="29" t="inlineStr">
        <is>
          <t>8bc0dcb2a1da1b21368c5536aaeef829d587f316</t>
        </is>
      </c>
      <c r="AP177" s="29" t="inlineStr">
        <is>
          <t>Low</t>
        </is>
      </c>
      <c r="AQ177" s="29" t="inlineStr">
        <is>
          <t>Not assessed</t>
        </is>
      </c>
      <c r="AR177" s="29" t="inlineStr">
        <is>
          <t>Not assessed</t>
        </is>
      </c>
      <c r="AS177" s="29" t="inlineStr">
        <is>
          <t>Not assessed</t>
        </is>
      </c>
      <c r="AT177" s="29" t="inlineStr">
        <is>
          <t>Not assessed</t>
        </is>
      </c>
      <c r="AU177" s="29" t="inlineStr">
        <is>
          <t>Not assessed</t>
        </is>
      </c>
      <c r="AV177" s="29" t="inlineStr">
        <is>
          <t>Not assessed</t>
        </is>
      </c>
      <c r="AW177" s="29" t="inlineStr">
        <is>
          <t>Not assessed</t>
        </is>
      </c>
      <c r="AX177" s="29" t="inlineStr">
        <is>
          <t>Not assessed</t>
        </is>
      </c>
      <c r="AY177" s="29" t="inlineStr">
        <is>
          <t>Not assessed</t>
        </is>
      </c>
      <c r="AZ177" s="29" t="inlineStr">
        <is>
          <t>Not assessed</t>
        </is>
      </c>
      <c r="BA177" s="29" t="inlineStr">
        <is>
          <t>Not assessed</t>
        </is>
      </c>
      <c r="BB177" s="29" t="inlineStr">
        <is>
          <t>Not assessed</t>
        </is>
      </c>
      <c r="BC177" s="29" t="inlineStr">
        <is>
          <t>Not assessed</t>
        </is>
      </c>
      <c r="BD177" s="29" t="inlineStr">
        <is>
          <t>Not assessed</t>
        </is>
      </c>
      <c r="BE177" s="29" t="inlineStr">
        <is>
          <t>Development required</t>
        </is>
      </c>
      <c r="BF177" s="29" t="inlineStr">
        <is>
          <t>Physical implementation is not complete against the stated requirement.; Searched source code for feature implementation but found no evidence.</t>
        </is>
      </c>
      <c r="BG177" s="29" t="inlineStr"/>
      <c r="BH177" s="29" t="inlineStr"/>
      <c r="BI177" s="29" t="inlineStr"/>
      <c r="BJ177" s="29" t="inlineStr"/>
      <c r="BK177" s="29" t="inlineStr">
        <is>
          <t>Evidence reconciled against the reviewed source revision. No production approval is inferred from implementation or file presence.</t>
        </is>
      </c>
      <c r="BL177" s="29" t="inlineStr">
        <is>
          <t>2026-08-02</t>
        </is>
      </c>
    </row>
    <row r="178" ht="42" customHeight="1">
      <c r="A178" s="29" t="inlineStr">
        <is>
          <t>BLYP-10-001</t>
        </is>
      </c>
      <c r="B178" s="29" t="inlineStr"/>
      <c r="C178" s="29" t="inlineStr">
        <is>
          <t>Trust, safety, and moderation</t>
        </is>
      </c>
      <c r="D178" s="29" t="n">
        <v>10</v>
      </c>
      <c r="E178" s="29" t="n">
        <v>1</v>
      </c>
      <c r="F178" s="29" t="inlineStr">
        <is>
          <t>Feature</t>
        </is>
      </c>
      <c r="G178" s="29" t="inlineStr">
        <is>
          <t>Unified safety system across all BLYP surfaces</t>
        </is>
      </c>
      <c r="H178" s="29" t="inlineStr">
        <is>
          <t>Unified safety system across all BLYP surfaces</t>
        </is>
      </c>
      <c r="I178" s="29" t="inlineStr">
        <is>
          <t>/home/ubuntu/blyp_product_requirements.md :: Section 10 — Trust, safety, and moderation</t>
        </is>
      </c>
      <c r="J178" s="29" t="inlineStr">
        <is>
          <t>/home/ubuntu/BLYP_COMPLETE_FEATURE_LIST.md:237</t>
        </is>
      </c>
      <c r="K178" s="29" t="inlineStr">
        <is>
          <t>Required</t>
        </is>
      </c>
      <c r="L178" s="29" t="inlineStr">
        <is>
          <t>Applicable BLYP member</t>
        </is>
      </c>
      <c r="M178" s="29" t="inlineStr">
        <is>
          <t>BLYP mobile application and supporting production services</t>
        </is>
      </c>
      <c r="N178" s="29" t="inlineStr">
        <is>
          <t>Unified safety system across all BLYP surfaces</t>
        </is>
      </c>
      <c r="O178" s="29" t="inlineStr">
        <is>
          <t>Not explicitly defined in the product source; requires accountable product approval before production sign-off.</t>
        </is>
      </c>
      <c r="P178" s="29" t="inlineStr"/>
      <c r="Q178" s="29" t="inlineStr">
        <is>
          <t>Partial</t>
        </is>
      </c>
      <c r="R178" s="29" t="inlineStr">
        <is>
          <t>several separate systems exist.</t>
        </is>
      </c>
      <c r="S178" s="29" t="inlineStr">
        <is>
          <t>Unknown</t>
        </is>
      </c>
      <c r="T178" s="29" t="inlineStr"/>
      <c r="U178" s="29" t="inlineStr"/>
      <c r="V178" s="29" t="inlineStr"/>
      <c r="W178" s="29" t="inlineStr"/>
      <c r="X178" s="29" t="inlineStr"/>
      <c r="Y178" s="29" t="inlineStr"/>
      <c r="Z178" s="29" t="inlineStr"/>
      <c r="AA178" s="29" t="inlineStr"/>
      <c r="AB178" s="29" t="inlineStr"/>
      <c r="AC178" s="29" t="inlineStr"/>
      <c r="AD178" s="29" t="inlineStr"/>
      <c r="AE178" s="29" t="inlineStr">
        <is>
          <t>Unknown</t>
        </is>
      </c>
      <c r="AF178" s="29" t="inlineStr"/>
      <c r="AG178" s="29" t="inlineStr">
        <is>
          <t>Unknown</t>
        </is>
      </c>
      <c r="AH178" s="29" t="inlineStr">
        <is>
          <t>Unknown</t>
        </is>
      </c>
      <c r="AI178" s="29" t="inlineStr"/>
      <c r="AJ178" s="29" t="inlineStr">
        <is>
          <t>Not verified</t>
        </is>
      </c>
      <c r="AK178" s="29" t="inlineStr"/>
      <c r="AL178" s="29" t="inlineStr"/>
      <c r="AM178" s="29" t="inlineStr"/>
      <c r="AN178" s="29" t="inlineStr"/>
      <c r="AO178" s="29" t="inlineStr">
        <is>
          <t>8bc0dcb2a1da1b21368c5536aaeef829d587f316</t>
        </is>
      </c>
      <c r="AP178" s="29" t="inlineStr">
        <is>
          <t>Low</t>
        </is>
      </c>
      <c r="AQ178" s="29" t="inlineStr">
        <is>
          <t>Not assessed</t>
        </is>
      </c>
      <c r="AR178" s="29" t="inlineStr">
        <is>
          <t>Not assessed</t>
        </is>
      </c>
      <c r="AS178" s="29" t="inlineStr">
        <is>
          <t>Not assessed</t>
        </is>
      </c>
      <c r="AT178" s="29" t="inlineStr">
        <is>
          <t>Not assessed</t>
        </is>
      </c>
      <c r="AU178" s="29" t="inlineStr">
        <is>
          <t>Not assessed</t>
        </is>
      </c>
      <c r="AV178" s="29" t="inlineStr">
        <is>
          <t>Not assessed</t>
        </is>
      </c>
      <c r="AW178" s="29" t="inlineStr">
        <is>
          <t>Not assessed</t>
        </is>
      </c>
      <c r="AX178" s="29" t="inlineStr">
        <is>
          <t>Not assessed</t>
        </is>
      </c>
      <c r="AY178" s="29" t="inlineStr">
        <is>
          <t>Not assessed</t>
        </is>
      </c>
      <c r="AZ178" s="29" t="inlineStr">
        <is>
          <t>Not assessed</t>
        </is>
      </c>
      <c r="BA178" s="29" t="inlineStr">
        <is>
          <t>Not assessed</t>
        </is>
      </c>
      <c r="BB178" s="29" t="inlineStr">
        <is>
          <t>Not assessed</t>
        </is>
      </c>
      <c r="BC178" s="29" t="inlineStr">
        <is>
          <t>Not assessed</t>
        </is>
      </c>
      <c r="BD178" s="29" t="inlineStr">
        <is>
          <t>Not assessed</t>
        </is>
      </c>
      <c r="BE178" s="29" t="inlineStr">
        <is>
          <t>Not assessed</t>
        </is>
      </c>
      <c r="BF178" s="29" t="inlineStr">
        <is>
          <t>Insufficient evidence to issue a production-readiness conclusion.</t>
        </is>
      </c>
      <c r="BG178" s="29" t="inlineStr"/>
      <c r="BH178" s="29" t="inlineStr"/>
      <c r="BI178" s="29" t="inlineStr"/>
      <c r="BJ178" s="29" t="inlineStr"/>
      <c r="BK178" s="29" t="inlineStr">
        <is>
          <t>Evidence reconciled against the reviewed source revision. No production approval is inferred from implementation or file presence.</t>
        </is>
      </c>
      <c r="BL178" s="29" t="inlineStr">
        <is>
          <t>2026-08-02</t>
        </is>
      </c>
    </row>
    <row r="179" ht="42" customHeight="1">
      <c r="A179" s="29" t="inlineStr">
        <is>
          <t>BLYP-10-002</t>
        </is>
      </c>
      <c r="B179" s="29" t="inlineStr"/>
      <c r="C179" s="29" t="inlineStr">
        <is>
          <t>Trust, safety, and moderation</t>
        </is>
      </c>
      <c r="D179" s="29" t="n">
        <v>10</v>
      </c>
      <c r="E179" s="29" t="n">
        <v>2</v>
      </c>
      <c r="F179" s="29" t="inlineStr">
        <is>
          <t>Feature</t>
        </is>
      </c>
      <c r="G179" s="29" t="inlineStr">
        <is>
          <t>Block member</t>
        </is>
      </c>
      <c r="H179" s="29" t="inlineStr">
        <is>
          <t>Block member</t>
        </is>
      </c>
      <c r="I179" s="29" t="inlineStr">
        <is>
          <t>/home/ubuntu/blyp_product_requirements.md :: Section 10 — Trust, safety, and moderation</t>
        </is>
      </c>
      <c r="J179" s="29" t="inlineStr">
        <is>
          <t>/home/ubuntu/BLYP_COMPLETE_FEATURE_LIST.md:238</t>
        </is>
      </c>
      <c r="K179" s="29" t="inlineStr">
        <is>
          <t>Required</t>
        </is>
      </c>
      <c r="L179" s="29" t="inlineStr">
        <is>
          <t>Applicable BLYP member</t>
        </is>
      </c>
      <c r="M179" s="29" t="inlineStr">
        <is>
          <t>BLYP mobile application and supporting production services</t>
        </is>
      </c>
      <c r="N179" s="29" t="inlineStr">
        <is>
          <t>Block member</t>
        </is>
      </c>
      <c r="O179" s="29" t="inlineStr">
        <is>
          <t>Not explicitly defined in the product source; requires accountable product approval before production sign-off.</t>
        </is>
      </c>
      <c r="P179" s="29" t="inlineStr"/>
      <c r="Q179" s="29" t="inlineStr">
        <is>
          <t>Partial</t>
        </is>
      </c>
      <c r="R179" s="29" t="inlineStr"/>
      <c r="S179" s="29" t="inlineStr">
        <is>
          <t>Unknown</t>
        </is>
      </c>
      <c r="T179" s="29" t="inlineStr"/>
      <c r="U179" s="29" t="inlineStr"/>
      <c r="V179" s="29" t="inlineStr"/>
      <c r="W179" s="29" t="inlineStr"/>
      <c r="X179" s="29" t="inlineStr"/>
      <c r="Y179" s="29" t="inlineStr"/>
      <c r="Z179" s="29" t="inlineStr"/>
      <c r="AA179" s="29" t="inlineStr"/>
      <c r="AB179" s="29" t="inlineStr"/>
      <c r="AC179" s="29" t="inlineStr"/>
      <c r="AD179" s="29" t="inlineStr"/>
      <c r="AE179" s="29" t="inlineStr">
        <is>
          <t>Unknown</t>
        </is>
      </c>
      <c r="AF179" s="29" t="inlineStr">
        <is>
          <t>No exact feature-level physical path was resolved from the reviewed evidence.</t>
        </is>
      </c>
      <c r="AG179" s="29" t="inlineStr">
        <is>
          <t>Unknown</t>
        </is>
      </c>
      <c r="AH179" s="29" t="inlineStr">
        <is>
          <t>Unknown</t>
        </is>
      </c>
      <c r="AI179" s="29" t="inlineStr">
        <is>
          <t>A prior area review labelled this 'Partial', but did not supply a feature-level physical mapping; the authoritative state is therefore Unknown.</t>
        </is>
      </c>
      <c r="AJ179" s="29" t="inlineStr">
        <is>
          <t>Unknown</t>
        </is>
      </c>
      <c r="AK179" s="29" t="inlineStr">
        <is>
          <t>EV-10-0001</t>
        </is>
      </c>
      <c r="AL179" s="29" t="inlineStr"/>
      <c r="AM179" s="29" t="inlineStr"/>
      <c r="AN179" s="29" t="inlineStr"/>
      <c r="AO179" s="29" t="inlineStr">
        <is>
          <t>8bc0dcb2a1da1b21368c5536aaeef829d587f316</t>
        </is>
      </c>
      <c r="AP179" s="29" t="inlineStr">
        <is>
          <t>Low</t>
        </is>
      </c>
      <c r="AQ179" s="29" t="inlineStr">
        <is>
          <t>Not assessed</t>
        </is>
      </c>
      <c r="AR179" s="29" t="inlineStr">
        <is>
          <t>Not assessed</t>
        </is>
      </c>
      <c r="AS179" s="29" t="inlineStr">
        <is>
          <t>Not assessed</t>
        </is>
      </c>
      <c r="AT179" s="29" t="inlineStr">
        <is>
          <t>Not assessed</t>
        </is>
      </c>
      <c r="AU179" s="29" t="inlineStr">
        <is>
          <t>Not assessed</t>
        </is>
      </c>
      <c r="AV179" s="29" t="inlineStr">
        <is>
          <t>Not assessed</t>
        </is>
      </c>
      <c r="AW179" s="29" t="inlineStr">
        <is>
          <t>Not assessed</t>
        </is>
      </c>
      <c r="AX179" s="29" t="inlineStr">
        <is>
          <t>Not assessed</t>
        </is>
      </c>
      <c r="AY179" s="29" t="inlineStr">
        <is>
          <t>Not assessed</t>
        </is>
      </c>
      <c r="AZ179" s="29" t="inlineStr">
        <is>
          <t>Not assessed</t>
        </is>
      </c>
      <c r="BA179" s="29" t="inlineStr">
        <is>
          <t>Not assessed</t>
        </is>
      </c>
      <c r="BB179" s="29" t="inlineStr">
        <is>
          <t>Not assessed</t>
        </is>
      </c>
      <c r="BC179" s="29" t="inlineStr">
        <is>
          <t>Not assessed</t>
        </is>
      </c>
      <c r="BD179" s="29" t="inlineStr">
        <is>
          <t>Not assessed</t>
        </is>
      </c>
      <c r="BE179" s="29" t="inlineStr">
        <is>
          <t>Not assessed</t>
        </is>
      </c>
      <c r="BF179" s="29" t="inlineStr">
        <is>
          <t>Production readiness cannot be assessed until the exact physical implementation and runtime path are traced.</t>
        </is>
      </c>
      <c r="BG179" s="29" t="inlineStr">
        <is>
          <t>Map the feature to exact client, server, data, worker and configuration locations, then verify its runtime path.</t>
        </is>
      </c>
      <c r="BH179" s="29" t="inlineStr"/>
      <c r="BI179" s="29" t="inlineStr"/>
      <c r="BJ179" s="29" t="inlineStr"/>
      <c r="BK179" s="29" t="inlineStr">
        <is>
          <t>Evidence reconciled against the reviewed source revision. No production approval is inferred from implementation or file presence.</t>
        </is>
      </c>
      <c r="BL179" s="29" t="inlineStr">
        <is>
          <t>2026-08-02</t>
        </is>
      </c>
    </row>
    <row r="180" ht="42" customHeight="1">
      <c r="A180" s="29" t="inlineStr">
        <is>
          <t>BLYP-10-003</t>
        </is>
      </c>
      <c r="B180" s="29" t="inlineStr"/>
      <c r="C180" s="29" t="inlineStr">
        <is>
          <t>Trust, safety, and moderation</t>
        </is>
      </c>
      <c r="D180" s="29" t="n">
        <v>10</v>
      </c>
      <c r="E180" s="29" t="n">
        <v>3</v>
      </c>
      <c r="F180" s="29" t="inlineStr">
        <is>
          <t>Feature</t>
        </is>
      </c>
      <c r="G180" s="29" t="inlineStr">
        <is>
          <t>Mute member</t>
        </is>
      </c>
      <c r="H180" s="29" t="inlineStr">
        <is>
          <t>Mute member</t>
        </is>
      </c>
      <c r="I180" s="29" t="inlineStr">
        <is>
          <t>/home/ubuntu/blyp_product_requirements.md :: Section 10 — Trust, safety, and moderation</t>
        </is>
      </c>
      <c r="J180" s="29" t="inlineStr">
        <is>
          <t>/home/ubuntu/BLYP_COMPLETE_FEATURE_LIST.md:239</t>
        </is>
      </c>
      <c r="K180" s="29" t="inlineStr">
        <is>
          <t>Required</t>
        </is>
      </c>
      <c r="L180" s="29" t="inlineStr">
        <is>
          <t>Applicable BLYP member</t>
        </is>
      </c>
      <c r="M180" s="29" t="inlineStr">
        <is>
          <t>BLYP mobile application and supporting production services</t>
        </is>
      </c>
      <c r="N180" s="29" t="inlineStr">
        <is>
          <t>Mute member</t>
        </is>
      </c>
      <c r="O180" s="29" t="inlineStr">
        <is>
          <t>Not explicitly defined in the product source; requires accountable product approval before production sign-off.</t>
        </is>
      </c>
      <c r="P180" s="29" t="inlineStr"/>
      <c r="Q180" s="29" t="inlineStr">
        <is>
          <t>Partial</t>
        </is>
      </c>
      <c r="R180" s="29" t="inlineStr"/>
      <c r="S180" s="29" t="inlineStr">
        <is>
          <t>Unknown</t>
        </is>
      </c>
      <c r="T180" s="29" t="inlineStr"/>
      <c r="U180" s="29" t="inlineStr"/>
      <c r="V180" s="29" t="inlineStr"/>
      <c r="W180" s="29" t="inlineStr"/>
      <c r="X180" s="29" t="inlineStr"/>
      <c r="Y180" s="29" t="inlineStr"/>
      <c r="Z180" s="29" t="inlineStr"/>
      <c r="AA180" s="29" t="inlineStr"/>
      <c r="AB180" s="29" t="inlineStr"/>
      <c r="AC180" s="29" t="inlineStr"/>
      <c r="AD180" s="29" t="inlineStr"/>
      <c r="AE180" s="29" t="inlineStr">
        <is>
          <t>Unknown</t>
        </is>
      </c>
      <c r="AF180" s="29" t="inlineStr">
        <is>
          <t>No exact feature-level physical path was resolved from the reviewed evidence.</t>
        </is>
      </c>
      <c r="AG180" s="29" t="inlineStr">
        <is>
          <t>Unknown</t>
        </is>
      </c>
      <c r="AH180" s="29" t="inlineStr">
        <is>
          <t>Unknown</t>
        </is>
      </c>
      <c r="AI180" s="29" t="inlineStr">
        <is>
          <t>A prior area review labelled this 'Partial', but did not supply a feature-level physical mapping; the authoritative state is therefore Unknown.</t>
        </is>
      </c>
      <c r="AJ180" s="29" t="inlineStr">
        <is>
          <t>Unknown</t>
        </is>
      </c>
      <c r="AK180" s="29" t="inlineStr">
        <is>
          <t>EV-10-0002</t>
        </is>
      </c>
      <c r="AL180" s="29" t="inlineStr"/>
      <c r="AM180" s="29" t="inlineStr"/>
      <c r="AN180" s="29" t="inlineStr"/>
      <c r="AO180" s="29" t="inlineStr">
        <is>
          <t>8bc0dcb2a1da1b21368c5536aaeef829d587f316</t>
        </is>
      </c>
      <c r="AP180" s="29" t="inlineStr">
        <is>
          <t>Low</t>
        </is>
      </c>
      <c r="AQ180" s="29" t="inlineStr">
        <is>
          <t>Not assessed</t>
        </is>
      </c>
      <c r="AR180" s="29" t="inlineStr">
        <is>
          <t>Not assessed</t>
        </is>
      </c>
      <c r="AS180" s="29" t="inlineStr">
        <is>
          <t>Not assessed</t>
        </is>
      </c>
      <c r="AT180" s="29" t="inlineStr">
        <is>
          <t>Not assessed</t>
        </is>
      </c>
      <c r="AU180" s="29" t="inlineStr">
        <is>
          <t>Not assessed</t>
        </is>
      </c>
      <c r="AV180" s="29" t="inlineStr">
        <is>
          <t>Not assessed</t>
        </is>
      </c>
      <c r="AW180" s="29" t="inlineStr">
        <is>
          <t>Not assessed</t>
        </is>
      </c>
      <c r="AX180" s="29" t="inlineStr">
        <is>
          <t>Not assessed</t>
        </is>
      </c>
      <c r="AY180" s="29" t="inlineStr">
        <is>
          <t>Not assessed</t>
        </is>
      </c>
      <c r="AZ180" s="29" t="inlineStr">
        <is>
          <t>Not assessed</t>
        </is>
      </c>
      <c r="BA180" s="29" t="inlineStr">
        <is>
          <t>Not assessed</t>
        </is>
      </c>
      <c r="BB180" s="29" t="inlineStr">
        <is>
          <t>Not assessed</t>
        </is>
      </c>
      <c r="BC180" s="29" t="inlineStr">
        <is>
          <t>Not assessed</t>
        </is>
      </c>
      <c r="BD180" s="29" t="inlineStr">
        <is>
          <t>Not assessed</t>
        </is>
      </c>
      <c r="BE180" s="29" t="inlineStr">
        <is>
          <t>Not assessed</t>
        </is>
      </c>
      <c r="BF180" s="29" t="inlineStr">
        <is>
          <t>Production readiness cannot be assessed until the exact physical implementation and runtime path are traced.</t>
        </is>
      </c>
      <c r="BG180" s="29" t="inlineStr">
        <is>
          <t>Map the feature to exact client, server, data, worker and configuration locations, then verify its runtime path.</t>
        </is>
      </c>
      <c r="BH180" s="29" t="inlineStr"/>
      <c r="BI180" s="29" t="inlineStr"/>
      <c r="BJ180" s="29" t="inlineStr"/>
      <c r="BK180" s="29" t="inlineStr">
        <is>
          <t>Evidence reconciled against the reviewed source revision. No production approval is inferred from implementation or file presence.</t>
        </is>
      </c>
      <c r="BL180" s="29" t="inlineStr">
        <is>
          <t>2026-08-02</t>
        </is>
      </c>
    </row>
    <row r="181" ht="42" customHeight="1">
      <c r="A181" s="29" t="inlineStr">
        <is>
          <t>BLYP-10-004</t>
        </is>
      </c>
      <c r="B181" s="29" t="inlineStr"/>
      <c r="C181" s="29" t="inlineStr">
        <is>
          <t>Trust, safety, and moderation</t>
        </is>
      </c>
      <c r="D181" s="29" t="n">
        <v>10</v>
      </c>
      <c r="E181" s="29" t="n">
        <v>4</v>
      </c>
      <c r="F181" s="29" t="inlineStr">
        <is>
          <t>Feature</t>
        </is>
      </c>
      <c r="G181" s="29" t="inlineStr">
        <is>
          <t>Report member</t>
        </is>
      </c>
      <c r="H181" s="29" t="inlineStr">
        <is>
          <t>Report member</t>
        </is>
      </c>
      <c r="I181" s="29" t="inlineStr">
        <is>
          <t>/home/ubuntu/blyp_product_requirements.md :: Section 10 — Trust, safety, and moderation</t>
        </is>
      </c>
      <c r="J181" s="29" t="inlineStr">
        <is>
          <t>/home/ubuntu/BLYP_COMPLETE_FEATURE_LIST.md:240</t>
        </is>
      </c>
      <c r="K181" s="29" t="inlineStr">
        <is>
          <t>Required</t>
        </is>
      </c>
      <c r="L181" s="29" t="inlineStr">
        <is>
          <t>Applicable BLYP member</t>
        </is>
      </c>
      <c r="M181" s="29" t="inlineStr">
        <is>
          <t>BLYP mobile application and supporting production services</t>
        </is>
      </c>
      <c r="N181" s="29" t="inlineStr">
        <is>
          <t>Report member</t>
        </is>
      </c>
      <c r="O181" s="29" t="inlineStr">
        <is>
          <t>Not explicitly defined in the product source; requires accountable product approval before production sign-off.</t>
        </is>
      </c>
      <c r="P181" s="29" t="inlineStr"/>
      <c r="Q181" s="29" t="inlineStr">
        <is>
          <t>Yes</t>
        </is>
      </c>
      <c r="R181" s="29" t="inlineStr"/>
      <c r="S181" s="29" t="inlineStr">
        <is>
          <t>Unknown</t>
        </is>
      </c>
      <c r="T181" s="29" t="inlineStr"/>
      <c r="U181" s="29" t="inlineStr"/>
      <c r="V181" s="29" t="inlineStr"/>
      <c r="W181" s="29" t="inlineStr"/>
      <c r="X181" s="29" t="inlineStr"/>
      <c r="Y181" s="29" t="inlineStr"/>
      <c r="Z181" s="29" t="inlineStr"/>
      <c r="AA181" s="29" t="inlineStr"/>
      <c r="AB181" s="29" t="inlineStr"/>
      <c r="AC181" s="29" t="inlineStr"/>
      <c r="AD181" s="29" t="inlineStr"/>
      <c r="AE181" s="29" t="inlineStr">
        <is>
          <t>Unknown</t>
        </is>
      </c>
      <c r="AF181" s="29" t="inlineStr">
        <is>
          <t>No exact feature-level physical path was resolved from the reviewed evidence.</t>
        </is>
      </c>
      <c r="AG181" s="29" t="inlineStr">
        <is>
          <t>Unknown</t>
        </is>
      </c>
      <c r="AH181" s="29" t="inlineStr">
        <is>
          <t>Unknown</t>
        </is>
      </c>
      <c r="AI181" s="29" t="inlineStr">
        <is>
          <t>A prior area review labelled this 'Partial', but did not supply a feature-level physical mapping; the authoritative state is therefore Unknown.</t>
        </is>
      </c>
      <c r="AJ181" s="29" t="inlineStr">
        <is>
          <t>Unknown</t>
        </is>
      </c>
      <c r="AK181" s="29" t="inlineStr">
        <is>
          <t>EV-10-0003</t>
        </is>
      </c>
      <c r="AL181" s="29" t="inlineStr"/>
      <c r="AM181" s="29" t="inlineStr"/>
      <c r="AN181" s="29" t="inlineStr"/>
      <c r="AO181" s="29" t="inlineStr">
        <is>
          <t>8bc0dcb2a1da1b21368c5536aaeef829d587f316</t>
        </is>
      </c>
      <c r="AP181" s="29" t="inlineStr">
        <is>
          <t>Low</t>
        </is>
      </c>
      <c r="AQ181" s="29" t="inlineStr">
        <is>
          <t>Not assessed</t>
        </is>
      </c>
      <c r="AR181" s="29" t="inlineStr">
        <is>
          <t>Not assessed</t>
        </is>
      </c>
      <c r="AS181" s="29" t="inlineStr">
        <is>
          <t>Not assessed</t>
        </is>
      </c>
      <c r="AT181" s="29" t="inlineStr">
        <is>
          <t>Not assessed</t>
        </is>
      </c>
      <c r="AU181" s="29" t="inlineStr">
        <is>
          <t>Not assessed</t>
        </is>
      </c>
      <c r="AV181" s="29" t="inlineStr">
        <is>
          <t>Not assessed</t>
        </is>
      </c>
      <c r="AW181" s="29" t="inlineStr">
        <is>
          <t>Not assessed</t>
        </is>
      </c>
      <c r="AX181" s="29" t="inlineStr">
        <is>
          <t>Not assessed</t>
        </is>
      </c>
      <c r="AY181" s="29" t="inlineStr">
        <is>
          <t>Not assessed</t>
        </is>
      </c>
      <c r="AZ181" s="29" t="inlineStr">
        <is>
          <t>Not assessed</t>
        </is>
      </c>
      <c r="BA181" s="29" t="inlineStr">
        <is>
          <t>Not assessed</t>
        </is>
      </c>
      <c r="BB181" s="29" t="inlineStr">
        <is>
          <t>Not assessed</t>
        </is>
      </c>
      <c r="BC181" s="29" t="inlineStr">
        <is>
          <t>Not assessed</t>
        </is>
      </c>
      <c r="BD181" s="29" t="inlineStr">
        <is>
          <t>Not assessed</t>
        </is>
      </c>
      <c r="BE181" s="29" t="inlineStr">
        <is>
          <t>Not assessed</t>
        </is>
      </c>
      <c r="BF181" s="29" t="inlineStr">
        <is>
          <t>Production readiness cannot be assessed until the exact physical implementation and runtime path are traced.</t>
        </is>
      </c>
      <c r="BG181" s="29" t="inlineStr">
        <is>
          <t>Map the feature to exact client, server, data, worker and configuration locations, then verify its runtime path.</t>
        </is>
      </c>
      <c r="BH181" s="29" t="inlineStr"/>
      <c r="BI181" s="29" t="inlineStr"/>
      <c r="BJ181" s="29" t="inlineStr"/>
      <c r="BK181" s="29" t="inlineStr">
        <is>
          <t>Evidence reconciled against the reviewed source revision. No production approval is inferred from implementation or file presence.</t>
        </is>
      </c>
      <c r="BL181" s="29" t="inlineStr">
        <is>
          <t>2026-08-02</t>
        </is>
      </c>
    </row>
    <row r="182" ht="42" customHeight="1">
      <c r="A182" s="29" t="inlineStr">
        <is>
          <t>BLYP-10-005</t>
        </is>
      </c>
      <c r="B182" s="29" t="inlineStr"/>
      <c r="C182" s="29" t="inlineStr">
        <is>
          <t>Trust, safety, and moderation</t>
        </is>
      </c>
      <c r="D182" s="29" t="n">
        <v>10</v>
      </c>
      <c r="E182" s="29" t="n">
        <v>5</v>
      </c>
      <c r="F182" s="29" t="inlineStr">
        <is>
          <t>Feature</t>
        </is>
      </c>
      <c r="G182" s="29" t="inlineStr">
        <is>
          <t>Report content</t>
        </is>
      </c>
      <c r="H182" s="29" t="inlineStr">
        <is>
          <t>Report content</t>
        </is>
      </c>
      <c r="I182" s="29" t="inlineStr">
        <is>
          <t>/home/ubuntu/blyp_product_requirements.md :: Section 10 — Trust, safety, and moderation</t>
        </is>
      </c>
      <c r="J182" s="29" t="inlineStr">
        <is>
          <t>/home/ubuntu/BLYP_COMPLETE_FEATURE_LIST.md:241</t>
        </is>
      </c>
      <c r="K182" s="29" t="inlineStr">
        <is>
          <t>Required</t>
        </is>
      </c>
      <c r="L182" s="29" t="inlineStr">
        <is>
          <t>Applicable BLYP member</t>
        </is>
      </c>
      <c r="M182" s="29" t="inlineStr">
        <is>
          <t>BLYP mobile application and supporting production services</t>
        </is>
      </c>
      <c r="N182" s="29" t="inlineStr">
        <is>
          <t>Report content</t>
        </is>
      </c>
      <c r="O182" s="29" t="inlineStr">
        <is>
          <t>Not explicitly defined in the product source; requires accountable product approval before production sign-off.</t>
        </is>
      </c>
      <c r="P182" s="29" t="inlineStr"/>
      <c r="Q182" s="29" t="inlineStr">
        <is>
          <t>Yes</t>
        </is>
      </c>
      <c r="R182" s="29" t="inlineStr"/>
      <c r="S182" s="29" t="inlineStr">
        <is>
          <t>Unknown</t>
        </is>
      </c>
      <c r="T182" s="29" t="inlineStr"/>
      <c r="U182" s="29" t="inlineStr"/>
      <c r="V182" s="29" t="inlineStr"/>
      <c r="W182" s="29" t="inlineStr"/>
      <c r="X182" s="29" t="inlineStr"/>
      <c r="Y182" s="29" t="inlineStr"/>
      <c r="Z182" s="29" t="inlineStr"/>
      <c r="AA182" s="29" t="inlineStr"/>
      <c r="AB182" s="29" t="inlineStr"/>
      <c r="AC182" s="29" t="inlineStr"/>
      <c r="AD182" s="29" t="inlineStr"/>
      <c r="AE182" s="29" t="inlineStr">
        <is>
          <t>Unknown</t>
        </is>
      </c>
      <c r="AF182" s="29" t="inlineStr">
        <is>
          <t>No exact feature-level physical path was resolved from the reviewed evidence.</t>
        </is>
      </c>
      <c r="AG182" s="29" t="inlineStr">
        <is>
          <t>Unknown</t>
        </is>
      </c>
      <c r="AH182" s="29" t="inlineStr">
        <is>
          <t>Unknown</t>
        </is>
      </c>
      <c r="AI182" s="29" t="inlineStr">
        <is>
          <t>A prior area review labelled this 'Partial', but did not supply a feature-level physical mapping; the authoritative state is therefore Unknown.</t>
        </is>
      </c>
      <c r="AJ182" s="29" t="inlineStr">
        <is>
          <t>Unknown</t>
        </is>
      </c>
      <c r="AK182" s="29" t="inlineStr">
        <is>
          <t>EV-10-0004</t>
        </is>
      </c>
      <c r="AL182" s="29" t="inlineStr"/>
      <c r="AM182" s="29" t="inlineStr"/>
      <c r="AN182" s="29" t="inlineStr"/>
      <c r="AO182" s="29" t="inlineStr">
        <is>
          <t>8bc0dcb2a1da1b21368c5536aaeef829d587f316</t>
        </is>
      </c>
      <c r="AP182" s="29" t="inlineStr">
        <is>
          <t>Low</t>
        </is>
      </c>
      <c r="AQ182" s="29" t="inlineStr">
        <is>
          <t>Not assessed</t>
        </is>
      </c>
      <c r="AR182" s="29" t="inlineStr">
        <is>
          <t>Not assessed</t>
        </is>
      </c>
      <c r="AS182" s="29" t="inlineStr">
        <is>
          <t>Not assessed</t>
        </is>
      </c>
      <c r="AT182" s="29" t="inlineStr">
        <is>
          <t>Not assessed</t>
        </is>
      </c>
      <c r="AU182" s="29" t="inlineStr">
        <is>
          <t>Not assessed</t>
        </is>
      </c>
      <c r="AV182" s="29" t="inlineStr">
        <is>
          <t>Not assessed</t>
        </is>
      </c>
      <c r="AW182" s="29" t="inlineStr">
        <is>
          <t>Not assessed</t>
        </is>
      </c>
      <c r="AX182" s="29" t="inlineStr">
        <is>
          <t>Not assessed</t>
        </is>
      </c>
      <c r="AY182" s="29" t="inlineStr">
        <is>
          <t>Not assessed</t>
        </is>
      </c>
      <c r="AZ182" s="29" t="inlineStr">
        <is>
          <t>Not assessed</t>
        </is>
      </c>
      <c r="BA182" s="29" t="inlineStr">
        <is>
          <t>Not assessed</t>
        </is>
      </c>
      <c r="BB182" s="29" t="inlineStr">
        <is>
          <t>Not assessed</t>
        </is>
      </c>
      <c r="BC182" s="29" t="inlineStr">
        <is>
          <t>Not assessed</t>
        </is>
      </c>
      <c r="BD182" s="29" t="inlineStr">
        <is>
          <t>Not assessed</t>
        </is>
      </c>
      <c r="BE182" s="29" t="inlineStr">
        <is>
          <t>Not assessed</t>
        </is>
      </c>
      <c r="BF182" s="29" t="inlineStr">
        <is>
          <t>Production readiness cannot be assessed until the exact physical implementation and runtime path are traced.</t>
        </is>
      </c>
      <c r="BG182" s="29" t="inlineStr">
        <is>
          <t>Map the feature to exact client, server, data, worker and configuration locations, then verify its runtime path.</t>
        </is>
      </c>
      <c r="BH182" s="29" t="inlineStr"/>
      <c r="BI182" s="29" t="inlineStr"/>
      <c r="BJ182" s="29" t="inlineStr"/>
      <c r="BK182" s="29" t="inlineStr">
        <is>
          <t>Evidence reconciled against the reviewed source revision. No production approval is inferred from implementation or file presence.</t>
        </is>
      </c>
      <c r="BL182" s="29" t="inlineStr">
        <is>
          <t>2026-08-02</t>
        </is>
      </c>
    </row>
    <row r="183" ht="42" customHeight="1">
      <c r="A183" s="29" t="inlineStr">
        <is>
          <t>BLYP-10-006</t>
        </is>
      </c>
      <c r="B183" s="29" t="inlineStr"/>
      <c r="C183" s="29" t="inlineStr">
        <is>
          <t>Trust, safety, and moderation</t>
        </is>
      </c>
      <c r="D183" s="29" t="n">
        <v>10</v>
      </c>
      <c r="E183" s="29" t="n">
        <v>6</v>
      </c>
      <c r="F183" s="29" t="inlineStr">
        <is>
          <t>Feature</t>
        </is>
      </c>
      <c r="G183" s="29" t="inlineStr">
        <is>
          <t>Leave conversation/room/live experience</t>
        </is>
      </c>
      <c r="H183" s="29" t="inlineStr">
        <is>
          <t>Leave conversation/room/live experience</t>
        </is>
      </c>
      <c r="I183" s="29" t="inlineStr">
        <is>
          <t>/home/ubuntu/blyp_product_requirements.md :: Section 10 — Trust, safety, and moderation</t>
        </is>
      </c>
      <c r="J183" s="29" t="inlineStr">
        <is>
          <t>/home/ubuntu/BLYP_COMPLETE_FEATURE_LIST.md:242</t>
        </is>
      </c>
      <c r="K183" s="29" t="inlineStr">
        <is>
          <t>Required</t>
        </is>
      </c>
      <c r="L183" s="29" t="inlineStr">
        <is>
          <t>Applicable BLYP member</t>
        </is>
      </c>
      <c r="M183" s="29" t="inlineStr">
        <is>
          <t>BLYP mobile application and supporting production services</t>
        </is>
      </c>
      <c r="N183" s="29" t="inlineStr">
        <is>
          <t>Leave conversation/room/live experience</t>
        </is>
      </c>
      <c r="O183" s="29" t="inlineStr">
        <is>
          <t>Not explicitly defined in the product source; requires accountable product approval before production sign-off.</t>
        </is>
      </c>
      <c r="P183" s="29" t="inlineStr"/>
      <c r="Q183" s="29" t="inlineStr">
        <is>
          <t>Partial</t>
        </is>
      </c>
      <c r="R183" s="29" t="inlineStr"/>
      <c r="S183" s="29" t="inlineStr">
        <is>
          <t>Unknown</t>
        </is>
      </c>
      <c r="T183" s="29" t="inlineStr"/>
      <c r="U183" s="29" t="inlineStr"/>
      <c r="V183" s="29" t="inlineStr"/>
      <c r="W183" s="29" t="inlineStr"/>
      <c r="X183" s="29" t="inlineStr"/>
      <c r="Y183" s="29" t="inlineStr"/>
      <c r="Z183" s="29" t="inlineStr"/>
      <c r="AA183" s="29" t="inlineStr"/>
      <c r="AB183" s="29" t="inlineStr"/>
      <c r="AC183" s="29" t="inlineStr"/>
      <c r="AD183" s="29" t="inlineStr"/>
      <c r="AE183" s="29" t="inlineStr">
        <is>
          <t>Unknown</t>
        </is>
      </c>
      <c r="AF183" s="29" t="inlineStr"/>
      <c r="AG183" s="29" t="inlineStr">
        <is>
          <t>Unknown</t>
        </is>
      </c>
      <c r="AH183" s="29" t="inlineStr">
        <is>
          <t>Unknown</t>
        </is>
      </c>
      <c r="AI183" s="29" t="inlineStr"/>
      <c r="AJ183" s="29" t="inlineStr">
        <is>
          <t>Not verified</t>
        </is>
      </c>
      <c r="AK183" s="29" t="inlineStr"/>
      <c r="AL183" s="29" t="inlineStr"/>
      <c r="AM183" s="29" t="inlineStr"/>
      <c r="AN183" s="29" t="inlineStr"/>
      <c r="AO183" s="29" t="inlineStr">
        <is>
          <t>8bc0dcb2a1da1b21368c5536aaeef829d587f316</t>
        </is>
      </c>
      <c r="AP183" s="29" t="inlineStr">
        <is>
          <t>Low</t>
        </is>
      </c>
      <c r="AQ183" s="29" t="inlineStr">
        <is>
          <t>Not assessed</t>
        </is>
      </c>
      <c r="AR183" s="29" t="inlineStr">
        <is>
          <t>Not assessed</t>
        </is>
      </c>
      <c r="AS183" s="29" t="inlineStr">
        <is>
          <t>Not assessed</t>
        </is>
      </c>
      <c r="AT183" s="29" t="inlineStr">
        <is>
          <t>Not assessed</t>
        </is>
      </c>
      <c r="AU183" s="29" t="inlineStr">
        <is>
          <t>Not assessed</t>
        </is>
      </c>
      <c r="AV183" s="29" t="inlineStr">
        <is>
          <t>Not assessed</t>
        </is>
      </c>
      <c r="AW183" s="29" t="inlineStr">
        <is>
          <t>Not assessed</t>
        </is>
      </c>
      <c r="AX183" s="29" t="inlineStr">
        <is>
          <t>Not assessed</t>
        </is>
      </c>
      <c r="AY183" s="29" t="inlineStr">
        <is>
          <t>Not assessed</t>
        </is>
      </c>
      <c r="AZ183" s="29" t="inlineStr">
        <is>
          <t>Not assessed</t>
        </is>
      </c>
      <c r="BA183" s="29" t="inlineStr">
        <is>
          <t>Not assessed</t>
        </is>
      </c>
      <c r="BB183" s="29" t="inlineStr">
        <is>
          <t>Not assessed</t>
        </is>
      </c>
      <c r="BC183" s="29" t="inlineStr">
        <is>
          <t>Not assessed</t>
        </is>
      </c>
      <c r="BD183" s="29" t="inlineStr">
        <is>
          <t>Not assessed</t>
        </is>
      </c>
      <c r="BE183" s="29" t="inlineStr">
        <is>
          <t>Not assessed</t>
        </is>
      </c>
      <c r="BF183" s="29" t="inlineStr">
        <is>
          <t>Insufficient evidence to issue a production-readiness conclusion.</t>
        </is>
      </c>
      <c r="BG183" s="29" t="inlineStr"/>
      <c r="BH183" s="29" t="inlineStr"/>
      <c r="BI183" s="29" t="inlineStr"/>
      <c r="BJ183" s="29" t="inlineStr"/>
      <c r="BK183" s="29" t="inlineStr">
        <is>
          <t>Evidence reconciled against the reviewed source revision. No production approval is inferred from implementation or file presence.</t>
        </is>
      </c>
      <c r="BL183" s="29" t="inlineStr">
        <is>
          <t>2026-08-02</t>
        </is>
      </c>
    </row>
    <row r="184" ht="42" customHeight="1">
      <c r="A184" s="29" t="inlineStr">
        <is>
          <t>BLYP-10-007</t>
        </is>
      </c>
      <c r="B184" s="29" t="inlineStr"/>
      <c r="C184" s="29" t="inlineStr">
        <is>
          <t>Trust, safety, and moderation</t>
        </is>
      </c>
      <c r="D184" s="29" t="n">
        <v>10</v>
      </c>
      <c r="E184" s="29" t="n">
        <v>7</v>
      </c>
      <c r="F184" s="29" t="inlineStr">
        <is>
          <t>Feature</t>
        </is>
      </c>
      <c r="G184" s="29" t="inlineStr">
        <is>
          <t>Live guest mute</t>
        </is>
      </c>
      <c r="H184" s="29" t="inlineStr">
        <is>
          <t>Live guest mute</t>
        </is>
      </c>
      <c r="I184" s="29" t="inlineStr">
        <is>
          <t>/home/ubuntu/blyp_product_requirements.md :: Section 10 — Trust, safety, and moderation</t>
        </is>
      </c>
      <c r="J184" s="29" t="inlineStr">
        <is>
          <t>/home/ubuntu/BLYP_COMPLETE_FEATURE_LIST.md:243</t>
        </is>
      </c>
      <c r="K184" s="29" t="inlineStr">
        <is>
          <t>Required</t>
        </is>
      </c>
      <c r="L184" s="29" t="inlineStr">
        <is>
          <t>Authenticated or eligible viewer</t>
        </is>
      </c>
      <c r="M184" s="29" t="inlineStr">
        <is>
          <t>BLYP mobile application and supporting production services</t>
        </is>
      </c>
      <c r="N184" s="29" t="inlineStr">
        <is>
          <t>Live guest mute</t>
        </is>
      </c>
      <c r="O184" s="29" t="inlineStr">
        <is>
          <t>Not explicitly defined in the product source; requires accountable product approval before production sign-off.</t>
        </is>
      </c>
      <c r="P184" s="29" t="inlineStr"/>
      <c r="Q184" s="29" t="inlineStr">
        <is>
          <t>Yes</t>
        </is>
      </c>
      <c r="R184" s="29" t="inlineStr"/>
      <c r="S184" s="29" t="inlineStr">
        <is>
          <t>Unknown</t>
        </is>
      </c>
      <c r="T184" s="29" t="inlineStr"/>
      <c r="U184" s="29" t="inlineStr"/>
      <c r="V184" s="29" t="inlineStr"/>
      <c r="W184" s="29" t="inlineStr"/>
      <c r="X184" s="29" t="inlineStr"/>
      <c r="Y184" s="29" t="inlineStr"/>
      <c r="Z184" s="29" t="inlineStr"/>
      <c r="AA184" s="29" t="inlineStr"/>
      <c r="AB184" s="29" t="inlineStr"/>
      <c r="AC184" s="29" t="inlineStr"/>
      <c r="AD184" s="29" t="inlineStr"/>
      <c r="AE184" s="29" t="inlineStr">
        <is>
          <t>Unknown</t>
        </is>
      </c>
      <c r="AF184" s="29" t="inlineStr">
        <is>
          <t>No exact feature-level physical path was resolved from the reviewed evidence.</t>
        </is>
      </c>
      <c r="AG184" s="29" t="inlineStr">
        <is>
          <t>Unknown</t>
        </is>
      </c>
      <c r="AH184" s="29" t="inlineStr">
        <is>
          <t>Unknown</t>
        </is>
      </c>
      <c r="AI184" s="29" t="inlineStr">
        <is>
          <t>A prior area review labelled this 'Partial', but did not supply a feature-level physical mapping; the authoritative state is therefore Unknown.</t>
        </is>
      </c>
      <c r="AJ184" s="29" t="inlineStr">
        <is>
          <t>Unknown</t>
        </is>
      </c>
      <c r="AK184" s="29" t="inlineStr">
        <is>
          <t>EV-10-0005</t>
        </is>
      </c>
      <c r="AL184" s="29" t="inlineStr"/>
      <c r="AM184" s="29" t="inlineStr"/>
      <c r="AN184" s="29" t="inlineStr"/>
      <c r="AO184" s="29" t="inlineStr">
        <is>
          <t>8bc0dcb2a1da1b21368c5536aaeef829d587f316</t>
        </is>
      </c>
      <c r="AP184" s="29" t="inlineStr">
        <is>
          <t>Low</t>
        </is>
      </c>
      <c r="AQ184" s="29" t="inlineStr">
        <is>
          <t>Not assessed</t>
        </is>
      </c>
      <c r="AR184" s="29" t="inlineStr">
        <is>
          <t>Not assessed</t>
        </is>
      </c>
      <c r="AS184" s="29" t="inlineStr">
        <is>
          <t>Not assessed</t>
        </is>
      </c>
      <c r="AT184" s="29" t="inlineStr">
        <is>
          <t>Not assessed</t>
        </is>
      </c>
      <c r="AU184" s="29" t="inlineStr">
        <is>
          <t>Not assessed</t>
        </is>
      </c>
      <c r="AV184" s="29" t="inlineStr">
        <is>
          <t>Not assessed</t>
        </is>
      </c>
      <c r="AW184" s="29" t="inlineStr">
        <is>
          <t>Not assessed</t>
        </is>
      </c>
      <c r="AX184" s="29" t="inlineStr">
        <is>
          <t>Not assessed</t>
        </is>
      </c>
      <c r="AY184" s="29" t="inlineStr">
        <is>
          <t>Not assessed</t>
        </is>
      </c>
      <c r="AZ184" s="29" t="inlineStr">
        <is>
          <t>Not assessed</t>
        </is>
      </c>
      <c r="BA184" s="29" t="inlineStr">
        <is>
          <t>Not assessed</t>
        </is>
      </c>
      <c r="BB184" s="29" t="inlineStr">
        <is>
          <t>Not assessed</t>
        </is>
      </c>
      <c r="BC184" s="29" t="inlineStr">
        <is>
          <t>Not assessed</t>
        </is>
      </c>
      <c r="BD184" s="29" t="inlineStr">
        <is>
          <t>Not assessed</t>
        </is>
      </c>
      <c r="BE184" s="29" t="inlineStr">
        <is>
          <t>Not assessed</t>
        </is>
      </c>
      <c r="BF184" s="29" t="inlineStr">
        <is>
          <t>Production readiness cannot be assessed until the exact physical implementation and runtime path are traced.</t>
        </is>
      </c>
      <c r="BG184" s="29" t="inlineStr">
        <is>
          <t>Map the feature to exact client, server, data, worker and configuration locations, then verify its runtime path.</t>
        </is>
      </c>
      <c r="BH184" s="29" t="inlineStr"/>
      <c r="BI184" s="29" t="inlineStr"/>
      <c r="BJ184" s="29" t="inlineStr"/>
      <c r="BK184" s="29" t="inlineStr">
        <is>
          <t>Evidence reconciled against the reviewed source revision. No production approval is inferred from implementation or file presence.</t>
        </is>
      </c>
      <c r="BL184" s="29" t="inlineStr">
        <is>
          <t>2026-08-02</t>
        </is>
      </c>
    </row>
    <row r="185" ht="42" customHeight="1">
      <c r="A185" s="29" t="inlineStr">
        <is>
          <t>BLYP-10-008</t>
        </is>
      </c>
      <c r="B185" s="29" t="inlineStr"/>
      <c r="C185" s="29" t="inlineStr">
        <is>
          <t>Trust, safety, and moderation</t>
        </is>
      </c>
      <c r="D185" s="29" t="n">
        <v>10</v>
      </c>
      <c r="E185" s="29" t="n">
        <v>8</v>
      </c>
      <c r="F185" s="29" t="inlineStr">
        <is>
          <t>Feature</t>
        </is>
      </c>
      <c r="G185" s="29" t="inlineStr">
        <is>
          <t>Live guest kick/removal</t>
        </is>
      </c>
      <c r="H185" s="29" t="inlineStr">
        <is>
          <t>Live guest kick/removal</t>
        </is>
      </c>
      <c r="I185" s="29" t="inlineStr">
        <is>
          <t>/home/ubuntu/blyp_product_requirements.md :: Section 10 — Trust, safety, and moderation</t>
        </is>
      </c>
      <c r="J185" s="29" t="inlineStr">
        <is>
          <t>/home/ubuntu/BLYP_COMPLETE_FEATURE_LIST.md:244</t>
        </is>
      </c>
      <c r="K185" s="29" t="inlineStr">
        <is>
          <t>Required</t>
        </is>
      </c>
      <c r="L185" s="29" t="inlineStr">
        <is>
          <t>Authenticated or eligible viewer</t>
        </is>
      </c>
      <c r="M185" s="29" t="inlineStr">
        <is>
          <t>BLYP mobile application and supporting production services</t>
        </is>
      </c>
      <c r="N185" s="29" t="inlineStr">
        <is>
          <t>Live guest kick/removal</t>
        </is>
      </c>
      <c r="O185" s="29" t="inlineStr">
        <is>
          <t>Not explicitly defined in the product source; requires accountable product approval before production sign-off.</t>
        </is>
      </c>
      <c r="P185" s="29" t="inlineStr"/>
      <c r="Q185" s="29" t="inlineStr">
        <is>
          <t>Yes</t>
        </is>
      </c>
      <c r="R185" s="29" t="inlineStr"/>
      <c r="S185" s="29" t="inlineStr">
        <is>
          <t>Unknown</t>
        </is>
      </c>
      <c r="T185" s="29" t="inlineStr"/>
      <c r="U185" s="29" t="inlineStr"/>
      <c r="V185" s="29" t="inlineStr"/>
      <c r="W185" s="29" t="inlineStr"/>
      <c r="X185" s="29" t="inlineStr"/>
      <c r="Y185" s="29" t="inlineStr"/>
      <c r="Z185" s="29" t="inlineStr"/>
      <c r="AA185" s="29" t="inlineStr"/>
      <c r="AB185" s="29" t="inlineStr"/>
      <c r="AC185" s="29" t="inlineStr"/>
      <c r="AD185" s="29" t="inlineStr"/>
      <c r="AE185" s="29" t="inlineStr">
        <is>
          <t>Unknown</t>
        </is>
      </c>
      <c r="AF185" s="29" t="inlineStr"/>
      <c r="AG185" s="29" t="inlineStr">
        <is>
          <t>Unknown</t>
        </is>
      </c>
      <c r="AH185" s="29" t="inlineStr">
        <is>
          <t>Unknown</t>
        </is>
      </c>
      <c r="AI185" s="29" t="inlineStr"/>
      <c r="AJ185" s="29" t="inlineStr">
        <is>
          <t>Not verified</t>
        </is>
      </c>
      <c r="AK185" s="29" t="inlineStr"/>
      <c r="AL185" s="29" t="inlineStr"/>
      <c r="AM185" s="29" t="inlineStr"/>
      <c r="AN185" s="29" t="inlineStr"/>
      <c r="AO185" s="29" t="inlineStr">
        <is>
          <t>8bc0dcb2a1da1b21368c5536aaeef829d587f316</t>
        </is>
      </c>
      <c r="AP185" s="29" t="inlineStr">
        <is>
          <t>Low</t>
        </is>
      </c>
      <c r="AQ185" s="29" t="inlineStr">
        <is>
          <t>Not assessed</t>
        </is>
      </c>
      <c r="AR185" s="29" t="inlineStr">
        <is>
          <t>Not assessed</t>
        </is>
      </c>
      <c r="AS185" s="29" t="inlineStr">
        <is>
          <t>Not assessed</t>
        </is>
      </c>
      <c r="AT185" s="29" t="inlineStr">
        <is>
          <t>Not assessed</t>
        </is>
      </c>
      <c r="AU185" s="29" t="inlineStr">
        <is>
          <t>Not assessed</t>
        </is>
      </c>
      <c r="AV185" s="29" t="inlineStr">
        <is>
          <t>Not assessed</t>
        </is>
      </c>
      <c r="AW185" s="29" t="inlineStr">
        <is>
          <t>Not assessed</t>
        </is>
      </c>
      <c r="AX185" s="29" t="inlineStr">
        <is>
          <t>Not assessed</t>
        </is>
      </c>
      <c r="AY185" s="29" t="inlineStr">
        <is>
          <t>Not assessed</t>
        </is>
      </c>
      <c r="AZ185" s="29" t="inlineStr">
        <is>
          <t>Not assessed</t>
        </is>
      </c>
      <c r="BA185" s="29" t="inlineStr">
        <is>
          <t>Not assessed</t>
        </is>
      </c>
      <c r="BB185" s="29" t="inlineStr">
        <is>
          <t>Not assessed</t>
        </is>
      </c>
      <c r="BC185" s="29" t="inlineStr">
        <is>
          <t>Not assessed</t>
        </is>
      </c>
      <c r="BD185" s="29" t="inlineStr">
        <is>
          <t>Not assessed</t>
        </is>
      </c>
      <c r="BE185" s="29" t="inlineStr">
        <is>
          <t>Not assessed</t>
        </is>
      </c>
      <c r="BF185" s="29" t="inlineStr">
        <is>
          <t>Insufficient evidence to issue a production-readiness conclusion.</t>
        </is>
      </c>
      <c r="BG185" s="29" t="inlineStr"/>
      <c r="BH185" s="29" t="inlineStr"/>
      <c r="BI185" s="29" t="inlineStr"/>
      <c r="BJ185" s="29" t="inlineStr"/>
      <c r="BK185" s="29" t="inlineStr">
        <is>
          <t>Evidence reconciled against the reviewed source revision. No production approval is inferred from implementation or file presence.</t>
        </is>
      </c>
      <c r="BL185" s="29" t="inlineStr">
        <is>
          <t>2026-08-02</t>
        </is>
      </c>
    </row>
    <row r="186" ht="42" customHeight="1">
      <c r="A186" s="29" t="inlineStr">
        <is>
          <t>BLYP-10-009</t>
        </is>
      </c>
      <c r="B186" s="29" t="inlineStr"/>
      <c r="C186" s="29" t="inlineStr">
        <is>
          <t>Trust, safety, and moderation</t>
        </is>
      </c>
      <c r="D186" s="29" t="n">
        <v>10</v>
      </c>
      <c r="E186" s="29" t="n">
        <v>9</v>
      </c>
      <c r="F186" s="29" t="inlineStr">
        <is>
          <t>Feature</t>
        </is>
      </c>
      <c r="G186" s="29" t="inlineStr">
        <is>
          <t>Live slow mode</t>
        </is>
      </c>
      <c r="H186" s="29" t="inlineStr">
        <is>
          <t>Live slow mode</t>
        </is>
      </c>
      <c r="I186" s="29" t="inlineStr">
        <is>
          <t>/home/ubuntu/blyp_product_requirements.md :: Section 10 — Trust, safety, and moderation</t>
        </is>
      </c>
      <c r="J186" s="29" t="inlineStr">
        <is>
          <t>/home/ubuntu/BLYP_COMPLETE_FEATURE_LIST.md:245</t>
        </is>
      </c>
      <c r="K186" s="29" t="inlineStr">
        <is>
          <t>Required</t>
        </is>
      </c>
      <c r="L186" s="29" t="inlineStr">
        <is>
          <t>Applicable BLYP member</t>
        </is>
      </c>
      <c r="M186" s="29" t="inlineStr">
        <is>
          <t>BLYP mobile application and supporting production services</t>
        </is>
      </c>
      <c r="N186" s="29" t="inlineStr">
        <is>
          <t>Live slow mode</t>
        </is>
      </c>
      <c r="O186" s="29" t="inlineStr">
        <is>
          <t>Not explicitly defined in the product source; requires accountable product approval before production sign-off.</t>
        </is>
      </c>
      <c r="P186" s="29" t="inlineStr"/>
      <c r="Q186" s="29" t="inlineStr">
        <is>
          <t>Partial</t>
        </is>
      </c>
      <c r="R186" s="29" t="inlineStr"/>
      <c r="S186" s="29" t="inlineStr">
        <is>
          <t>Unknown</t>
        </is>
      </c>
      <c r="T186" s="29" t="inlineStr"/>
      <c r="U186" s="29" t="inlineStr"/>
      <c r="V186" s="29" t="inlineStr"/>
      <c r="W186" s="29" t="inlineStr"/>
      <c r="X186" s="29" t="inlineStr"/>
      <c r="Y186" s="29" t="inlineStr"/>
      <c r="Z186" s="29" t="inlineStr"/>
      <c r="AA186" s="29" t="inlineStr"/>
      <c r="AB186" s="29" t="inlineStr"/>
      <c r="AC186" s="29" t="inlineStr"/>
      <c r="AD186" s="29" t="inlineStr"/>
      <c r="AE186" s="29" t="inlineStr">
        <is>
          <t>Unknown</t>
        </is>
      </c>
      <c r="AF186" s="29" t="inlineStr"/>
      <c r="AG186" s="29" t="inlineStr">
        <is>
          <t>Unknown</t>
        </is>
      </c>
      <c r="AH186" s="29" t="inlineStr">
        <is>
          <t>Unknown</t>
        </is>
      </c>
      <c r="AI186" s="29" t="inlineStr"/>
      <c r="AJ186" s="29" t="inlineStr">
        <is>
          <t>Not verified</t>
        </is>
      </c>
      <c r="AK186" s="29" t="inlineStr"/>
      <c r="AL186" s="29" t="inlineStr"/>
      <c r="AM186" s="29" t="inlineStr"/>
      <c r="AN186" s="29" t="inlineStr"/>
      <c r="AO186" s="29" t="inlineStr">
        <is>
          <t>8bc0dcb2a1da1b21368c5536aaeef829d587f316</t>
        </is>
      </c>
      <c r="AP186" s="29" t="inlineStr">
        <is>
          <t>Low</t>
        </is>
      </c>
      <c r="AQ186" s="29" t="inlineStr">
        <is>
          <t>Not assessed</t>
        </is>
      </c>
      <c r="AR186" s="29" t="inlineStr">
        <is>
          <t>Not assessed</t>
        </is>
      </c>
      <c r="AS186" s="29" t="inlineStr">
        <is>
          <t>Not assessed</t>
        </is>
      </c>
      <c r="AT186" s="29" t="inlineStr">
        <is>
          <t>Not assessed</t>
        </is>
      </c>
      <c r="AU186" s="29" t="inlineStr">
        <is>
          <t>Not assessed</t>
        </is>
      </c>
      <c r="AV186" s="29" t="inlineStr">
        <is>
          <t>Not assessed</t>
        </is>
      </c>
      <c r="AW186" s="29" t="inlineStr">
        <is>
          <t>Not assessed</t>
        </is>
      </c>
      <c r="AX186" s="29" t="inlineStr">
        <is>
          <t>Not assessed</t>
        </is>
      </c>
      <c r="AY186" s="29" t="inlineStr">
        <is>
          <t>Not assessed</t>
        </is>
      </c>
      <c r="AZ186" s="29" t="inlineStr">
        <is>
          <t>Not assessed</t>
        </is>
      </c>
      <c r="BA186" s="29" t="inlineStr">
        <is>
          <t>Not assessed</t>
        </is>
      </c>
      <c r="BB186" s="29" t="inlineStr">
        <is>
          <t>Not assessed</t>
        </is>
      </c>
      <c r="BC186" s="29" t="inlineStr">
        <is>
          <t>Not assessed</t>
        </is>
      </c>
      <c r="BD186" s="29" t="inlineStr">
        <is>
          <t>Not assessed</t>
        </is>
      </c>
      <c r="BE186" s="29" t="inlineStr">
        <is>
          <t>Not assessed</t>
        </is>
      </c>
      <c r="BF186" s="29" t="inlineStr">
        <is>
          <t>Insufficient evidence to issue a production-readiness conclusion.</t>
        </is>
      </c>
      <c r="BG186" s="29" t="inlineStr"/>
      <c r="BH186" s="29" t="inlineStr"/>
      <c r="BI186" s="29" t="inlineStr"/>
      <c r="BJ186" s="29" t="inlineStr"/>
      <c r="BK186" s="29" t="inlineStr">
        <is>
          <t>Evidence reconciled against the reviewed source revision. No production approval is inferred from implementation or file presence.</t>
        </is>
      </c>
      <c r="BL186" s="29" t="inlineStr">
        <is>
          <t>2026-08-02</t>
        </is>
      </c>
    </row>
    <row r="187" ht="42" customHeight="1">
      <c r="A187" s="29" t="inlineStr">
        <is>
          <t>BLYP-10-010</t>
        </is>
      </c>
      <c r="B187" s="29" t="inlineStr"/>
      <c r="C187" s="29" t="inlineStr">
        <is>
          <t>Trust, safety, and moderation</t>
        </is>
      </c>
      <c r="D187" s="29" t="n">
        <v>10</v>
      </c>
      <c r="E187" s="29" t="n">
        <v>10</v>
      </c>
      <c r="F187" s="29" t="inlineStr">
        <is>
          <t>Feature</t>
        </is>
      </c>
      <c r="G187" s="29" t="inlineStr">
        <is>
          <t>Live guest cooldown</t>
        </is>
      </c>
      <c r="H187" s="29" t="inlineStr">
        <is>
          <t>Live guest cooldown</t>
        </is>
      </c>
      <c r="I187" s="29" t="inlineStr">
        <is>
          <t>/home/ubuntu/blyp_product_requirements.md :: Section 10 — Trust, safety, and moderation</t>
        </is>
      </c>
      <c r="J187" s="29" t="inlineStr">
        <is>
          <t>/home/ubuntu/BLYP_COMPLETE_FEATURE_LIST.md:246</t>
        </is>
      </c>
      <c r="K187" s="29" t="inlineStr">
        <is>
          <t>Required</t>
        </is>
      </c>
      <c r="L187" s="29" t="inlineStr">
        <is>
          <t>Authenticated or eligible viewer</t>
        </is>
      </c>
      <c r="M187" s="29" t="inlineStr">
        <is>
          <t>BLYP mobile application and supporting production services</t>
        </is>
      </c>
      <c r="N187" s="29" t="inlineStr">
        <is>
          <t>Live guest cooldown</t>
        </is>
      </c>
      <c r="O187" s="29" t="inlineStr">
        <is>
          <t>Not explicitly defined in the product source; requires accountable product approval before production sign-off.</t>
        </is>
      </c>
      <c r="P187" s="29" t="inlineStr"/>
      <c r="Q187" s="29" t="inlineStr">
        <is>
          <t>No evidence</t>
        </is>
      </c>
      <c r="R187" s="29" t="inlineStr"/>
      <c r="S187" s="29" t="inlineStr">
        <is>
          <t>Unknown</t>
        </is>
      </c>
      <c r="T187" s="29" t="inlineStr"/>
      <c r="U187" s="29" t="inlineStr"/>
      <c r="V187" s="29" t="inlineStr"/>
      <c r="W187" s="29" t="inlineStr"/>
      <c r="X187" s="29" t="inlineStr"/>
      <c r="Y187" s="29" t="inlineStr"/>
      <c r="Z187" s="29" t="inlineStr"/>
      <c r="AA187" s="29" t="inlineStr"/>
      <c r="AB187" s="29" t="inlineStr"/>
      <c r="AC187" s="29" t="inlineStr"/>
      <c r="AD187" s="29" t="inlineStr"/>
      <c r="AE187" s="29" t="inlineStr">
        <is>
          <t>Unknown</t>
        </is>
      </c>
      <c r="AF187" s="29" t="inlineStr"/>
      <c r="AG187" s="29" t="inlineStr">
        <is>
          <t>Unknown</t>
        </is>
      </c>
      <c r="AH187" s="29" t="inlineStr">
        <is>
          <t>Unknown</t>
        </is>
      </c>
      <c r="AI187" s="29" t="inlineStr"/>
      <c r="AJ187" s="29" t="inlineStr">
        <is>
          <t>Not verified</t>
        </is>
      </c>
      <c r="AK187" s="29" t="inlineStr"/>
      <c r="AL187" s="29" t="inlineStr"/>
      <c r="AM187" s="29" t="inlineStr"/>
      <c r="AN187" s="29" t="inlineStr"/>
      <c r="AO187" s="29" t="inlineStr">
        <is>
          <t>8bc0dcb2a1da1b21368c5536aaeef829d587f316</t>
        </is>
      </c>
      <c r="AP187" s="29" t="inlineStr">
        <is>
          <t>Low</t>
        </is>
      </c>
      <c r="AQ187" s="29" t="inlineStr">
        <is>
          <t>Not assessed</t>
        </is>
      </c>
      <c r="AR187" s="29" t="inlineStr">
        <is>
          <t>Not assessed</t>
        </is>
      </c>
      <c r="AS187" s="29" t="inlineStr">
        <is>
          <t>Not assessed</t>
        </is>
      </c>
      <c r="AT187" s="29" t="inlineStr">
        <is>
          <t>Not assessed</t>
        </is>
      </c>
      <c r="AU187" s="29" t="inlineStr">
        <is>
          <t>Not assessed</t>
        </is>
      </c>
      <c r="AV187" s="29" t="inlineStr">
        <is>
          <t>Not assessed</t>
        </is>
      </c>
      <c r="AW187" s="29" t="inlineStr">
        <is>
          <t>Not assessed</t>
        </is>
      </c>
      <c r="AX187" s="29" t="inlineStr">
        <is>
          <t>Not assessed</t>
        </is>
      </c>
      <c r="AY187" s="29" t="inlineStr">
        <is>
          <t>Not assessed</t>
        </is>
      </c>
      <c r="AZ187" s="29" t="inlineStr">
        <is>
          <t>Not assessed</t>
        </is>
      </c>
      <c r="BA187" s="29" t="inlineStr">
        <is>
          <t>Not assessed</t>
        </is>
      </c>
      <c r="BB187" s="29" t="inlineStr">
        <is>
          <t>Not assessed</t>
        </is>
      </c>
      <c r="BC187" s="29" t="inlineStr">
        <is>
          <t>Not assessed</t>
        </is>
      </c>
      <c r="BD187" s="29" t="inlineStr">
        <is>
          <t>Not assessed</t>
        </is>
      </c>
      <c r="BE187" s="29" t="inlineStr">
        <is>
          <t>Not assessed</t>
        </is>
      </c>
      <c r="BF187" s="29" t="inlineStr">
        <is>
          <t>Insufficient evidence to issue a production-readiness conclusion.</t>
        </is>
      </c>
      <c r="BG187" s="29" t="inlineStr"/>
      <c r="BH187" s="29" t="inlineStr"/>
      <c r="BI187" s="29" t="inlineStr"/>
      <c r="BJ187" s="29" t="inlineStr"/>
      <c r="BK187" s="29" t="inlineStr">
        <is>
          <t>Evidence reconciled against the reviewed source revision. No production approval is inferred from implementation or file presence.</t>
        </is>
      </c>
      <c r="BL187" s="29" t="inlineStr">
        <is>
          <t>2026-08-02</t>
        </is>
      </c>
    </row>
    <row r="188" ht="42" customHeight="1">
      <c r="A188" s="29" t="inlineStr">
        <is>
          <t>BLYP-10-011</t>
        </is>
      </c>
      <c r="B188" s="29" t="inlineStr"/>
      <c r="C188" s="29" t="inlineStr">
        <is>
          <t>Trust, safety, and moderation</t>
        </is>
      </c>
      <c r="D188" s="29" t="n">
        <v>10</v>
      </c>
      <c r="E188" s="29" t="n">
        <v>11</v>
      </c>
      <c r="F188" s="29" t="inlineStr">
        <is>
          <t>Feature</t>
        </is>
      </c>
      <c r="G188" s="29" t="inlineStr">
        <is>
          <t>Automated abuse detection</t>
        </is>
      </c>
      <c r="H188" s="29" t="inlineStr">
        <is>
          <t>Automated abuse detection</t>
        </is>
      </c>
      <c r="I188" s="29" t="inlineStr">
        <is>
          <t>/home/ubuntu/blyp_product_requirements.md :: Section 10 — Trust, safety, and moderation</t>
        </is>
      </c>
      <c r="J188" s="29" t="inlineStr">
        <is>
          <t>/home/ubuntu/BLYP_COMPLETE_FEATURE_LIST.md:247</t>
        </is>
      </c>
      <c r="K188" s="29" t="inlineStr">
        <is>
          <t>Required</t>
        </is>
      </c>
      <c r="L188" s="29" t="inlineStr">
        <is>
          <t>Applicable BLYP member</t>
        </is>
      </c>
      <c r="M188" s="29" t="inlineStr">
        <is>
          <t>BLYP mobile application and supporting production services</t>
        </is>
      </c>
      <c r="N188" s="29" t="inlineStr">
        <is>
          <t>Automated abuse detection</t>
        </is>
      </c>
      <c r="O188" s="29" t="inlineStr">
        <is>
          <t>Not explicitly defined in the product source; requires accountable product approval before production sign-off.</t>
        </is>
      </c>
      <c r="P188" s="29" t="inlineStr"/>
      <c r="Q188" s="29" t="inlineStr">
        <is>
          <t>Partial</t>
        </is>
      </c>
      <c r="R188" s="29" t="inlineStr">
        <is>
          <t>throttling patterns exist; complete detection does not.</t>
        </is>
      </c>
      <c r="S188" s="29" t="inlineStr">
        <is>
          <t>Unknown</t>
        </is>
      </c>
      <c r="T188" s="29" t="inlineStr"/>
      <c r="U188" s="29" t="inlineStr"/>
      <c r="V188" s="29" t="inlineStr"/>
      <c r="W188" s="29" t="inlineStr"/>
      <c r="X188" s="29" t="inlineStr"/>
      <c r="Y188" s="29" t="inlineStr"/>
      <c r="Z188" s="29" t="inlineStr"/>
      <c r="AA188" s="29" t="inlineStr"/>
      <c r="AB188" s="29" t="inlineStr"/>
      <c r="AC188" s="29" t="inlineStr"/>
      <c r="AD188" s="29" t="inlineStr"/>
      <c r="AE188" s="29" t="inlineStr">
        <is>
          <t>Unknown</t>
        </is>
      </c>
      <c r="AF188" s="29" t="inlineStr"/>
      <c r="AG188" s="29" t="inlineStr">
        <is>
          <t>Unknown</t>
        </is>
      </c>
      <c r="AH188" s="29" t="inlineStr">
        <is>
          <t>Unknown</t>
        </is>
      </c>
      <c r="AI188" s="29" t="inlineStr"/>
      <c r="AJ188" s="29" t="inlineStr">
        <is>
          <t>Not verified</t>
        </is>
      </c>
      <c r="AK188" s="29" t="inlineStr"/>
      <c r="AL188" s="29" t="inlineStr"/>
      <c r="AM188" s="29" t="inlineStr"/>
      <c r="AN188" s="29" t="inlineStr"/>
      <c r="AO188" s="29" t="inlineStr">
        <is>
          <t>8bc0dcb2a1da1b21368c5536aaeef829d587f316</t>
        </is>
      </c>
      <c r="AP188" s="29" t="inlineStr">
        <is>
          <t>Low</t>
        </is>
      </c>
      <c r="AQ188" s="29" t="inlineStr">
        <is>
          <t>Not assessed</t>
        </is>
      </c>
      <c r="AR188" s="29" t="inlineStr">
        <is>
          <t>Not assessed</t>
        </is>
      </c>
      <c r="AS188" s="29" t="inlineStr">
        <is>
          <t>Not assessed</t>
        </is>
      </c>
      <c r="AT188" s="29" t="inlineStr">
        <is>
          <t>Not assessed</t>
        </is>
      </c>
      <c r="AU188" s="29" t="inlineStr">
        <is>
          <t>Not assessed</t>
        </is>
      </c>
      <c r="AV188" s="29" t="inlineStr">
        <is>
          <t>Not assessed</t>
        </is>
      </c>
      <c r="AW188" s="29" t="inlineStr">
        <is>
          <t>Not assessed</t>
        </is>
      </c>
      <c r="AX188" s="29" t="inlineStr">
        <is>
          <t>Not assessed</t>
        </is>
      </c>
      <c r="AY188" s="29" t="inlineStr">
        <is>
          <t>Not assessed</t>
        </is>
      </c>
      <c r="AZ188" s="29" t="inlineStr">
        <is>
          <t>Not assessed</t>
        </is>
      </c>
      <c r="BA188" s="29" t="inlineStr">
        <is>
          <t>Not assessed</t>
        </is>
      </c>
      <c r="BB188" s="29" t="inlineStr">
        <is>
          <t>Not assessed</t>
        </is>
      </c>
      <c r="BC188" s="29" t="inlineStr">
        <is>
          <t>Not assessed</t>
        </is>
      </c>
      <c r="BD188" s="29" t="inlineStr">
        <is>
          <t>Not assessed</t>
        </is>
      </c>
      <c r="BE188" s="29" t="inlineStr">
        <is>
          <t>Not assessed</t>
        </is>
      </c>
      <c r="BF188" s="29" t="inlineStr">
        <is>
          <t>Insufficient evidence to issue a production-readiness conclusion.</t>
        </is>
      </c>
      <c r="BG188" s="29" t="inlineStr"/>
      <c r="BH188" s="29" t="inlineStr"/>
      <c r="BI188" s="29" t="inlineStr"/>
      <c r="BJ188" s="29" t="inlineStr"/>
      <c r="BK188" s="29" t="inlineStr">
        <is>
          <t>Evidence reconciled against the reviewed source revision. No production approval is inferred from implementation or file presence.</t>
        </is>
      </c>
      <c r="BL188" s="29" t="inlineStr">
        <is>
          <t>2026-08-02</t>
        </is>
      </c>
    </row>
    <row r="189" ht="42" customHeight="1">
      <c r="A189" s="29" t="inlineStr">
        <is>
          <t>BLYP-10-012</t>
        </is>
      </c>
      <c r="B189" s="29" t="inlineStr"/>
      <c r="C189" s="29" t="inlineStr">
        <is>
          <t>Trust, safety, and moderation</t>
        </is>
      </c>
      <c r="D189" s="29" t="n">
        <v>10</v>
      </c>
      <c r="E189" s="29" t="n">
        <v>12</v>
      </c>
      <c r="F189" s="29" t="inlineStr">
        <is>
          <t>Feature</t>
        </is>
      </c>
      <c r="G189" s="29" t="inlineStr">
        <is>
          <t>Accountable human moderation</t>
        </is>
      </c>
      <c r="H189" s="29" t="inlineStr">
        <is>
          <t>Accountable human moderation</t>
        </is>
      </c>
      <c r="I189" s="29" t="inlineStr">
        <is>
          <t>/home/ubuntu/blyp_product_requirements.md :: Section 10 — Trust, safety, and moderation</t>
        </is>
      </c>
      <c r="J189" s="29" t="inlineStr">
        <is>
          <t>/home/ubuntu/BLYP_COMPLETE_FEATURE_LIST.md:248</t>
        </is>
      </c>
      <c r="K189" s="29" t="inlineStr">
        <is>
          <t>Required</t>
        </is>
      </c>
      <c r="L189" s="29" t="inlineStr">
        <is>
          <t>Applicable BLYP member</t>
        </is>
      </c>
      <c r="M189" s="29" t="inlineStr">
        <is>
          <t>BLYP mobile application and supporting production services</t>
        </is>
      </c>
      <c r="N189" s="29" t="inlineStr">
        <is>
          <t>Accountable human moderation</t>
        </is>
      </c>
      <c r="O189" s="29" t="inlineStr">
        <is>
          <t>Not explicitly defined in the product source; requires accountable product approval before production sign-off.</t>
        </is>
      </c>
      <c r="P189" s="29" t="inlineStr"/>
      <c r="Q189" s="29" t="inlineStr">
        <is>
          <t>Partial</t>
        </is>
      </c>
      <c r="R189" s="29" t="inlineStr"/>
      <c r="S189" s="29" t="inlineStr">
        <is>
          <t>Unknown</t>
        </is>
      </c>
      <c r="T189" s="29" t="inlineStr"/>
      <c r="U189" s="29" t="inlineStr"/>
      <c r="V189" s="29" t="inlineStr"/>
      <c r="W189" s="29" t="inlineStr"/>
      <c r="X189" s="29" t="inlineStr"/>
      <c r="Y189" s="29" t="inlineStr"/>
      <c r="Z189" s="29" t="inlineStr"/>
      <c r="AA189" s="29" t="inlineStr"/>
      <c r="AB189" s="29" t="inlineStr"/>
      <c r="AC189" s="29" t="inlineStr"/>
      <c r="AD189" s="29" t="inlineStr"/>
      <c r="AE189" s="29" t="inlineStr">
        <is>
          <t>Unknown</t>
        </is>
      </c>
      <c r="AF189" s="29" t="inlineStr"/>
      <c r="AG189" s="29" t="inlineStr">
        <is>
          <t>Unknown</t>
        </is>
      </c>
      <c r="AH189" s="29" t="inlineStr">
        <is>
          <t>Unknown</t>
        </is>
      </c>
      <c r="AI189" s="29" t="inlineStr"/>
      <c r="AJ189" s="29" t="inlineStr">
        <is>
          <t>Not verified</t>
        </is>
      </c>
      <c r="AK189" s="29" t="inlineStr"/>
      <c r="AL189" s="29" t="inlineStr"/>
      <c r="AM189" s="29" t="inlineStr"/>
      <c r="AN189" s="29" t="inlineStr"/>
      <c r="AO189" s="29" t="inlineStr">
        <is>
          <t>8bc0dcb2a1da1b21368c5536aaeef829d587f316</t>
        </is>
      </c>
      <c r="AP189" s="29" t="inlineStr">
        <is>
          <t>Low</t>
        </is>
      </c>
      <c r="AQ189" s="29" t="inlineStr">
        <is>
          <t>Not assessed</t>
        </is>
      </c>
      <c r="AR189" s="29" t="inlineStr">
        <is>
          <t>Not assessed</t>
        </is>
      </c>
      <c r="AS189" s="29" t="inlineStr">
        <is>
          <t>Not assessed</t>
        </is>
      </c>
      <c r="AT189" s="29" t="inlineStr">
        <is>
          <t>Not assessed</t>
        </is>
      </c>
      <c r="AU189" s="29" t="inlineStr">
        <is>
          <t>Not assessed</t>
        </is>
      </c>
      <c r="AV189" s="29" t="inlineStr">
        <is>
          <t>Not assessed</t>
        </is>
      </c>
      <c r="AW189" s="29" t="inlineStr">
        <is>
          <t>Not assessed</t>
        </is>
      </c>
      <c r="AX189" s="29" t="inlineStr">
        <is>
          <t>Not assessed</t>
        </is>
      </c>
      <c r="AY189" s="29" t="inlineStr">
        <is>
          <t>Not assessed</t>
        </is>
      </c>
      <c r="AZ189" s="29" t="inlineStr">
        <is>
          <t>Not assessed</t>
        </is>
      </c>
      <c r="BA189" s="29" t="inlineStr">
        <is>
          <t>Not assessed</t>
        </is>
      </c>
      <c r="BB189" s="29" t="inlineStr">
        <is>
          <t>Not assessed</t>
        </is>
      </c>
      <c r="BC189" s="29" t="inlineStr">
        <is>
          <t>Not assessed</t>
        </is>
      </c>
      <c r="BD189" s="29" t="inlineStr">
        <is>
          <t>Not assessed</t>
        </is>
      </c>
      <c r="BE189" s="29" t="inlineStr">
        <is>
          <t>Not assessed</t>
        </is>
      </c>
      <c r="BF189" s="29" t="inlineStr">
        <is>
          <t>Insufficient evidence to issue a production-readiness conclusion.</t>
        </is>
      </c>
      <c r="BG189" s="29" t="inlineStr"/>
      <c r="BH189" s="29" t="inlineStr"/>
      <c r="BI189" s="29" t="inlineStr"/>
      <c r="BJ189" s="29" t="inlineStr"/>
      <c r="BK189" s="29" t="inlineStr">
        <is>
          <t>Evidence reconciled against the reviewed source revision. No production approval is inferred from implementation or file presence.</t>
        </is>
      </c>
      <c r="BL189" s="29" t="inlineStr">
        <is>
          <t>2026-08-02</t>
        </is>
      </c>
    </row>
    <row r="190" ht="42" customHeight="1">
      <c r="A190" s="29" t="inlineStr">
        <is>
          <t>BLYP-10-013</t>
        </is>
      </c>
      <c r="B190" s="29" t="inlineStr"/>
      <c r="C190" s="29" t="inlineStr">
        <is>
          <t>Trust, safety, and moderation</t>
        </is>
      </c>
      <c r="D190" s="29" t="n">
        <v>10</v>
      </c>
      <c r="E190" s="29" t="n">
        <v>13</v>
      </c>
      <c r="F190" s="29" t="inlineStr">
        <is>
          <t>Feature</t>
        </is>
      </c>
      <c r="G190" s="29" t="inlineStr">
        <is>
          <t>Community moderation</t>
        </is>
      </c>
      <c r="H190" s="29" t="inlineStr">
        <is>
          <t>Community moderation</t>
        </is>
      </c>
      <c r="I190" s="29" t="inlineStr">
        <is>
          <t>/home/ubuntu/blyp_product_requirements.md :: Section 10 — Trust, safety, and moderation</t>
        </is>
      </c>
      <c r="J190" s="29" t="inlineStr">
        <is>
          <t>/home/ubuntu/BLYP_COMPLETE_FEATURE_LIST.md:249</t>
        </is>
      </c>
      <c r="K190" s="29" t="inlineStr">
        <is>
          <t>Required</t>
        </is>
      </c>
      <c r="L190" s="29" t="inlineStr">
        <is>
          <t>Applicable BLYP member</t>
        </is>
      </c>
      <c r="M190" s="29" t="inlineStr">
        <is>
          <t>BLYP mobile application and supporting production services</t>
        </is>
      </c>
      <c r="N190" s="29" t="inlineStr">
        <is>
          <t>Community moderation</t>
        </is>
      </c>
      <c r="O190" s="29" t="inlineStr">
        <is>
          <t>Not explicitly defined in the product source; requires accountable product approval before production sign-off.</t>
        </is>
      </c>
      <c r="P190" s="29" t="inlineStr"/>
      <c r="Q190" s="29" t="inlineStr">
        <is>
          <t>Partial</t>
        </is>
      </c>
      <c r="R190" s="29" t="inlineStr"/>
      <c r="S190" s="29" t="inlineStr">
        <is>
          <t>Unknown</t>
        </is>
      </c>
      <c r="T190" s="29" t="inlineStr"/>
      <c r="U190" s="29" t="inlineStr"/>
      <c r="V190" s="29" t="inlineStr"/>
      <c r="W190" s="29" t="inlineStr"/>
      <c r="X190" s="29" t="inlineStr"/>
      <c r="Y190" s="29" t="inlineStr"/>
      <c r="Z190" s="29" t="inlineStr"/>
      <c r="AA190" s="29" t="inlineStr"/>
      <c r="AB190" s="29" t="inlineStr"/>
      <c r="AC190" s="29" t="inlineStr"/>
      <c r="AD190" s="29" t="inlineStr"/>
      <c r="AE190" s="29" t="inlineStr">
        <is>
          <t>Unknown</t>
        </is>
      </c>
      <c r="AF190" s="29" t="inlineStr"/>
      <c r="AG190" s="29" t="inlineStr">
        <is>
          <t>Unknown</t>
        </is>
      </c>
      <c r="AH190" s="29" t="inlineStr">
        <is>
          <t>Unknown</t>
        </is>
      </c>
      <c r="AI190" s="29" t="inlineStr"/>
      <c r="AJ190" s="29" t="inlineStr">
        <is>
          <t>Not verified</t>
        </is>
      </c>
      <c r="AK190" s="29" t="inlineStr"/>
      <c r="AL190" s="29" t="inlineStr"/>
      <c r="AM190" s="29" t="inlineStr"/>
      <c r="AN190" s="29" t="inlineStr"/>
      <c r="AO190" s="29" t="inlineStr">
        <is>
          <t>8bc0dcb2a1da1b21368c5536aaeef829d587f316</t>
        </is>
      </c>
      <c r="AP190" s="29" t="inlineStr">
        <is>
          <t>Low</t>
        </is>
      </c>
      <c r="AQ190" s="29" t="inlineStr">
        <is>
          <t>Not assessed</t>
        </is>
      </c>
      <c r="AR190" s="29" t="inlineStr">
        <is>
          <t>Not assessed</t>
        </is>
      </c>
      <c r="AS190" s="29" t="inlineStr">
        <is>
          <t>Not assessed</t>
        </is>
      </c>
      <c r="AT190" s="29" t="inlineStr">
        <is>
          <t>Not assessed</t>
        </is>
      </c>
      <c r="AU190" s="29" t="inlineStr">
        <is>
          <t>Not assessed</t>
        </is>
      </c>
      <c r="AV190" s="29" t="inlineStr">
        <is>
          <t>Not assessed</t>
        </is>
      </c>
      <c r="AW190" s="29" t="inlineStr">
        <is>
          <t>Not assessed</t>
        </is>
      </c>
      <c r="AX190" s="29" t="inlineStr">
        <is>
          <t>Not assessed</t>
        </is>
      </c>
      <c r="AY190" s="29" t="inlineStr">
        <is>
          <t>Not assessed</t>
        </is>
      </c>
      <c r="AZ190" s="29" t="inlineStr">
        <is>
          <t>Not assessed</t>
        </is>
      </c>
      <c r="BA190" s="29" t="inlineStr">
        <is>
          <t>Not assessed</t>
        </is>
      </c>
      <c r="BB190" s="29" t="inlineStr">
        <is>
          <t>Not assessed</t>
        </is>
      </c>
      <c r="BC190" s="29" t="inlineStr">
        <is>
          <t>Not assessed</t>
        </is>
      </c>
      <c r="BD190" s="29" t="inlineStr">
        <is>
          <t>Not assessed</t>
        </is>
      </c>
      <c r="BE190" s="29" t="inlineStr">
        <is>
          <t>Not assessed</t>
        </is>
      </c>
      <c r="BF190" s="29" t="inlineStr">
        <is>
          <t>Insufficient evidence to issue a production-readiness conclusion.</t>
        </is>
      </c>
      <c r="BG190" s="29" t="inlineStr"/>
      <c r="BH190" s="29" t="inlineStr"/>
      <c r="BI190" s="29" t="inlineStr"/>
      <c r="BJ190" s="29" t="inlineStr"/>
      <c r="BK190" s="29" t="inlineStr">
        <is>
          <t>Evidence reconciled against the reviewed source revision. No production approval is inferred from implementation or file presence.</t>
        </is>
      </c>
      <c r="BL190" s="29" t="inlineStr">
        <is>
          <t>2026-08-02</t>
        </is>
      </c>
    </row>
    <row r="191" ht="42" customHeight="1">
      <c r="A191" s="29" t="inlineStr">
        <is>
          <t>BLYP-10-014</t>
        </is>
      </c>
      <c r="B191" s="29" t="inlineStr"/>
      <c r="C191" s="29" t="inlineStr">
        <is>
          <t>Trust, safety, and moderation</t>
        </is>
      </c>
      <c r="D191" s="29" t="n">
        <v>10</v>
      </c>
      <c r="E191" s="29" t="n">
        <v>14</v>
      </c>
      <c r="F191" s="29" t="inlineStr">
        <is>
          <t>Feature</t>
        </is>
      </c>
      <c r="G191" s="29" t="inlineStr">
        <is>
          <t>Moderation queue</t>
        </is>
      </c>
      <c r="H191" s="29" t="inlineStr">
        <is>
          <t>Moderation queue</t>
        </is>
      </c>
      <c r="I191" s="29" t="inlineStr">
        <is>
          <t>/home/ubuntu/blyp_product_requirements.md :: Section 10 — Trust, safety, and moderation</t>
        </is>
      </c>
      <c r="J191" s="29" t="inlineStr">
        <is>
          <t>/home/ubuntu/BLYP_COMPLETE_FEATURE_LIST.md:250</t>
        </is>
      </c>
      <c r="K191" s="29" t="inlineStr">
        <is>
          <t>Required</t>
        </is>
      </c>
      <c r="L191" s="29" t="inlineStr">
        <is>
          <t>Applicable BLYP member</t>
        </is>
      </c>
      <c r="M191" s="29" t="inlineStr">
        <is>
          <t>BLYP mobile application and supporting production services</t>
        </is>
      </c>
      <c r="N191" s="29" t="inlineStr">
        <is>
          <t>Moderation queue</t>
        </is>
      </c>
      <c r="O191" s="29" t="inlineStr">
        <is>
          <t>Not explicitly defined in the product source; requires accountable product approval before production sign-off.</t>
        </is>
      </c>
      <c r="P191" s="29" t="inlineStr"/>
      <c r="Q191" s="29" t="inlineStr">
        <is>
          <t>Yes</t>
        </is>
      </c>
      <c r="R191" s="29" t="inlineStr"/>
      <c r="S191" s="29" t="inlineStr">
        <is>
          <t>Unknown</t>
        </is>
      </c>
      <c r="T191" s="29" t="inlineStr"/>
      <c r="U191" s="29" t="inlineStr"/>
      <c r="V191" s="29" t="inlineStr"/>
      <c r="W191" s="29" t="inlineStr"/>
      <c r="X191" s="29" t="inlineStr"/>
      <c r="Y191" s="29" t="inlineStr"/>
      <c r="Z191" s="29" t="inlineStr"/>
      <c r="AA191" s="29" t="inlineStr"/>
      <c r="AB191" s="29" t="inlineStr"/>
      <c r="AC191" s="29" t="inlineStr"/>
      <c r="AD191" s="29" t="inlineStr"/>
      <c r="AE191" s="29" t="inlineStr">
        <is>
          <t>Unknown</t>
        </is>
      </c>
      <c r="AF191" s="29" t="inlineStr"/>
      <c r="AG191" s="29" t="inlineStr">
        <is>
          <t>Unknown</t>
        </is>
      </c>
      <c r="AH191" s="29" t="inlineStr">
        <is>
          <t>Unknown</t>
        </is>
      </c>
      <c r="AI191" s="29" t="inlineStr"/>
      <c r="AJ191" s="29" t="inlineStr">
        <is>
          <t>Not verified</t>
        </is>
      </c>
      <c r="AK191" s="29" t="inlineStr"/>
      <c r="AL191" s="29" t="inlineStr"/>
      <c r="AM191" s="29" t="inlineStr"/>
      <c r="AN191" s="29" t="inlineStr"/>
      <c r="AO191" s="29" t="inlineStr">
        <is>
          <t>8bc0dcb2a1da1b21368c5536aaeef829d587f316</t>
        </is>
      </c>
      <c r="AP191" s="29" t="inlineStr">
        <is>
          <t>Low</t>
        </is>
      </c>
      <c r="AQ191" s="29" t="inlineStr">
        <is>
          <t>Not assessed</t>
        </is>
      </c>
      <c r="AR191" s="29" t="inlineStr">
        <is>
          <t>Not assessed</t>
        </is>
      </c>
      <c r="AS191" s="29" t="inlineStr">
        <is>
          <t>Not assessed</t>
        </is>
      </c>
      <c r="AT191" s="29" t="inlineStr">
        <is>
          <t>Not assessed</t>
        </is>
      </c>
      <c r="AU191" s="29" t="inlineStr">
        <is>
          <t>Not assessed</t>
        </is>
      </c>
      <c r="AV191" s="29" t="inlineStr">
        <is>
          <t>Not assessed</t>
        </is>
      </c>
      <c r="AW191" s="29" t="inlineStr">
        <is>
          <t>Not assessed</t>
        </is>
      </c>
      <c r="AX191" s="29" t="inlineStr">
        <is>
          <t>Not assessed</t>
        </is>
      </c>
      <c r="AY191" s="29" t="inlineStr">
        <is>
          <t>Not assessed</t>
        </is>
      </c>
      <c r="AZ191" s="29" t="inlineStr">
        <is>
          <t>Not assessed</t>
        </is>
      </c>
      <c r="BA191" s="29" t="inlineStr">
        <is>
          <t>Not assessed</t>
        </is>
      </c>
      <c r="BB191" s="29" t="inlineStr">
        <is>
          <t>Not assessed</t>
        </is>
      </c>
      <c r="BC191" s="29" t="inlineStr">
        <is>
          <t>Not assessed</t>
        </is>
      </c>
      <c r="BD191" s="29" t="inlineStr">
        <is>
          <t>Not assessed</t>
        </is>
      </c>
      <c r="BE191" s="29" t="inlineStr">
        <is>
          <t>Not assessed</t>
        </is>
      </c>
      <c r="BF191" s="29" t="inlineStr">
        <is>
          <t>Insufficient evidence to issue a production-readiness conclusion.</t>
        </is>
      </c>
      <c r="BG191" s="29" t="inlineStr"/>
      <c r="BH191" s="29" t="inlineStr"/>
      <c r="BI191" s="29" t="inlineStr"/>
      <c r="BJ191" s="29" t="inlineStr"/>
      <c r="BK191" s="29" t="inlineStr">
        <is>
          <t>Evidence reconciled against the reviewed source revision. No production approval is inferred from implementation or file presence.</t>
        </is>
      </c>
      <c r="BL191" s="29" t="inlineStr">
        <is>
          <t>2026-08-02</t>
        </is>
      </c>
    </row>
    <row r="192" ht="42" customHeight="1">
      <c r="A192" s="29" t="inlineStr">
        <is>
          <t>BLYP-10-015</t>
        </is>
      </c>
      <c r="B192" s="29" t="inlineStr"/>
      <c r="C192" s="29" t="inlineStr">
        <is>
          <t>Trust, safety, and moderation</t>
        </is>
      </c>
      <c r="D192" s="29" t="n">
        <v>10</v>
      </c>
      <c r="E192" s="29" t="n">
        <v>15</v>
      </c>
      <c r="F192" s="29" t="inlineStr">
        <is>
          <t>Feature</t>
        </is>
      </c>
      <c r="G192" s="29" t="inlineStr">
        <is>
          <t>Admin role gate for moderation</t>
        </is>
      </c>
      <c r="H192" s="29" t="inlineStr">
        <is>
          <t>Admin role gate for moderation</t>
        </is>
      </c>
      <c r="I192" s="29" t="inlineStr">
        <is>
          <t>/home/ubuntu/blyp_product_requirements.md :: Section 10 — Trust, safety, and moderation</t>
        </is>
      </c>
      <c r="J192" s="29" t="inlineStr">
        <is>
          <t>/home/ubuntu/BLYP_COMPLETE_FEATURE_LIST.md:251</t>
        </is>
      </c>
      <c r="K192" s="29" t="inlineStr">
        <is>
          <t>Required</t>
        </is>
      </c>
      <c r="L192" s="29" t="inlineStr">
        <is>
          <t>Authorized operator or accountable service owner</t>
        </is>
      </c>
      <c r="M192" s="29" t="inlineStr">
        <is>
          <t>BLYP mobile application and supporting production services</t>
        </is>
      </c>
      <c r="N192" s="29" t="inlineStr">
        <is>
          <t>Admin role gate for moderation</t>
        </is>
      </c>
      <c r="O192" s="29" t="inlineStr">
        <is>
          <t>Not explicitly defined in the product source; requires accountable product approval before production sign-off.</t>
        </is>
      </c>
      <c r="P192" s="29" t="inlineStr"/>
      <c r="Q192" s="29" t="inlineStr">
        <is>
          <t>Partial</t>
        </is>
      </c>
      <c r="R192" s="29" t="inlineStr"/>
      <c r="S192" s="29" t="inlineStr">
        <is>
          <t>Unknown</t>
        </is>
      </c>
      <c r="T192" s="29" t="inlineStr"/>
      <c r="U192" s="29" t="inlineStr"/>
      <c r="V192" s="29" t="inlineStr"/>
      <c r="W192" s="29" t="inlineStr"/>
      <c r="X192" s="29" t="inlineStr"/>
      <c r="Y192" s="29" t="inlineStr"/>
      <c r="Z192" s="29" t="inlineStr"/>
      <c r="AA192" s="29" t="inlineStr"/>
      <c r="AB192" s="29" t="inlineStr"/>
      <c r="AC192" s="29" t="inlineStr"/>
      <c r="AD192" s="29" t="inlineStr"/>
      <c r="AE192" s="29" t="inlineStr">
        <is>
          <t>Unknown</t>
        </is>
      </c>
      <c r="AF192" s="29" t="inlineStr"/>
      <c r="AG192" s="29" t="inlineStr">
        <is>
          <t>Unknown</t>
        </is>
      </c>
      <c r="AH192" s="29" t="inlineStr">
        <is>
          <t>Unknown</t>
        </is>
      </c>
      <c r="AI192" s="29" t="inlineStr"/>
      <c r="AJ192" s="29" t="inlineStr">
        <is>
          <t>Not verified</t>
        </is>
      </c>
      <c r="AK192" s="29" t="inlineStr"/>
      <c r="AL192" s="29" t="inlineStr"/>
      <c r="AM192" s="29" t="inlineStr"/>
      <c r="AN192" s="29" t="inlineStr"/>
      <c r="AO192" s="29" t="inlineStr">
        <is>
          <t>8bc0dcb2a1da1b21368c5536aaeef829d587f316</t>
        </is>
      </c>
      <c r="AP192" s="29" t="inlineStr">
        <is>
          <t>Low</t>
        </is>
      </c>
      <c r="AQ192" s="29" t="inlineStr">
        <is>
          <t>Not assessed</t>
        </is>
      </c>
      <c r="AR192" s="29" t="inlineStr">
        <is>
          <t>Not assessed</t>
        </is>
      </c>
      <c r="AS192" s="29" t="inlineStr">
        <is>
          <t>Not assessed</t>
        </is>
      </c>
      <c r="AT192" s="29" t="inlineStr">
        <is>
          <t>Not assessed</t>
        </is>
      </c>
      <c r="AU192" s="29" t="inlineStr">
        <is>
          <t>Not assessed</t>
        </is>
      </c>
      <c r="AV192" s="29" t="inlineStr">
        <is>
          <t>Not assessed</t>
        </is>
      </c>
      <c r="AW192" s="29" t="inlineStr">
        <is>
          <t>Not assessed</t>
        </is>
      </c>
      <c r="AX192" s="29" t="inlineStr">
        <is>
          <t>Not assessed</t>
        </is>
      </c>
      <c r="AY192" s="29" t="inlineStr">
        <is>
          <t>Not assessed</t>
        </is>
      </c>
      <c r="AZ192" s="29" t="inlineStr">
        <is>
          <t>Not assessed</t>
        </is>
      </c>
      <c r="BA192" s="29" t="inlineStr">
        <is>
          <t>Not assessed</t>
        </is>
      </c>
      <c r="BB192" s="29" t="inlineStr">
        <is>
          <t>Not assessed</t>
        </is>
      </c>
      <c r="BC192" s="29" t="inlineStr">
        <is>
          <t>Not assessed</t>
        </is>
      </c>
      <c r="BD192" s="29" t="inlineStr">
        <is>
          <t>Not assessed</t>
        </is>
      </c>
      <c r="BE192" s="29" t="inlineStr">
        <is>
          <t>Not assessed</t>
        </is>
      </c>
      <c r="BF192" s="29" t="inlineStr">
        <is>
          <t>Insufficient evidence to issue a production-readiness conclusion.</t>
        </is>
      </c>
      <c r="BG192" s="29" t="inlineStr"/>
      <c r="BH192" s="29" t="inlineStr"/>
      <c r="BI192" s="29" t="inlineStr"/>
      <c r="BJ192" s="29" t="inlineStr"/>
      <c r="BK192" s="29" t="inlineStr">
        <is>
          <t>Evidence reconciled against the reviewed source revision. No production approval is inferred from implementation or file presence.</t>
        </is>
      </c>
      <c r="BL192" s="29" t="inlineStr">
        <is>
          <t>2026-08-02</t>
        </is>
      </c>
    </row>
    <row r="193" ht="42" customHeight="1">
      <c r="A193" s="29" t="inlineStr">
        <is>
          <t>BLYP-10-016</t>
        </is>
      </c>
      <c r="B193" s="29" t="inlineStr"/>
      <c r="C193" s="29" t="inlineStr">
        <is>
          <t>Trust, safety, and moderation</t>
        </is>
      </c>
      <c r="D193" s="29" t="n">
        <v>10</v>
      </c>
      <c r="E193" s="29" t="n">
        <v>16</v>
      </c>
      <c r="F193" s="29" t="inlineStr">
        <is>
          <t>Rule</t>
        </is>
      </c>
      <c r="G193" s="29" t="inlineStr">
        <is>
          <t>Dating consent and verification controls</t>
        </is>
      </c>
      <c r="H193" s="29" t="inlineStr">
        <is>
          <t>Dating consent and verification controls</t>
        </is>
      </c>
      <c r="I193" s="29" t="inlineStr">
        <is>
          <t>/home/ubuntu/blyp_product_requirements.md :: Section 10 — Trust, safety, and moderation</t>
        </is>
      </c>
      <c r="J193" s="29" t="inlineStr">
        <is>
          <t>/home/ubuntu/BLYP_COMPLETE_FEATURE_LIST.md:252</t>
        </is>
      </c>
      <c r="K193" s="29" t="inlineStr">
        <is>
          <t>Required</t>
        </is>
      </c>
      <c r="L193" s="29" t="inlineStr">
        <is>
          <t>Applicable BLYP member</t>
        </is>
      </c>
      <c r="M193" s="29" t="inlineStr">
        <is>
          <t>BLYP mobile application and supporting production services</t>
        </is>
      </c>
      <c r="N193" s="29" t="inlineStr">
        <is>
          <t>Dating consent and verification controls</t>
        </is>
      </c>
      <c r="O193" s="29" t="inlineStr">
        <is>
          <t>Not explicitly defined in the product source; requires accountable product approval before production sign-off.</t>
        </is>
      </c>
      <c r="P193" s="29" t="inlineStr"/>
      <c r="Q193" s="29" t="inlineStr">
        <is>
          <t>No evidence</t>
        </is>
      </c>
      <c r="R193" s="29" t="inlineStr"/>
      <c r="S193" s="29" t="inlineStr">
        <is>
          <t>Unknown</t>
        </is>
      </c>
      <c r="T193" s="29" t="inlineStr"/>
      <c r="U193" s="29" t="inlineStr"/>
      <c r="V193" s="29" t="inlineStr"/>
      <c r="W193" s="29" t="inlineStr"/>
      <c r="X193" s="29" t="inlineStr"/>
      <c r="Y193" s="29" t="inlineStr"/>
      <c r="Z193" s="29" t="inlineStr"/>
      <c r="AA193" s="29" t="inlineStr"/>
      <c r="AB193" s="29" t="inlineStr"/>
      <c r="AC193" s="29" t="inlineStr"/>
      <c r="AD193" s="29" t="inlineStr"/>
      <c r="AE193" s="29" t="inlineStr">
        <is>
          <t>Unknown</t>
        </is>
      </c>
      <c r="AF193" s="29" t="inlineStr"/>
      <c r="AG193" s="29" t="inlineStr">
        <is>
          <t>Unknown</t>
        </is>
      </c>
      <c r="AH193" s="29" t="inlineStr">
        <is>
          <t>Unknown</t>
        </is>
      </c>
      <c r="AI193" s="29" t="inlineStr"/>
      <c r="AJ193" s="29" t="inlineStr">
        <is>
          <t>Not verified</t>
        </is>
      </c>
      <c r="AK193" s="29" t="inlineStr"/>
      <c r="AL193" s="29" t="inlineStr"/>
      <c r="AM193" s="29" t="inlineStr"/>
      <c r="AN193" s="29" t="inlineStr"/>
      <c r="AO193" s="29" t="inlineStr">
        <is>
          <t>8bc0dcb2a1da1b21368c5536aaeef829d587f316</t>
        </is>
      </c>
      <c r="AP193" s="29" t="inlineStr">
        <is>
          <t>Low</t>
        </is>
      </c>
      <c r="AQ193" s="29" t="inlineStr">
        <is>
          <t>Not assessed</t>
        </is>
      </c>
      <c r="AR193" s="29" t="inlineStr">
        <is>
          <t>Not assessed</t>
        </is>
      </c>
      <c r="AS193" s="29" t="inlineStr">
        <is>
          <t>Not assessed</t>
        </is>
      </c>
      <c r="AT193" s="29" t="inlineStr">
        <is>
          <t>Not assessed</t>
        </is>
      </c>
      <c r="AU193" s="29" t="inlineStr">
        <is>
          <t>Not assessed</t>
        </is>
      </c>
      <c r="AV193" s="29" t="inlineStr">
        <is>
          <t>Not assessed</t>
        </is>
      </c>
      <c r="AW193" s="29" t="inlineStr">
        <is>
          <t>Not assessed</t>
        </is>
      </c>
      <c r="AX193" s="29" t="inlineStr">
        <is>
          <t>Not assessed</t>
        </is>
      </c>
      <c r="AY193" s="29" t="inlineStr">
        <is>
          <t>Not assessed</t>
        </is>
      </c>
      <c r="AZ193" s="29" t="inlineStr">
        <is>
          <t>Not assessed</t>
        </is>
      </c>
      <c r="BA193" s="29" t="inlineStr">
        <is>
          <t>Not assessed</t>
        </is>
      </c>
      <c r="BB193" s="29" t="inlineStr">
        <is>
          <t>Not assessed</t>
        </is>
      </c>
      <c r="BC193" s="29" t="inlineStr">
        <is>
          <t>Not assessed</t>
        </is>
      </c>
      <c r="BD193" s="29" t="inlineStr">
        <is>
          <t>Not assessed</t>
        </is>
      </c>
      <c r="BE193" s="29" t="inlineStr">
        <is>
          <t>Not assessed</t>
        </is>
      </c>
      <c r="BF193" s="29" t="inlineStr">
        <is>
          <t>Insufficient evidence to issue a production-readiness conclusion.</t>
        </is>
      </c>
      <c r="BG193" s="29" t="inlineStr"/>
      <c r="BH193" s="29" t="inlineStr"/>
      <c r="BI193" s="29" t="inlineStr"/>
      <c r="BJ193" s="29" t="inlineStr"/>
      <c r="BK193" s="29" t="inlineStr">
        <is>
          <t>Evidence reconciled against the reviewed source revision. No production approval is inferred from implementation or file presence.</t>
        </is>
      </c>
      <c r="BL193" s="29" t="inlineStr">
        <is>
          <t>2026-08-02</t>
        </is>
      </c>
    </row>
    <row r="194" ht="42" customHeight="1">
      <c r="A194" s="29" t="inlineStr">
        <is>
          <t>BLYP-10-017</t>
        </is>
      </c>
      <c r="B194" s="29" t="inlineStr"/>
      <c r="C194" s="29" t="inlineStr">
        <is>
          <t>Trust, safety, and moderation</t>
        </is>
      </c>
      <c r="D194" s="29" t="n">
        <v>10</v>
      </c>
      <c r="E194" s="29" t="n">
        <v>17</v>
      </c>
      <c r="F194" s="29" t="inlineStr">
        <is>
          <t>Feature</t>
        </is>
      </c>
      <c r="G194" s="29" t="inlineStr">
        <is>
          <t>Visible report status</t>
        </is>
      </c>
      <c r="H194" s="29" t="inlineStr">
        <is>
          <t>Visible report status</t>
        </is>
      </c>
      <c r="I194" s="29" t="inlineStr">
        <is>
          <t>/home/ubuntu/blyp_product_requirements.md :: Section 10 — Trust, safety, and moderation</t>
        </is>
      </c>
      <c r="J194" s="29" t="inlineStr">
        <is>
          <t>/home/ubuntu/BLYP_COMPLETE_FEATURE_LIST.md:253</t>
        </is>
      </c>
      <c r="K194" s="29" t="inlineStr">
        <is>
          <t>Required</t>
        </is>
      </c>
      <c r="L194" s="29" t="inlineStr">
        <is>
          <t>Applicable BLYP member</t>
        </is>
      </c>
      <c r="M194" s="29" t="inlineStr">
        <is>
          <t>BLYP mobile application and supporting production services</t>
        </is>
      </c>
      <c r="N194" s="29" t="inlineStr">
        <is>
          <t>Visible report status</t>
        </is>
      </c>
      <c r="O194" s="29" t="inlineStr">
        <is>
          <t>Not explicitly defined in the product source; requires accountable product approval before production sign-off.</t>
        </is>
      </c>
      <c r="P194" s="29" t="inlineStr"/>
      <c r="Q194" s="29" t="inlineStr">
        <is>
          <t>No evidence</t>
        </is>
      </c>
      <c r="R194" s="29" t="inlineStr"/>
      <c r="S194" s="29" t="inlineStr">
        <is>
          <t>Unknown</t>
        </is>
      </c>
      <c r="T194" s="29" t="inlineStr"/>
      <c r="U194" s="29" t="inlineStr"/>
      <c r="V194" s="29" t="inlineStr"/>
      <c r="W194" s="29" t="inlineStr"/>
      <c r="X194" s="29" t="inlineStr"/>
      <c r="Y194" s="29" t="inlineStr"/>
      <c r="Z194" s="29" t="inlineStr"/>
      <c r="AA194" s="29" t="inlineStr"/>
      <c r="AB194" s="29" t="inlineStr"/>
      <c r="AC194" s="29" t="inlineStr"/>
      <c r="AD194" s="29" t="inlineStr"/>
      <c r="AE194" s="29" t="inlineStr">
        <is>
          <t>Unknown</t>
        </is>
      </c>
      <c r="AF194" s="29" t="inlineStr">
        <is>
          <t>No exact feature-level physical path was resolved from the reviewed evidence.</t>
        </is>
      </c>
      <c r="AG194" s="29" t="inlineStr">
        <is>
          <t>Unknown</t>
        </is>
      </c>
      <c r="AH194" s="29" t="inlineStr">
        <is>
          <t>Unknown</t>
        </is>
      </c>
      <c r="AI194" s="29" t="inlineStr">
        <is>
          <t>A prior area review labelled this 'Partial', but did not supply a feature-level physical mapping; the authoritative state is therefore Unknown.</t>
        </is>
      </c>
      <c r="AJ194" s="29" t="inlineStr">
        <is>
          <t>Unknown</t>
        </is>
      </c>
      <c r="AK194" s="29" t="inlineStr">
        <is>
          <t>EV-10-0006</t>
        </is>
      </c>
      <c r="AL194" s="29" t="inlineStr"/>
      <c r="AM194" s="29" t="inlineStr"/>
      <c r="AN194" s="29" t="inlineStr"/>
      <c r="AO194" s="29" t="inlineStr">
        <is>
          <t>8bc0dcb2a1da1b21368c5536aaeef829d587f316</t>
        </is>
      </c>
      <c r="AP194" s="29" t="inlineStr">
        <is>
          <t>Low</t>
        </is>
      </c>
      <c r="AQ194" s="29" t="inlineStr">
        <is>
          <t>Not assessed</t>
        </is>
      </c>
      <c r="AR194" s="29" t="inlineStr">
        <is>
          <t>Not assessed</t>
        </is>
      </c>
      <c r="AS194" s="29" t="inlineStr">
        <is>
          <t>Not assessed</t>
        </is>
      </c>
      <c r="AT194" s="29" t="inlineStr">
        <is>
          <t>Not assessed</t>
        </is>
      </c>
      <c r="AU194" s="29" t="inlineStr">
        <is>
          <t>Not assessed</t>
        </is>
      </c>
      <c r="AV194" s="29" t="inlineStr">
        <is>
          <t>Not assessed</t>
        </is>
      </c>
      <c r="AW194" s="29" t="inlineStr">
        <is>
          <t>Not assessed</t>
        </is>
      </c>
      <c r="AX194" s="29" t="inlineStr">
        <is>
          <t>Not assessed</t>
        </is>
      </c>
      <c r="AY194" s="29" t="inlineStr">
        <is>
          <t>Not assessed</t>
        </is>
      </c>
      <c r="AZ194" s="29" t="inlineStr">
        <is>
          <t>Not assessed</t>
        </is>
      </c>
      <c r="BA194" s="29" t="inlineStr">
        <is>
          <t>Not assessed</t>
        </is>
      </c>
      <c r="BB194" s="29" t="inlineStr">
        <is>
          <t>Not assessed</t>
        </is>
      </c>
      <c r="BC194" s="29" t="inlineStr">
        <is>
          <t>Not assessed</t>
        </is>
      </c>
      <c r="BD194" s="29" t="inlineStr">
        <is>
          <t>Not assessed</t>
        </is>
      </c>
      <c r="BE194" s="29" t="inlineStr">
        <is>
          <t>Not assessed</t>
        </is>
      </c>
      <c r="BF194" s="29" t="inlineStr">
        <is>
          <t>Production readiness cannot be assessed until the exact physical implementation and runtime path are traced.</t>
        </is>
      </c>
      <c r="BG194" s="29" t="inlineStr">
        <is>
          <t>Map the feature to exact client, server, data, worker and configuration locations, then verify its runtime path.</t>
        </is>
      </c>
      <c r="BH194" s="29" t="inlineStr"/>
      <c r="BI194" s="29" t="inlineStr"/>
      <c r="BJ194" s="29" t="inlineStr"/>
      <c r="BK194" s="29" t="inlineStr">
        <is>
          <t>Evidence reconciled against the reviewed source revision. No production approval is inferred from implementation or file presence.</t>
        </is>
      </c>
      <c r="BL194" s="29" t="inlineStr">
        <is>
          <t>2026-08-02</t>
        </is>
      </c>
    </row>
    <row r="195" ht="42" customHeight="1">
      <c r="A195" s="29" t="inlineStr">
        <is>
          <t>BLYP-10-018</t>
        </is>
      </c>
      <c r="B195" s="29" t="inlineStr"/>
      <c r="C195" s="29" t="inlineStr">
        <is>
          <t>Trust, safety, and moderation</t>
        </is>
      </c>
      <c r="D195" s="29" t="n">
        <v>10</v>
      </c>
      <c r="E195" s="29" t="n">
        <v>18</v>
      </c>
      <c r="F195" s="29" t="inlineStr">
        <is>
          <t>Feature</t>
        </is>
      </c>
      <c r="G195" s="29" t="inlineStr">
        <is>
          <t>Visible report outcome</t>
        </is>
      </c>
      <c r="H195" s="29" t="inlineStr">
        <is>
          <t>Visible report outcome</t>
        </is>
      </c>
      <c r="I195" s="29" t="inlineStr">
        <is>
          <t>/home/ubuntu/blyp_product_requirements.md :: Section 10 — Trust, safety, and moderation</t>
        </is>
      </c>
      <c r="J195" s="29" t="inlineStr">
        <is>
          <t>/home/ubuntu/BLYP_COMPLETE_FEATURE_LIST.md:254</t>
        </is>
      </c>
      <c r="K195" s="29" t="inlineStr">
        <is>
          <t>Required</t>
        </is>
      </c>
      <c r="L195" s="29" t="inlineStr">
        <is>
          <t>Applicable BLYP member</t>
        </is>
      </c>
      <c r="M195" s="29" t="inlineStr">
        <is>
          <t>BLYP mobile application and supporting production services</t>
        </is>
      </c>
      <c r="N195" s="29" t="inlineStr">
        <is>
          <t>Visible report outcome</t>
        </is>
      </c>
      <c r="O195" s="29" t="inlineStr">
        <is>
          <t>Not explicitly defined in the product source; requires accountable product approval before production sign-off.</t>
        </is>
      </c>
      <c r="P195" s="29" t="inlineStr"/>
      <c r="Q195" s="29" t="inlineStr">
        <is>
          <t>No evidence</t>
        </is>
      </c>
      <c r="R195" s="29" t="inlineStr"/>
      <c r="S195" s="29" t="inlineStr">
        <is>
          <t>Unknown</t>
        </is>
      </c>
      <c r="T195" s="29" t="inlineStr"/>
      <c r="U195" s="29" t="inlineStr"/>
      <c r="V195" s="29" t="inlineStr"/>
      <c r="W195" s="29" t="inlineStr"/>
      <c r="X195" s="29" t="inlineStr"/>
      <c r="Y195" s="29" t="inlineStr"/>
      <c r="Z195" s="29" t="inlineStr"/>
      <c r="AA195" s="29" t="inlineStr"/>
      <c r="AB195" s="29" t="inlineStr"/>
      <c r="AC195" s="29" t="inlineStr"/>
      <c r="AD195" s="29" t="inlineStr"/>
      <c r="AE195" s="29" t="inlineStr">
        <is>
          <t>Unknown</t>
        </is>
      </c>
      <c r="AF195" s="29" t="inlineStr">
        <is>
          <t>No exact feature-level physical path was resolved from the reviewed evidence.</t>
        </is>
      </c>
      <c r="AG195" s="29" t="inlineStr">
        <is>
          <t>Unknown</t>
        </is>
      </c>
      <c r="AH195" s="29" t="inlineStr">
        <is>
          <t>Unknown</t>
        </is>
      </c>
      <c r="AI195" s="29" t="inlineStr">
        <is>
          <t>A prior area review labelled this 'Partial', but did not supply a feature-level physical mapping; the authoritative state is therefore Unknown.</t>
        </is>
      </c>
      <c r="AJ195" s="29" t="inlineStr">
        <is>
          <t>Unknown</t>
        </is>
      </c>
      <c r="AK195" s="29" t="inlineStr">
        <is>
          <t>EV-10-0007</t>
        </is>
      </c>
      <c r="AL195" s="29" t="inlineStr"/>
      <c r="AM195" s="29" t="inlineStr"/>
      <c r="AN195" s="29" t="inlineStr"/>
      <c r="AO195" s="29" t="inlineStr">
        <is>
          <t>8bc0dcb2a1da1b21368c5536aaeef829d587f316</t>
        </is>
      </c>
      <c r="AP195" s="29" t="inlineStr">
        <is>
          <t>Low</t>
        </is>
      </c>
      <c r="AQ195" s="29" t="inlineStr">
        <is>
          <t>Not assessed</t>
        </is>
      </c>
      <c r="AR195" s="29" t="inlineStr">
        <is>
          <t>Not assessed</t>
        </is>
      </c>
      <c r="AS195" s="29" t="inlineStr">
        <is>
          <t>Not assessed</t>
        </is>
      </c>
      <c r="AT195" s="29" t="inlineStr">
        <is>
          <t>Not assessed</t>
        </is>
      </c>
      <c r="AU195" s="29" t="inlineStr">
        <is>
          <t>Not assessed</t>
        </is>
      </c>
      <c r="AV195" s="29" t="inlineStr">
        <is>
          <t>Not assessed</t>
        </is>
      </c>
      <c r="AW195" s="29" t="inlineStr">
        <is>
          <t>Not assessed</t>
        </is>
      </c>
      <c r="AX195" s="29" t="inlineStr">
        <is>
          <t>Not assessed</t>
        </is>
      </c>
      <c r="AY195" s="29" t="inlineStr">
        <is>
          <t>Not assessed</t>
        </is>
      </c>
      <c r="AZ195" s="29" t="inlineStr">
        <is>
          <t>Not assessed</t>
        </is>
      </c>
      <c r="BA195" s="29" t="inlineStr">
        <is>
          <t>Not assessed</t>
        </is>
      </c>
      <c r="BB195" s="29" t="inlineStr">
        <is>
          <t>Not assessed</t>
        </is>
      </c>
      <c r="BC195" s="29" t="inlineStr">
        <is>
          <t>Not assessed</t>
        </is>
      </c>
      <c r="BD195" s="29" t="inlineStr">
        <is>
          <t>Not assessed</t>
        </is>
      </c>
      <c r="BE195" s="29" t="inlineStr">
        <is>
          <t>Not assessed</t>
        </is>
      </c>
      <c r="BF195" s="29" t="inlineStr">
        <is>
          <t>Production readiness cannot be assessed until the exact physical implementation and runtime path are traced.</t>
        </is>
      </c>
      <c r="BG195" s="29" t="inlineStr">
        <is>
          <t>Map the feature to exact client, server, data, worker and configuration locations, then verify its runtime path.</t>
        </is>
      </c>
      <c r="BH195" s="29" t="inlineStr"/>
      <c r="BI195" s="29" t="inlineStr"/>
      <c r="BJ195" s="29" t="inlineStr"/>
      <c r="BK195" s="29" t="inlineStr">
        <is>
          <t>Evidence reconciled against the reviewed source revision. No production approval is inferred from implementation or file presence.</t>
        </is>
      </c>
      <c r="BL195" s="29" t="inlineStr">
        <is>
          <t>2026-08-02</t>
        </is>
      </c>
    </row>
    <row r="196" ht="42" customHeight="1">
      <c r="A196" s="29" t="inlineStr">
        <is>
          <t>BLYP-10-019</t>
        </is>
      </c>
      <c r="B196" s="29" t="inlineStr"/>
      <c r="C196" s="29" t="inlineStr">
        <is>
          <t>Trust, safety, and moderation</t>
        </is>
      </c>
      <c r="D196" s="29" t="n">
        <v>10</v>
      </c>
      <c r="E196" s="29" t="n">
        <v>19</v>
      </c>
      <c r="F196" s="29" t="inlineStr">
        <is>
          <t>Feature</t>
        </is>
      </c>
      <c r="G196" s="29" t="inlineStr">
        <is>
          <t>Soft delete and visibility controls</t>
        </is>
      </c>
      <c r="H196" s="29" t="inlineStr">
        <is>
          <t>Soft delete and visibility controls</t>
        </is>
      </c>
      <c r="I196" s="29" t="inlineStr">
        <is>
          <t>/home/ubuntu/blyp_product_requirements.md :: Section 10 — Trust, safety, and moderation</t>
        </is>
      </c>
      <c r="J196" s="29" t="inlineStr">
        <is>
          <t>/home/ubuntu/BLYP_COMPLETE_FEATURE_LIST.md:255</t>
        </is>
      </c>
      <c r="K196" s="29" t="inlineStr">
        <is>
          <t>Required</t>
        </is>
      </c>
      <c r="L196" s="29" t="inlineStr">
        <is>
          <t>Applicable BLYP member</t>
        </is>
      </c>
      <c r="M196" s="29" t="inlineStr">
        <is>
          <t>BLYP mobile application and supporting production services</t>
        </is>
      </c>
      <c r="N196" s="29" t="inlineStr">
        <is>
          <t>Soft delete and visibility controls</t>
        </is>
      </c>
      <c r="O196" s="29" t="inlineStr">
        <is>
          <t>Not explicitly defined in the product source; requires accountable product approval before production sign-off.</t>
        </is>
      </c>
      <c r="P196" s="29" t="inlineStr"/>
      <c r="Q196" s="29" t="inlineStr">
        <is>
          <t>Yes</t>
        </is>
      </c>
      <c r="R196" s="29" t="inlineStr"/>
      <c r="S196" s="29" t="inlineStr">
        <is>
          <t>Unknown</t>
        </is>
      </c>
      <c r="T196" s="29" t="inlineStr"/>
      <c r="U196" s="29" t="inlineStr"/>
      <c r="V196" s="29" t="inlineStr"/>
      <c r="W196" s="29" t="inlineStr"/>
      <c r="X196" s="29" t="inlineStr"/>
      <c r="Y196" s="29" t="inlineStr"/>
      <c r="Z196" s="29" t="inlineStr"/>
      <c r="AA196" s="29" t="inlineStr"/>
      <c r="AB196" s="29" t="inlineStr"/>
      <c r="AC196" s="29" t="inlineStr"/>
      <c r="AD196" s="29" t="inlineStr"/>
      <c r="AE196" s="29" t="inlineStr">
        <is>
          <t>Unknown</t>
        </is>
      </c>
      <c r="AF196" s="29" t="inlineStr"/>
      <c r="AG196" s="29" t="inlineStr">
        <is>
          <t>Unknown</t>
        </is>
      </c>
      <c r="AH196" s="29" t="inlineStr">
        <is>
          <t>Unknown</t>
        </is>
      </c>
      <c r="AI196" s="29" t="inlineStr"/>
      <c r="AJ196" s="29" t="inlineStr">
        <is>
          <t>Not verified</t>
        </is>
      </c>
      <c r="AK196" s="29" t="inlineStr"/>
      <c r="AL196" s="29" t="inlineStr"/>
      <c r="AM196" s="29" t="inlineStr"/>
      <c r="AN196" s="29" t="inlineStr"/>
      <c r="AO196" s="29" t="inlineStr">
        <is>
          <t>8bc0dcb2a1da1b21368c5536aaeef829d587f316</t>
        </is>
      </c>
      <c r="AP196" s="29" t="inlineStr">
        <is>
          <t>Low</t>
        </is>
      </c>
      <c r="AQ196" s="29" t="inlineStr">
        <is>
          <t>Not assessed</t>
        </is>
      </c>
      <c r="AR196" s="29" t="inlineStr">
        <is>
          <t>Not assessed</t>
        </is>
      </c>
      <c r="AS196" s="29" t="inlineStr">
        <is>
          <t>Not assessed</t>
        </is>
      </c>
      <c r="AT196" s="29" t="inlineStr">
        <is>
          <t>Not assessed</t>
        </is>
      </c>
      <c r="AU196" s="29" t="inlineStr">
        <is>
          <t>Not assessed</t>
        </is>
      </c>
      <c r="AV196" s="29" t="inlineStr">
        <is>
          <t>Not assessed</t>
        </is>
      </c>
      <c r="AW196" s="29" t="inlineStr">
        <is>
          <t>Not assessed</t>
        </is>
      </c>
      <c r="AX196" s="29" t="inlineStr">
        <is>
          <t>Not assessed</t>
        </is>
      </c>
      <c r="AY196" s="29" t="inlineStr">
        <is>
          <t>Not assessed</t>
        </is>
      </c>
      <c r="AZ196" s="29" t="inlineStr">
        <is>
          <t>Not assessed</t>
        </is>
      </c>
      <c r="BA196" s="29" t="inlineStr">
        <is>
          <t>Not assessed</t>
        </is>
      </c>
      <c r="BB196" s="29" t="inlineStr">
        <is>
          <t>Not assessed</t>
        </is>
      </c>
      <c r="BC196" s="29" t="inlineStr">
        <is>
          <t>Not assessed</t>
        </is>
      </c>
      <c r="BD196" s="29" t="inlineStr">
        <is>
          <t>Not assessed</t>
        </is>
      </c>
      <c r="BE196" s="29" t="inlineStr">
        <is>
          <t>Not assessed</t>
        </is>
      </c>
      <c r="BF196" s="29" t="inlineStr">
        <is>
          <t>Insufficient evidence to issue a production-readiness conclusion.</t>
        </is>
      </c>
      <c r="BG196" s="29" t="inlineStr"/>
      <c r="BH196" s="29" t="inlineStr"/>
      <c r="BI196" s="29" t="inlineStr"/>
      <c r="BJ196" s="29" t="inlineStr"/>
      <c r="BK196" s="29" t="inlineStr">
        <is>
          <t>Evidence reconciled against the reviewed source revision. No production approval is inferred from implementation or file presence.</t>
        </is>
      </c>
      <c r="BL196" s="29" t="inlineStr">
        <is>
          <t>2026-08-02</t>
        </is>
      </c>
    </row>
    <row r="197" ht="42" customHeight="1">
      <c r="A197" s="29" t="inlineStr">
        <is>
          <t>BLYP-10-020</t>
        </is>
      </c>
      <c r="B197" s="29" t="inlineStr"/>
      <c r="C197" s="29" t="inlineStr">
        <is>
          <t>Trust, safety, and moderation</t>
        </is>
      </c>
      <c r="D197" s="29" t="n">
        <v>10</v>
      </c>
      <c r="E197" s="29" t="n">
        <v>20</v>
      </c>
      <c r="F197" s="29" t="inlineStr">
        <is>
          <t>Feature</t>
        </is>
      </c>
      <c r="G197" s="29" t="inlineStr">
        <is>
          <t>Firestore and Storage access rules</t>
        </is>
      </c>
      <c r="H197" s="29" t="inlineStr">
        <is>
          <t>Firestore and Storage access rules</t>
        </is>
      </c>
      <c r="I197" s="29" t="inlineStr">
        <is>
          <t>/home/ubuntu/blyp_product_requirements.md :: Section 10 — Trust, safety, and moderation</t>
        </is>
      </c>
      <c r="J197" s="29" t="inlineStr">
        <is>
          <t>/home/ubuntu/BLYP_COMPLETE_FEATURE_LIST.md:256</t>
        </is>
      </c>
      <c r="K197" s="29" t="inlineStr">
        <is>
          <t>Required</t>
        </is>
      </c>
      <c r="L197" s="29" t="inlineStr">
        <is>
          <t>Applicable BLYP member</t>
        </is>
      </c>
      <c r="M197" s="29" t="inlineStr">
        <is>
          <t>BLYP mobile application and supporting production services</t>
        </is>
      </c>
      <c r="N197" s="29" t="inlineStr">
        <is>
          <t>Firestore and Storage access rules</t>
        </is>
      </c>
      <c r="O197" s="29" t="inlineStr">
        <is>
          <t>Not explicitly defined in the product source; requires accountable product approval before production sign-off.</t>
        </is>
      </c>
      <c r="P197" s="29" t="inlineStr"/>
      <c r="Q197" s="29" t="inlineStr">
        <is>
          <t>Yes</t>
        </is>
      </c>
      <c r="R197" s="29" t="inlineStr"/>
      <c r="S197" s="29" t="inlineStr">
        <is>
          <t>Unknown</t>
        </is>
      </c>
      <c r="T197" s="29" t="inlineStr"/>
      <c r="U197" s="29" t="inlineStr"/>
      <c r="V197" s="29" t="inlineStr"/>
      <c r="W197" s="29" t="inlineStr"/>
      <c r="X197" s="29" t="inlineStr"/>
      <c r="Y197" s="29" t="inlineStr"/>
      <c r="Z197" s="29" t="inlineStr"/>
      <c r="AA197" s="29" t="inlineStr"/>
      <c r="AB197" s="29" t="inlineStr"/>
      <c r="AC197" s="29" t="inlineStr"/>
      <c r="AD197" s="29" t="inlineStr"/>
      <c r="AE197" s="29" t="inlineStr">
        <is>
          <t>Unknown</t>
        </is>
      </c>
      <c r="AF197" s="29" t="inlineStr">
        <is>
          <t>No exact feature-level physical path was resolved from the reviewed evidence.</t>
        </is>
      </c>
      <c r="AG197" s="29" t="inlineStr">
        <is>
          <t>Unknown</t>
        </is>
      </c>
      <c r="AH197" s="29" t="inlineStr">
        <is>
          <t>Unknown</t>
        </is>
      </c>
      <c r="AI197" s="29" t="inlineStr">
        <is>
          <t>A prior area review labelled this 'Partial', but did not supply a feature-level physical mapping; the authoritative state is therefore Unknown.</t>
        </is>
      </c>
      <c r="AJ197" s="29" t="inlineStr">
        <is>
          <t>Unknown</t>
        </is>
      </c>
      <c r="AK197" s="29" t="inlineStr">
        <is>
          <t>EV-10-0008</t>
        </is>
      </c>
      <c r="AL197" s="29" t="inlineStr"/>
      <c r="AM197" s="29" t="inlineStr"/>
      <c r="AN197" s="29" t="inlineStr"/>
      <c r="AO197" s="29" t="inlineStr">
        <is>
          <t>8bc0dcb2a1da1b21368c5536aaeef829d587f316</t>
        </is>
      </c>
      <c r="AP197" s="29" t="inlineStr">
        <is>
          <t>Low</t>
        </is>
      </c>
      <c r="AQ197" s="29" t="inlineStr">
        <is>
          <t>Not assessed</t>
        </is>
      </c>
      <c r="AR197" s="29" t="inlineStr">
        <is>
          <t>Not assessed</t>
        </is>
      </c>
      <c r="AS197" s="29" t="inlineStr">
        <is>
          <t>Not assessed</t>
        </is>
      </c>
      <c r="AT197" s="29" t="inlineStr">
        <is>
          <t>Not assessed</t>
        </is>
      </c>
      <c r="AU197" s="29" t="inlineStr">
        <is>
          <t>Not assessed</t>
        </is>
      </c>
      <c r="AV197" s="29" t="inlineStr">
        <is>
          <t>Not assessed</t>
        </is>
      </c>
      <c r="AW197" s="29" t="inlineStr">
        <is>
          <t>Not assessed</t>
        </is>
      </c>
      <c r="AX197" s="29" t="inlineStr">
        <is>
          <t>Not assessed</t>
        </is>
      </c>
      <c r="AY197" s="29" t="inlineStr">
        <is>
          <t>Not assessed</t>
        </is>
      </c>
      <c r="AZ197" s="29" t="inlineStr">
        <is>
          <t>Not assessed</t>
        </is>
      </c>
      <c r="BA197" s="29" t="inlineStr">
        <is>
          <t>Not assessed</t>
        </is>
      </c>
      <c r="BB197" s="29" t="inlineStr">
        <is>
          <t>Not assessed</t>
        </is>
      </c>
      <c r="BC197" s="29" t="inlineStr">
        <is>
          <t>Not assessed</t>
        </is>
      </c>
      <c r="BD197" s="29" t="inlineStr">
        <is>
          <t>Not assessed</t>
        </is>
      </c>
      <c r="BE197" s="29" t="inlineStr">
        <is>
          <t>Not assessed</t>
        </is>
      </c>
      <c r="BF197" s="29" t="inlineStr">
        <is>
          <t>Production readiness cannot be assessed until the exact physical implementation and runtime path are traced.</t>
        </is>
      </c>
      <c r="BG197" s="29" t="inlineStr">
        <is>
          <t>Map the feature to exact client, server, data, worker and configuration locations, then verify its runtime path.</t>
        </is>
      </c>
      <c r="BH197" s="29" t="inlineStr"/>
      <c r="BI197" s="29" t="inlineStr"/>
      <c r="BJ197" s="29" t="inlineStr"/>
      <c r="BK197" s="29" t="inlineStr">
        <is>
          <t>Evidence reconciled against the reviewed source revision. No production approval is inferred from implementation or file presence.</t>
        </is>
      </c>
      <c r="BL197" s="29" t="inlineStr">
        <is>
          <t>2026-08-02</t>
        </is>
      </c>
    </row>
    <row r="198" ht="42" customHeight="1">
      <c r="A198" s="29" t="inlineStr">
        <is>
          <t>BLYP-11-001</t>
        </is>
      </c>
      <c r="B198" s="29" t="inlineStr"/>
      <c r="C198" s="29" t="inlineStr">
        <is>
          <t>First-time onboarding and personalisation</t>
        </is>
      </c>
      <c r="D198" s="29" t="n">
        <v>11</v>
      </c>
      <c r="E198" s="29" t="n">
        <v>1</v>
      </c>
      <c r="F198" s="29" t="inlineStr">
        <is>
          <t>Feature</t>
        </is>
      </c>
      <c r="G198" s="29" t="inlineStr">
        <is>
          <t>Email/password sign-up</t>
        </is>
      </c>
      <c r="H198" s="29" t="inlineStr">
        <is>
          <t>Email/password sign-up</t>
        </is>
      </c>
      <c r="I198" s="29" t="inlineStr">
        <is>
          <t>/home/ubuntu/blyp_product_requirements.md :: Section 11 — First-time onboarding and personalisation</t>
        </is>
      </c>
      <c r="J198" s="29" t="inlineStr">
        <is>
          <t>/home/ubuntu/BLYP_COMPLETE_FEATURE_LIST.md:262</t>
        </is>
      </c>
      <c r="K198" s="29" t="inlineStr">
        <is>
          <t>Required</t>
        </is>
      </c>
      <c r="L198" s="29" t="inlineStr">
        <is>
          <t>Applicable BLYP member</t>
        </is>
      </c>
      <c r="M198" s="29" t="inlineStr">
        <is>
          <t>BLYP mobile application and supporting production services</t>
        </is>
      </c>
      <c r="N198" s="29" t="inlineStr">
        <is>
          <t>Email/password sign-up</t>
        </is>
      </c>
      <c r="O198" s="29" t="inlineStr">
        <is>
          <t>Not explicitly defined in the product source; requires accountable product approval before production sign-off.</t>
        </is>
      </c>
      <c r="P198" s="29" t="inlineStr">
        <is>
          <t>AWS Cognito; Not assessed</t>
        </is>
      </c>
      <c r="Q198" s="29" t="inlineStr">
        <is>
          <t>Yes</t>
        </is>
      </c>
      <c r="R198" s="29" t="inlineStr"/>
      <c r="S198" s="29" t="inlineStr">
        <is>
          <t>UI only</t>
        </is>
      </c>
      <c r="T198" s="29" t="inlineStr">
        <is>
          <t>AuthScreen.js</t>
        </is>
      </c>
      <c r="U198" s="29" t="inlineStr">
        <is>
          <t>AuthScreen.js</t>
        </is>
      </c>
      <c r="V198" s="29" t="inlineStr">
        <is>
          <t>Cognito</t>
        </is>
      </c>
      <c r="W198" s="29" t="inlineStr">
        <is>
          <t>Not assessed</t>
        </is>
      </c>
      <c r="X198" s="29" t="inlineStr">
        <is>
          <t>Not assessed</t>
        </is>
      </c>
      <c r="Y198" s="29" t="inlineStr">
        <is>
          <t>Not assessed</t>
        </is>
      </c>
      <c r="Z198" s="29" t="inlineStr">
        <is>
          <t>AWS Cognito</t>
        </is>
      </c>
      <c r="AA198" s="29" t="inlineStr">
        <is>
          <t>Not assessed</t>
        </is>
      </c>
      <c r="AB198" s="29" t="inlineStr">
        <is>
          <t>Not assessed</t>
        </is>
      </c>
      <c r="AC198" s="29" t="inlineStr"/>
      <c r="AD198" s="29" t="inlineStr"/>
      <c r="AE198" s="29" t="inlineStr">
        <is>
          <t>User reachable</t>
        </is>
      </c>
      <c r="AF198" s="29" t="inlineStr">
        <is>
          <t>AuthScreen.js</t>
        </is>
      </c>
      <c r="AG198" s="29" t="inlineStr">
        <is>
          <t>Incomplete</t>
        </is>
      </c>
      <c r="AH198" s="29" t="inlineStr">
        <is>
          <t>No</t>
        </is>
      </c>
      <c r="AI198" s="29" t="inlineStr">
        <is>
          <t>Backend validation not fully verified.</t>
        </is>
      </c>
      <c r="AJ198" s="29" t="inlineStr">
        <is>
          <t>Source traced</t>
        </is>
      </c>
      <c r="AK198" s="29" t="inlineStr">
        <is>
          <t>EV-11-0001;EV-11-0002</t>
        </is>
      </c>
      <c r="AL198" s="29" t="inlineStr"/>
      <c r="AM198" s="29" t="inlineStr"/>
      <c r="AN198" s="29" t="inlineStr"/>
      <c r="AO198" s="29" t="inlineStr">
        <is>
          <t>8bc0dcb2a1da1b21368c5536aaeef829d587f316</t>
        </is>
      </c>
      <c r="AP198" s="29" t="inlineStr">
        <is>
          <t>High</t>
        </is>
      </c>
      <c r="AQ198" s="29" t="inlineStr">
        <is>
          <t>Not assessed</t>
        </is>
      </c>
      <c r="AR198" s="29" t="inlineStr">
        <is>
          <t>Not assessed</t>
        </is>
      </c>
      <c r="AS198" s="29" t="inlineStr">
        <is>
          <t>Fail</t>
        </is>
      </c>
      <c r="AT198" s="29" t="inlineStr">
        <is>
          <t>Not assessed</t>
        </is>
      </c>
      <c r="AU198" s="29" t="inlineStr">
        <is>
          <t>Not assessed</t>
        </is>
      </c>
      <c r="AV198" s="29" t="inlineStr">
        <is>
          <t>Not assessed</t>
        </is>
      </c>
      <c r="AW198" s="29" t="inlineStr">
        <is>
          <t>Not assessed</t>
        </is>
      </c>
      <c r="AX198" s="29" t="inlineStr">
        <is>
          <t>Not assessed</t>
        </is>
      </c>
      <c r="AY198" s="29" t="inlineStr">
        <is>
          <t>Not assessed</t>
        </is>
      </c>
      <c r="AZ198" s="29" t="inlineStr">
        <is>
          <t>Not assessed</t>
        </is>
      </c>
      <c r="BA198" s="29" t="inlineStr">
        <is>
          <t>Not assessed</t>
        </is>
      </c>
      <c r="BB198" s="29" t="inlineStr">
        <is>
          <t>Not assessed</t>
        </is>
      </c>
      <c r="BC198" s="29" t="inlineStr">
        <is>
          <t>Not assessed</t>
        </is>
      </c>
      <c r="BD198" s="29" t="inlineStr">
        <is>
          <t>Not assessed</t>
        </is>
      </c>
      <c r="BE198" s="29" t="inlineStr">
        <is>
          <t>Development required</t>
        </is>
      </c>
      <c r="BF198" s="29" t="inlineStr">
        <is>
          <t>Physical implementation is not complete against the stated requirement.; Backend validation not fully verified.</t>
        </is>
      </c>
      <c r="BG198" s="29" t="inlineStr"/>
      <c r="BH198" s="29" t="inlineStr"/>
      <c r="BI198" s="29" t="inlineStr"/>
      <c r="BJ198" s="29" t="inlineStr"/>
      <c r="BK198" s="29" t="inlineStr">
        <is>
          <t>Evidence reconciled against the reviewed source revision. No production approval is inferred from implementation or file presence.</t>
        </is>
      </c>
      <c r="BL198" s="29" t="inlineStr">
        <is>
          <t>2026-08-02</t>
        </is>
      </c>
    </row>
    <row r="199" ht="42" customHeight="1">
      <c r="A199" s="29" t="inlineStr">
        <is>
          <t>BLYP-11-002</t>
        </is>
      </c>
      <c r="B199" s="29" t="inlineStr"/>
      <c r="C199" s="29" t="inlineStr">
        <is>
          <t>First-time onboarding and personalisation</t>
        </is>
      </c>
      <c r="D199" s="29" t="n">
        <v>11</v>
      </c>
      <c r="E199" s="29" t="n">
        <v>2</v>
      </c>
      <c r="F199" s="29" t="inlineStr">
        <is>
          <t>Feature</t>
        </is>
      </c>
      <c r="G199" s="29" t="inlineStr">
        <is>
          <t>Email/password login</t>
        </is>
      </c>
      <c r="H199" s="29" t="inlineStr">
        <is>
          <t>Email/password login</t>
        </is>
      </c>
      <c r="I199" s="29" t="inlineStr">
        <is>
          <t>/home/ubuntu/blyp_product_requirements.md :: Section 11 — First-time onboarding and personalisation</t>
        </is>
      </c>
      <c r="J199" s="29" t="inlineStr">
        <is>
          <t>/home/ubuntu/BLYP_COMPLETE_FEATURE_LIST.md:263</t>
        </is>
      </c>
      <c r="K199" s="29" t="inlineStr">
        <is>
          <t>Required</t>
        </is>
      </c>
      <c r="L199" s="29" t="inlineStr">
        <is>
          <t>Applicable BLYP member</t>
        </is>
      </c>
      <c r="M199" s="29" t="inlineStr">
        <is>
          <t>BLYP mobile application and supporting production services</t>
        </is>
      </c>
      <c r="N199" s="29" t="inlineStr">
        <is>
          <t>Email/password login</t>
        </is>
      </c>
      <c r="O199" s="29" t="inlineStr">
        <is>
          <t>Not explicitly defined in the product source; requires accountable product approval before production sign-off.</t>
        </is>
      </c>
      <c r="P199" s="29" t="inlineStr">
        <is>
          <t>AWS Cognito; Not assessed</t>
        </is>
      </c>
      <c r="Q199" s="29" t="inlineStr">
        <is>
          <t>Yes</t>
        </is>
      </c>
      <c r="R199" s="29" t="inlineStr"/>
      <c r="S199" s="29" t="inlineStr">
        <is>
          <t>UI only</t>
        </is>
      </c>
      <c r="T199" s="29" t="inlineStr">
        <is>
          <t>AuthScreen.js</t>
        </is>
      </c>
      <c r="U199" s="29" t="inlineStr">
        <is>
          <t>AuthScreen.js</t>
        </is>
      </c>
      <c r="V199" s="29" t="inlineStr">
        <is>
          <t>Cognito</t>
        </is>
      </c>
      <c r="W199" s="29" t="inlineStr">
        <is>
          <t>Not assessed</t>
        </is>
      </c>
      <c r="X199" s="29" t="inlineStr">
        <is>
          <t>Not assessed</t>
        </is>
      </c>
      <c r="Y199" s="29" t="inlineStr">
        <is>
          <t>Not assessed</t>
        </is>
      </c>
      <c r="Z199" s="29" t="inlineStr">
        <is>
          <t>AWS Cognito</t>
        </is>
      </c>
      <c r="AA199" s="29" t="inlineStr">
        <is>
          <t>Not assessed</t>
        </is>
      </c>
      <c r="AB199" s="29" t="inlineStr">
        <is>
          <t>Not assessed</t>
        </is>
      </c>
      <c r="AC199" s="29" t="inlineStr"/>
      <c r="AD199" s="29" t="inlineStr"/>
      <c r="AE199" s="29" t="inlineStr">
        <is>
          <t>User reachable</t>
        </is>
      </c>
      <c r="AF199" s="29" t="inlineStr">
        <is>
          <t>AuthScreen.js</t>
        </is>
      </c>
      <c r="AG199" s="29" t="inlineStr">
        <is>
          <t>Incomplete</t>
        </is>
      </c>
      <c r="AH199" s="29" t="inlineStr">
        <is>
          <t>No</t>
        </is>
      </c>
      <c r="AI199" s="29" t="inlineStr">
        <is>
          <t>Backend validation not fully verified.</t>
        </is>
      </c>
      <c r="AJ199" s="29" t="inlineStr">
        <is>
          <t>Source traced</t>
        </is>
      </c>
      <c r="AK199" s="29" t="inlineStr">
        <is>
          <t>EV-11-0003</t>
        </is>
      </c>
      <c r="AL199" s="29" t="inlineStr"/>
      <c r="AM199" s="29" t="inlineStr"/>
      <c r="AN199" s="29" t="inlineStr"/>
      <c r="AO199" s="29" t="inlineStr">
        <is>
          <t>8bc0dcb2a1da1b21368c5536aaeef829d587f316</t>
        </is>
      </c>
      <c r="AP199" s="29" t="inlineStr">
        <is>
          <t>High</t>
        </is>
      </c>
      <c r="AQ199" s="29" t="inlineStr">
        <is>
          <t>Not assessed</t>
        </is>
      </c>
      <c r="AR199" s="29" t="inlineStr">
        <is>
          <t>Not assessed</t>
        </is>
      </c>
      <c r="AS199" s="29" t="inlineStr">
        <is>
          <t>Fail</t>
        </is>
      </c>
      <c r="AT199" s="29" t="inlineStr">
        <is>
          <t>Not assessed</t>
        </is>
      </c>
      <c r="AU199" s="29" t="inlineStr">
        <is>
          <t>Not assessed</t>
        </is>
      </c>
      <c r="AV199" s="29" t="inlineStr">
        <is>
          <t>Not assessed</t>
        </is>
      </c>
      <c r="AW199" s="29" t="inlineStr">
        <is>
          <t>Not assessed</t>
        </is>
      </c>
      <c r="AX199" s="29" t="inlineStr">
        <is>
          <t>Not assessed</t>
        </is>
      </c>
      <c r="AY199" s="29" t="inlineStr">
        <is>
          <t>Not assessed</t>
        </is>
      </c>
      <c r="AZ199" s="29" t="inlineStr">
        <is>
          <t>Not assessed</t>
        </is>
      </c>
      <c r="BA199" s="29" t="inlineStr">
        <is>
          <t>Not assessed</t>
        </is>
      </c>
      <c r="BB199" s="29" t="inlineStr">
        <is>
          <t>Not assessed</t>
        </is>
      </c>
      <c r="BC199" s="29" t="inlineStr">
        <is>
          <t>Not assessed</t>
        </is>
      </c>
      <c r="BD199" s="29" t="inlineStr">
        <is>
          <t>Not assessed</t>
        </is>
      </c>
      <c r="BE199" s="29" t="inlineStr">
        <is>
          <t>Development required</t>
        </is>
      </c>
      <c r="BF199" s="29" t="inlineStr">
        <is>
          <t>Physical implementation is not complete against the stated requirement.; Backend validation not fully verified.</t>
        </is>
      </c>
      <c r="BG199" s="29" t="inlineStr"/>
      <c r="BH199" s="29" t="inlineStr"/>
      <c r="BI199" s="29" t="inlineStr"/>
      <c r="BJ199" s="29" t="inlineStr"/>
      <c r="BK199" s="29" t="inlineStr">
        <is>
          <t>Evidence reconciled against the reviewed source revision. No production approval is inferred from implementation or file presence.</t>
        </is>
      </c>
      <c r="BL199" s="29" t="inlineStr">
        <is>
          <t>2026-08-02</t>
        </is>
      </c>
    </row>
    <row r="200" ht="42" customHeight="1">
      <c r="A200" s="29" t="inlineStr">
        <is>
          <t>BLYP-11-003</t>
        </is>
      </c>
      <c r="B200" s="29" t="inlineStr"/>
      <c r="C200" s="29" t="inlineStr">
        <is>
          <t>First-time onboarding and personalisation</t>
        </is>
      </c>
      <c r="D200" s="29" t="n">
        <v>11</v>
      </c>
      <c r="E200" s="29" t="n">
        <v>3</v>
      </c>
      <c r="F200" s="29" t="inlineStr">
        <is>
          <t>Feature</t>
        </is>
      </c>
      <c r="G200" s="29" t="inlineStr">
        <is>
          <t>Email confirmation</t>
        </is>
      </c>
      <c r="H200" s="29" t="inlineStr">
        <is>
          <t>Email confirmation</t>
        </is>
      </c>
      <c r="I200" s="29" t="inlineStr">
        <is>
          <t>/home/ubuntu/blyp_product_requirements.md :: Section 11 — First-time onboarding and personalisation</t>
        </is>
      </c>
      <c r="J200" s="29" t="inlineStr">
        <is>
          <t>/home/ubuntu/BLYP_COMPLETE_FEATURE_LIST.md:264</t>
        </is>
      </c>
      <c r="K200" s="29" t="inlineStr">
        <is>
          <t>Required</t>
        </is>
      </c>
      <c r="L200" s="29" t="inlineStr">
        <is>
          <t>Applicable BLYP member</t>
        </is>
      </c>
      <c r="M200" s="29" t="inlineStr">
        <is>
          <t>BLYP mobile application and supporting production services</t>
        </is>
      </c>
      <c r="N200" s="29" t="inlineStr">
        <is>
          <t>Email confirmation</t>
        </is>
      </c>
      <c r="O200" s="29" t="inlineStr">
        <is>
          <t>Not explicitly defined in the product source; requires accountable product approval before production sign-off.</t>
        </is>
      </c>
      <c r="P200" s="29" t="inlineStr">
        <is>
          <t>AWS Cognito; Not assessed</t>
        </is>
      </c>
      <c r="Q200" s="29" t="inlineStr">
        <is>
          <t>Yes</t>
        </is>
      </c>
      <c r="R200" s="29" t="inlineStr"/>
      <c r="S200" s="29" t="inlineStr">
        <is>
          <t>UI only</t>
        </is>
      </c>
      <c r="T200" s="29" t="inlineStr">
        <is>
          <t>AuthScreen.js</t>
        </is>
      </c>
      <c r="U200" s="29" t="inlineStr">
        <is>
          <t>AuthScreen.js</t>
        </is>
      </c>
      <c r="V200" s="29" t="inlineStr">
        <is>
          <t>Cognito</t>
        </is>
      </c>
      <c r="W200" s="29" t="inlineStr">
        <is>
          <t>Not assessed</t>
        </is>
      </c>
      <c r="X200" s="29" t="inlineStr">
        <is>
          <t>Not assessed</t>
        </is>
      </c>
      <c r="Y200" s="29" t="inlineStr">
        <is>
          <t>Not assessed</t>
        </is>
      </c>
      <c r="Z200" s="29" t="inlineStr">
        <is>
          <t>AWS Cognito</t>
        </is>
      </c>
      <c r="AA200" s="29" t="inlineStr">
        <is>
          <t>Not assessed</t>
        </is>
      </c>
      <c r="AB200" s="29" t="inlineStr">
        <is>
          <t>Not assessed</t>
        </is>
      </c>
      <c r="AC200" s="29" t="inlineStr"/>
      <c r="AD200" s="29" t="inlineStr"/>
      <c r="AE200" s="29" t="inlineStr">
        <is>
          <t>User reachable</t>
        </is>
      </c>
      <c r="AF200" s="29" t="inlineStr">
        <is>
          <t>AuthScreen.js</t>
        </is>
      </c>
      <c r="AG200" s="29" t="inlineStr">
        <is>
          <t>Incomplete</t>
        </is>
      </c>
      <c r="AH200" s="29" t="inlineStr">
        <is>
          <t>No</t>
        </is>
      </c>
      <c r="AI200" s="29" t="inlineStr">
        <is>
          <t>Backend validation not fully verified.</t>
        </is>
      </c>
      <c r="AJ200" s="29" t="inlineStr">
        <is>
          <t>Source traced</t>
        </is>
      </c>
      <c r="AK200" s="29" t="inlineStr">
        <is>
          <t>EV-11-0004</t>
        </is>
      </c>
      <c r="AL200" s="29" t="inlineStr"/>
      <c r="AM200" s="29" t="inlineStr"/>
      <c r="AN200" s="29" t="inlineStr"/>
      <c r="AO200" s="29" t="inlineStr">
        <is>
          <t>8bc0dcb2a1da1b21368c5536aaeef829d587f316</t>
        </is>
      </c>
      <c r="AP200" s="29" t="inlineStr">
        <is>
          <t>High</t>
        </is>
      </c>
      <c r="AQ200" s="29" t="inlineStr">
        <is>
          <t>Not assessed</t>
        </is>
      </c>
      <c r="AR200" s="29" t="inlineStr">
        <is>
          <t>Not assessed</t>
        </is>
      </c>
      <c r="AS200" s="29" t="inlineStr">
        <is>
          <t>Fail</t>
        </is>
      </c>
      <c r="AT200" s="29" t="inlineStr">
        <is>
          <t>Not assessed</t>
        </is>
      </c>
      <c r="AU200" s="29" t="inlineStr">
        <is>
          <t>Not assessed</t>
        </is>
      </c>
      <c r="AV200" s="29" t="inlineStr">
        <is>
          <t>Not assessed</t>
        </is>
      </c>
      <c r="AW200" s="29" t="inlineStr">
        <is>
          <t>Not assessed</t>
        </is>
      </c>
      <c r="AX200" s="29" t="inlineStr">
        <is>
          <t>Not assessed</t>
        </is>
      </c>
      <c r="AY200" s="29" t="inlineStr">
        <is>
          <t>Not assessed</t>
        </is>
      </c>
      <c r="AZ200" s="29" t="inlineStr">
        <is>
          <t>Not assessed</t>
        </is>
      </c>
      <c r="BA200" s="29" t="inlineStr">
        <is>
          <t>Not assessed</t>
        </is>
      </c>
      <c r="BB200" s="29" t="inlineStr">
        <is>
          <t>Not assessed</t>
        </is>
      </c>
      <c r="BC200" s="29" t="inlineStr">
        <is>
          <t>Not assessed</t>
        </is>
      </c>
      <c r="BD200" s="29" t="inlineStr">
        <is>
          <t>Not assessed</t>
        </is>
      </c>
      <c r="BE200" s="29" t="inlineStr">
        <is>
          <t>Development required</t>
        </is>
      </c>
      <c r="BF200" s="29" t="inlineStr">
        <is>
          <t>Physical implementation is not complete against the stated requirement.; Backend validation not fully verified.</t>
        </is>
      </c>
      <c r="BG200" s="29" t="inlineStr"/>
      <c r="BH200" s="29" t="inlineStr"/>
      <c r="BI200" s="29" t="inlineStr"/>
      <c r="BJ200" s="29" t="inlineStr"/>
      <c r="BK200" s="29" t="inlineStr">
        <is>
          <t>Evidence reconciled against the reviewed source revision. No production approval is inferred from implementation or file presence.</t>
        </is>
      </c>
      <c r="BL200" s="29" t="inlineStr">
        <is>
          <t>2026-08-02</t>
        </is>
      </c>
    </row>
    <row r="201" ht="42" customHeight="1">
      <c r="A201" s="29" t="inlineStr">
        <is>
          <t>BLYP-11-004</t>
        </is>
      </c>
      <c r="B201" s="29" t="inlineStr"/>
      <c r="C201" s="29" t="inlineStr">
        <is>
          <t>First-time onboarding and personalisation</t>
        </is>
      </c>
      <c r="D201" s="29" t="n">
        <v>11</v>
      </c>
      <c r="E201" s="29" t="n">
        <v>4</v>
      </c>
      <c r="F201" s="29" t="inlineStr">
        <is>
          <t>Feature</t>
        </is>
      </c>
      <c r="G201" s="29" t="inlineStr">
        <is>
          <t>Password reset</t>
        </is>
      </c>
      <c r="H201" s="29" t="inlineStr">
        <is>
          <t>Password reset</t>
        </is>
      </c>
      <c r="I201" s="29" t="inlineStr">
        <is>
          <t>/home/ubuntu/blyp_product_requirements.md :: Section 11 — First-time onboarding and personalisation</t>
        </is>
      </c>
      <c r="J201" s="29" t="inlineStr">
        <is>
          <t>/home/ubuntu/BLYP_COMPLETE_FEATURE_LIST.md:265</t>
        </is>
      </c>
      <c r="K201" s="29" t="inlineStr">
        <is>
          <t>Required</t>
        </is>
      </c>
      <c r="L201" s="29" t="inlineStr">
        <is>
          <t>Applicable BLYP member</t>
        </is>
      </c>
      <c r="M201" s="29" t="inlineStr">
        <is>
          <t>BLYP mobile application and supporting production services</t>
        </is>
      </c>
      <c r="N201" s="29" t="inlineStr">
        <is>
          <t>Password reset</t>
        </is>
      </c>
      <c r="O201" s="29" t="inlineStr">
        <is>
          <t>Not explicitly defined in the product source; requires accountable product approval before production sign-off.</t>
        </is>
      </c>
      <c r="P201" s="29" t="inlineStr">
        <is>
          <t>AWS Cognito; Not assessed</t>
        </is>
      </c>
      <c r="Q201" s="29" t="inlineStr">
        <is>
          <t>Yes</t>
        </is>
      </c>
      <c r="R201" s="29" t="inlineStr"/>
      <c r="S201" s="29" t="inlineStr">
        <is>
          <t>UI only</t>
        </is>
      </c>
      <c r="T201" s="29" t="inlineStr">
        <is>
          <t>AuthScreen.js</t>
        </is>
      </c>
      <c r="U201" s="29" t="inlineStr">
        <is>
          <t>AuthScreen.js</t>
        </is>
      </c>
      <c r="V201" s="29" t="inlineStr">
        <is>
          <t>Cognito</t>
        </is>
      </c>
      <c r="W201" s="29" t="inlineStr">
        <is>
          <t>Not assessed</t>
        </is>
      </c>
      <c r="X201" s="29" t="inlineStr">
        <is>
          <t>Not assessed</t>
        </is>
      </c>
      <c r="Y201" s="29" t="inlineStr">
        <is>
          <t>Not assessed</t>
        </is>
      </c>
      <c r="Z201" s="29" t="inlineStr">
        <is>
          <t>AWS Cognito</t>
        </is>
      </c>
      <c r="AA201" s="29" t="inlineStr">
        <is>
          <t>Not assessed</t>
        </is>
      </c>
      <c r="AB201" s="29" t="inlineStr">
        <is>
          <t>Not assessed</t>
        </is>
      </c>
      <c r="AC201" s="29" t="inlineStr"/>
      <c r="AD201" s="29" t="inlineStr"/>
      <c r="AE201" s="29" t="inlineStr">
        <is>
          <t>User reachable</t>
        </is>
      </c>
      <c r="AF201" s="29" t="inlineStr">
        <is>
          <t>AuthScreen.js</t>
        </is>
      </c>
      <c r="AG201" s="29" t="inlineStr">
        <is>
          <t>Incomplete</t>
        </is>
      </c>
      <c r="AH201" s="29" t="inlineStr">
        <is>
          <t>No</t>
        </is>
      </c>
      <c r="AI201" s="29" t="inlineStr">
        <is>
          <t>Backend validation not fully verified.</t>
        </is>
      </c>
      <c r="AJ201" s="29" t="inlineStr">
        <is>
          <t>Source traced</t>
        </is>
      </c>
      <c r="AK201" s="29" t="inlineStr">
        <is>
          <t>EV-11-0005</t>
        </is>
      </c>
      <c r="AL201" s="29" t="inlineStr"/>
      <c r="AM201" s="29" t="inlineStr"/>
      <c r="AN201" s="29" t="inlineStr"/>
      <c r="AO201" s="29" t="inlineStr">
        <is>
          <t>8bc0dcb2a1da1b21368c5536aaeef829d587f316</t>
        </is>
      </c>
      <c r="AP201" s="29" t="inlineStr">
        <is>
          <t>High</t>
        </is>
      </c>
      <c r="AQ201" s="29" t="inlineStr">
        <is>
          <t>Not assessed</t>
        </is>
      </c>
      <c r="AR201" s="29" t="inlineStr">
        <is>
          <t>Not assessed</t>
        </is>
      </c>
      <c r="AS201" s="29" t="inlineStr">
        <is>
          <t>Fail</t>
        </is>
      </c>
      <c r="AT201" s="29" t="inlineStr">
        <is>
          <t>Not assessed</t>
        </is>
      </c>
      <c r="AU201" s="29" t="inlineStr">
        <is>
          <t>Not assessed</t>
        </is>
      </c>
      <c r="AV201" s="29" t="inlineStr">
        <is>
          <t>Not assessed</t>
        </is>
      </c>
      <c r="AW201" s="29" t="inlineStr">
        <is>
          <t>Not assessed</t>
        </is>
      </c>
      <c r="AX201" s="29" t="inlineStr">
        <is>
          <t>Not assessed</t>
        </is>
      </c>
      <c r="AY201" s="29" t="inlineStr">
        <is>
          <t>Not assessed</t>
        </is>
      </c>
      <c r="AZ201" s="29" t="inlineStr">
        <is>
          <t>Not assessed</t>
        </is>
      </c>
      <c r="BA201" s="29" t="inlineStr">
        <is>
          <t>Not assessed</t>
        </is>
      </c>
      <c r="BB201" s="29" t="inlineStr">
        <is>
          <t>Not assessed</t>
        </is>
      </c>
      <c r="BC201" s="29" t="inlineStr">
        <is>
          <t>Not assessed</t>
        </is>
      </c>
      <c r="BD201" s="29" t="inlineStr">
        <is>
          <t>Not assessed</t>
        </is>
      </c>
      <c r="BE201" s="29" t="inlineStr">
        <is>
          <t>Development required</t>
        </is>
      </c>
      <c r="BF201" s="29" t="inlineStr">
        <is>
          <t>Physical implementation is not complete against the stated requirement.; Backend validation not fully verified.</t>
        </is>
      </c>
      <c r="BG201" s="29" t="inlineStr"/>
      <c r="BH201" s="29" t="inlineStr"/>
      <c r="BI201" s="29" t="inlineStr"/>
      <c r="BJ201" s="29" t="inlineStr"/>
      <c r="BK201" s="29" t="inlineStr">
        <is>
          <t>Evidence reconciled against the reviewed source revision. No production approval is inferred from implementation or file presence.</t>
        </is>
      </c>
      <c r="BL201" s="29" t="inlineStr">
        <is>
          <t>2026-08-02</t>
        </is>
      </c>
    </row>
    <row r="202" ht="42" customHeight="1">
      <c r="A202" s="29" t="inlineStr">
        <is>
          <t>BLYP-11-005</t>
        </is>
      </c>
      <c r="B202" s="29" t="inlineStr"/>
      <c r="C202" s="29" t="inlineStr">
        <is>
          <t>First-time onboarding and personalisation</t>
        </is>
      </c>
      <c r="D202" s="29" t="n">
        <v>11</v>
      </c>
      <c r="E202" s="29" t="n">
        <v>5</v>
      </c>
      <c r="F202" s="29" t="inlineStr">
        <is>
          <t>Feature</t>
        </is>
      </c>
      <c r="G202" s="29" t="inlineStr">
        <is>
          <t>Google sign-in</t>
        </is>
      </c>
      <c r="H202" s="29" t="inlineStr">
        <is>
          <t>Google sign-in</t>
        </is>
      </c>
      <c r="I202" s="29" t="inlineStr">
        <is>
          <t>/home/ubuntu/blyp_product_requirements.md :: Section 11 — First-time onboarding and personalisation</t>
        </is>
      </c>
      <c r="J202" s="29" t="inlineStr">
        <is>
          <t>/home/ubuntu/BLYP_COMPLETE_FEATURE_LIST.md:266</t>
        </is>
      </c>
      <c r="K202" s="29" t="inlineStr">
        <is>
          <t>Required</t>
        </is>
      </c>
      <c r="L202" s="29" t="inlineStr">
        <is>
          <t>Applicable BLYP member</t>
        </is>
      </c>
      <c r="M202" s="29" t="inlineStr">
        <is>
          <t>BLYP mobile application and supporting production services</t>
        </is>
      </c>
      <c r="N202" s="29" t="inlineStr">
        <is>
          <t>Google sign-in</t>
        </is>
      </c>
      <c r="O202" s="29" t="inlineStr">
        <is>
          <t>Not explicitly defined in the product source; requires accountable product approval before production sign-off.</t>
        </is>
      </c>
      <c r="P202" s="29" t="inlineStr">
        <is>
          <t>Google OAuth; Not assessed</t>
        </is>
      </c>
      <c r="Q202" s="29" t="inlineStr">
        <is>
          <t>Partial</t>
        </is>
      </c>
      <c r="R202" s="29" t="inlineStr"/>
      <c r="S202" s="29" t="inlineStr">
        <is>
          <t>UI only</t>
        </is>
      </c>
      <c r="T202" s="29" t="inlineStr">
        <is>
          <t>AuthScreen.js</t>
        </is>
      </c>
      <c r="U202" s="29" t="inlineStr">
        <is>
          <t>AuthScreen.js</t>
        </is>
      </c>
      <c r="V202" s="29" t="inlineStr">
        <is>
          <t>socialAuthService.js</t>
        </is>
      </c>
      <c r="W202" s="29" t="inlineStr">
        <is>
          <t>Not assessed</t>
        </is>
      </c>
      <c r="X202" s="29" t="inlineStr">
        <is>
          <t>Not assessed</t>
        </is>
      </c>
      <c r="Y202" s="29" t="inlineStr">
        <is>
          <t>Not assessed</t>
        </is>
      </c>
      <c r="Z202" s="29" t="inlineStr">
        <is>
          <t>Google OAuth</t>
        </is>
      </c>
      <c r="AA202" s="29" t="inlineStr">
        <is>
          <t>Not assessed</t>
        </is>
      </c>
      <c r="AB202" s="29" t="inlineStr">
        <is>
          <t>Not assessed</t>
        </is>
      </c>
      <c r="AC202" s="29" t="inlineStr"/>
      <c r="AD202" s="29" t="inlineStr"/>
      <c r="AE202" s="29" t="inlineStr">
        <is>
          <t>User reachable</t>
        </is>
      </c>
      <c r="AF202" s="29" t="inlineStr">
        <is>
          <t>AuthScreen.js</t>
        </is>
      </c>
      <c r="AG202" s="29" t="inlineStr">
        <is>
          <t>Incomplete</t>
        </is>
      </c>
      <c r="AH202" s="29" t="inlineStr">
        <is>
          <t>No</t>
        </is>
      </c>
      <c r="AI202" s="29" t="inlineStr">
        <is>
          <t>Backend validation not fully verified.</t>
        </is>
      </c>
      <c r="AJ202" s="29" t="inlineStr">
        <is>
          <t>Source traced</t>
        </is>
      </c>
      <c r="AK202" s="29" t="inlineStr">
        <is>
          <t>EV-11-0006</t>
        </is>
      </c>
      <c r="AL202" s="29" t="inlineStr"/>
      <c r="AM202" s="29" t="inlineStr"/>
      <c r="AN202" s="29" t="inlineStr"/>
      <c r="AO202" s="29" t="inlineStr">
        <is>
          <t>8bc0dcb2a1da1b21368c5536aaeef829d587f316</t>
        </is>
      </c>
      <c r="AP202" s="29" t="inlineStr">
        <is>
          <t>High</t>
        </is>
      </c>
      <c r="AQ202" s="29" t="inlineStr">
        <is>
          <t>Not assessed</t>
        </is>
      </c>
      <c r="AR202" s="29" t="inlineStr">
        <is>
          <t>Not assessed</t>
        </is>
      </c>
      <c r="AS202" s="29" t="inlineStr">
        <is>
          <t>Fail</t>
        </is>
      </c>
      <c r="AT202" s="29" t="inlineStr">
        <is>
          <t>Not assessed</t>
        </is>
      </c>
      <c r="AU202" s="29" t="inlineStr">
        <is>
          <t>Not assessed</t>
        </is>
      </c>
      <c r="AV202" s="29" t="inlineStr">
        <is>
          <t>Not assessed</t>
        </is>
      </c>
      <c r="AW202" s="29" t="inlineStr">
        <is>
          <t>Not assessed</t>
        </is>
      </c>
      <c r="AX202" s="29" t="inlineStr">
        <is>
          <t>Not assessed</t>
        </is>
      </c>
      <c r="AY202" s="29" t="inlineStr">
        <is>
          <t>Not assessed</t>
        </is>
      </c>
      <c r="AZ202" s="29" t="inlineStr">
        <is>
          <t>Not assessed</t>
        </is>
      </c>
      <c r="BA202" s="29" t="inlineStr">
        <is>
          <t>Not assessed</t>
        </is>
      </c>
      <c r="BB202" s="29" t="inlineStr">
        <is>
          <t>Not assessed</t>
        </is>
      </c>
      <c r="BC202" s="29" t="inlineStr">
        <is>
          <t>Not assessed</t>
        </is>
      </c>
      <c r="BD202" s="29" t="inlineStr">
        <is>
          <t>Not assessed</t>
        </is>
      </c>
      <c r="BE202" s="29" t="inlineStr">
        <is>
          <t>Development required</t>
        </is>
      </c>
      <c r="BF202" s="29" t="inlineStr">
        <is>
          <t>Physical implementation is not complete against the stated requirement.; Backend validation not fully verified.</t>
        </is>
      </c>
      <c r="BG202" s="29" t="inlineStr"/>
      <c r="BH202" s="29" t="inlineStr"/>
      <c r="BI202" s="29" t="inlineStr"/>
      <c r="BJ202" s="29" t="inlineStr"/>
      <c r="BK202" s="29" t="inlineStr">
        <is>
          <t>Evidence reconciled against the reviewed source revision. No production approval is inferred from implementation or file presence.</t>
        </is>
      </c>
      <c r="BL202" s="29" t="inlineStr">
        <is>
          <t>2026-08-02</t>
        </is>
      </c>
    </row>
    <row r="203" ht="42" customHeight="1">
      <c r="A203" s="29" t="inlineStr">
        <is>
          <t>BLYP-11-006</t>
        </is>
      </c>
      <c r="B203" s="29" t="inlineStr"/>
      <c r="C203" s="29" t="inlineStr">
        <is>
          <t>First-time onboarding and personalisation</t>
        </is>
      </c>
      <c r="D203" s="29" t="n">
        <v>11</v>
      </c>
      <c r="E203" s="29" t="n">
        <v>6</v>
      </c>
      <c r="F203" s="29" t="inlineStr">
        <is>
          <t>Feature</t>
        </is>
      </c>
      <c r="G203" s="29" t="inlineStr">
        <is>
          <t>Facebook sign-in</t>
        </is>
      </c>
      <c r="H203" s="29" t="inlineStr">
        <is>
          <t>Facebook sign-in</t>
        </is>
      </c>
      <c r="I203" s="29" t="inlineStr">
        <is>
          <t>/home/ubuntu/blyp_product_requirements.md :: Section 11 — First-time onboarding and personalisation</t>
        </is>
      </c>
      <c r="J203" s="29" t="inlineStr">
        <is>
          <t>/home/ubuntu/BLYP_COMPLETE_FEATURE_LIST.md:267</t>
        </is>
      </c>
      <c r="K203" s="29" t="inlineStr">
        <is>
          <t>Required</t>
        </is>
      </c>
      <c r="L203" s="29" t="inlineStr">
        <is>
          <t>Applicable BLYP member</t>
        </is>
      </c>
      <c r="M203" s="29" t="inlineStr">
        <is>
          <t>BLYP mobile application and supporting production services</t>
        </is>
      </c>
      <c r="N203" s="29" t="inlineStr">
        <is>
          <t>Facebook sign-in</t>
        </is>
      </c>
      <c r="O203" s="29" t="inlineStr">
        <is>
          <t>Not explicitly defined in the product source; requires accountable product approval before production sign-off.</t>
        </is>
      </c>
      <c r="P203" s="29" t="inlineStr">
        <is>
          <t>Google OAuth; Not assessed</t>
        </is>
      </c>
      <c r="Q203" s="29" t="inlineStr">
        <is>
          <t>Partial</t>
        </is>
      </c>
      <c r="R203" s="29" t="inlineStr"/>
      <c r="S203" s="29" t="inlineStr">
        <is>
          <t>UI only</t>
        </is>
      </c>
      <c r="T203" s="29" t="inlineStr">
        <is>
          <t>AuthScreen.js</t>
        </is>
      </c>
      <c r="U203" s="29" t="inlineStr">
        <is>
          <t>AuthScreen.js</t>
        </is>
      </c>
      <c r="V203" s="29" t="inlineStr">
        <is>
          <t>socialAuthService.js</t>
        </is>
      </c>
      <c r="W203" s="29" t="inlineStr">
        <is>
          <t>Not assessed</t>
        </is>
      </c>
      <c r="X203" s="29" t="inlineStr">
        <is>
          <t>Not assessed</t>
        </is>
      </c>
      <c r="Y203" s="29" t="inlineStr">
        <is>
          <t>Not assessed</t>
        </is>
      </c>
      <c r="Z203" s="29" t="inlineStr">
        <is>
          <t>Google OAuth</t>
        </is>
      </c>
      <c r="AA203" s="29" t="inlineStr">
        <is>
          <t>Not assessed</t>
        </is>
      </c>
      <c r="AB203" s="29" t="inlineStr">
        <is>
          <t>Not assessed</t>
        </is>
      </c>
      <c r="AC203" s="29" t="inlineStr"/>
      <c r="AD203" s="29" t="inlineStr"/>
      <c r="AE203" s="29" t="inlineStr">
        <is>
          <t>User reachable</t>
        </is>
      </c>
      <c r="AF203" s="29" t="inlineStr">
        <is>
          <t>AuthScreen.js</t>
        </is>
      </c>
      <c r="AG203" s="29" t="inlineStr">
        <is>
          <t>Incomplete</t>
        </is>
      </c>
      <c r="AH203" s="29" t="inlineStr">
        <is>
          <t>No</t>
        </is>
      </c>
      <c r="AI203" s="29" t="inlineStr">
        <is>
          <t>Backend validation not fully verified.</t>
        </is>
      </c>
      <c r="AJ203" s="29" t="inlineStr">
        <is>
          <t>Source traced</t>
        </is>
      </c>
      <c r="AK203" s="29" t="inlineStr">
        <is>
          <t>EV-11-0006</t>
        </is>
      </c>
      <c r="AL203" s="29" t="inlineStr"/>
      <c r="AM203" s="29" t="inlineStr"/>
      <c r="AN203" s="29" t="inlineStr"/>
      <c r="AO203" s="29" t="inlineStr">
        <is>
          <t>8bc0dcb2a1da1b21368c5536aaeef829d587f316</t>
        </is>
      </c>
      <c r="AP203" s="29" t="inlineStr">
        <is>
          <t>High</t>
        </is>
      </c>
      <c r="AQ203" s="29" t="inlineStr">
        <is>
          <t>Not assessed</t>
        </is>
      </c>
      <c r="AR203" s="29" t="inlineStr">
        <is>
          <t>Not assessed</t>
        </is>
      </c>
      <c r="AS203" s="29" t="inlineStr">
        <is>
          <t>Fail</t>
        </is>
      </c>
      <c r="AT203" s="29" t="inlineStr">
        <is>
          <t>Not assessed</t>
        </is>
      </c>
      <c r="AU203" s="29" t="inlineStr">
        <is>
          <t>Not assessed</t>
        </is>
      </c>
      <c r="AV203" s="29" t="inlineStr">
        <is>
          <t>Not assessed</t>
        </is>
      </c>
      <c r="AW203" s="29" t="inlineStr">
        <is>
          <t>Not assessed</t>
        </is>
      </c>
      <c r="AX203" s="29" t="inlineStr">
        <is>
          <t>Not assessed</t>
        </is>
      </c>
      <c r="AY203" s="29" t="inlineStr">
        <is>
          <t>Not assessed</t>
        </is>
      </c>
      <c r="AZ203" s="29" t="inlineStr">
        <is>
          <t>Not assessed</t>
        </is>
      </c>
      <c r="BA203" s="29" t="inlineStr">
        <is>
          <t>Not assessed</t>
        </is>
      </c>
      <c r="BB203" s="29" t="inlineStr">
        <is>
          <t>Not assessed</t>
        </is>
      </c>
      <c r="BC203" s="29" t="inlineStr">
        <is>
          <t>Not assessed</t>
        </is>
      </c>
      <c r="BD203" s="29" t="inlineStr">
        <is>
          <t>Not assessed</t>
        </is>
      </c>
      <c r="BE203" s="29" t="inlineStr">
        <is>
          <t>Development required</t>
        </is>
      </c>
      <c r="BF203" s="29" t="inlineStr">
        <is>
          <t>Physical implementation is not complete against the stated requirement.; Backend validation not fully verified.</t>
        </is>
      </c>
      <c r="BG203" s="29" t="inlineStr"/>
      <c r="BH203" s="29" t="inlineStr"/>
      <c r="BI203" s="29" t="inlineStr"/>
      <c r="BJ203" s="29" t="inlineStr"/>
      <c r="BK203" s="29" t="inlineStr">
        <is>
          <t>Evidence reconciled against the reviewed source revision. No production approval is inferred from implementation or file presence.</t>
        </is>
      </c>
      <c r="BL203" s="29" t="inlineStr">
        <is>
          <t>2026-08-02</t>
        </is>
      </c>
    </row>
    <row r="204" ht="42" customHeight="1">
      <c r="A204" s="29" t="inlineStr">
        <is>
          <t>BLYP-11-007</t>
        </is>
      </c>
      <c r="B204" s="29" t="inlineStr"/>
      <c r="C204" s="29" t="inlineStr">
        <is>
          <t>First-time onboarding and personalisation</t>
        </is>
      </c>
      <c r="D204" s="29" t="n">
        <v>11</v>
      </c>
      <c r="E204" s="29" t="n">
        <v>7</v>
      </c>
      <c r="F204" s="29" t="inlineStr">
        <is>
          <t>Feature</t>
        </is>
      </c>
      <c r="G204" s="29" t="inlineStr">
        <is>
          <t>Short onboarding journey</t>
        </is>
      </c>
      <c r="H204" s="29" t="inlineStr">
        <is>
          <t>Short onboarding journey</t>
        </is>
      </c>
      <c r="I204" s="29" t="inlineStr">
        <is>
          <t>/home/ubuntu/blyp_product_requirements.md :: Section 11 — First-time onboarding and personalisation</t>
        </is>
      </c>
      <c r="J204" s="29" t="inlineStr">
        <is>
          <t>/home/ubuntu/BLYP_COMPLETE_FEATURE_LIST.md:268</t>
        </is>
      </c>
      <c r="K204" s="29" t="inlineStr">
        <is>
          <t>Required</t>
        </is>
      </c>
      <c r="L204" s="29" t="inlineStr">
        <is>
          <t>Applicable BLYP member</t>
        </is>
      </c>
      <c r="M204" s="29" t="inlineStr">
        <is>
          <t>BLYP mobile application and supporting production services</t>
        </is>
      </c>
      <c r="N204" s="29" t="inlineStr">
        <is>
          <t>Short onboarding journey</t>
        </is>
      </c>
      <c r="O204" s="29" t="inlineStr">
        <is>
          <t>Not explicitly defined in the product source; requires accountable product approval before production sign-off.</t>
        </is>
      </c>
      <c r="P204" s="29" t="inlineStr">
        <is>
          <t>Facebook OAuth; Not assessed</t>
        </is>
      </c>
      <c r="Q204" s="29" t="inlineStr">
        <is>
          <t>Partial</t>
        </is>
      </c>
      <c r="R204" s="29" t="inlineStr"/>
      <c r="S204" s="29" t="inlineStr">
        <is>
          <t>UI only</t>
        </is>
      </c>
      <c r="T204" s="29" t="inlineStr">
        <is>
          <t>AuthScreen.js</t>
        </is>
      </c>
      <c r="U204" s="29" t="inlineStr">
        <is>
          <t>AuthScreen.js</t>
        </is>
      </c>
      <c r="V204" s="29" t="inlineStr">
        <is>
          <t>socialAuthService.js</t>
        </is>
      </c>
      <c r="W204" s="29" t="inlineStr">
        <is>
          <t>Not assessed</t>
        </is>
      </c>
      <c r="X204" s="29" t="inlineStr">
        <is>
          <t>Not assessed</t>
        </is>
      </c>
      <c r="Y204" s="29" t="inlineStr">
        <is>
          <t>Not assessed</t>
        </is>
      </c>
      <c r="Z204" s="29" t="inlineStr">
        <is>
          <t>Facebook OAuth</t>
        </is>
      </c>
      <c r="AA204" s="29" t="inlineStr">
        <is>
          <t>Not assessed</t>
        </is>
      </c>
      <c r="AB204" s="29" t="inlineStr">
        <is>
          <t>Not assessed</t>
        </is>
      </c>
      <c r="AC204" s="29" t="inlineStr"/>
      <c r="AD204" s="29" t="inlineStr"/>
      <c r="AE204" s="29" t="inlineStr">
        <is>
          <t>User reachable</t>
        </is>
      </c>
      <c r="AF204" s="29" t="inlineStr">
        <is>
          <t>AuthScreen.js</t>
        </is>
      </c>
      <c r="AG204" s="29" t="inlineStr">
        <is>
          <t>Incomplete</t>
        </is>
      </c>
      <c r="AH204" s="29" t="inlineStr">
        <is>
          <t>No</t>
        </is>
      </c>
      <c r="AI204" s="29" t="inlineStr">
        <is>
          <t>Backend validation not fully verified.</t>
        </is>
      </c>
      <c r="AJ204" s="29" t="inlineStr">
        <is>
          <t>Source traced</t>
        </is>
      </c>
      <c r="AK204" s="29" t="inlineStr">
        <is>
          <t>EV-11-0007</t>
        </is>
      </c>
      <c r="AL204" s="29" t="inlineStr"/>
      <c r="AM204" s="29" t="inlineStr"/>
      <c r="AN204" s="29" t="inlineStr"/>
      <c r="AO204" s="29" t="inlineStr">
        <is>
          <t>8bc0dcb2a1da1b21368c5536aaeef829d587f316</t>
        </is>
      </c>
      <c r="AP204" s="29" t="inlineStr">
        <is>
          <t>High</t>
        </is>
      </c>
      <c r="AQ204" s="29" t="inlineStr">
        <is>
          <t>Not assessed</t>
        </is>
      </c>
      <c r="AR204" s="29" t="inlineStr">
        <is>
          <t>Not assessed</t>
        </is>
      </c>
      <c r="AS204" s="29" t="inlineStr">
        <is>
          <t>Fail</t>
        </is>
      </c>
      <c r="AT204" s="29" t="inlineStr">
        <is>
          <t>Not assessed</t>
        </is>
      </c>
      <c r="AU204" s="29" t="inlineStr">
        <is>
          <t>Not assessed</t>
        </is>
      </c>
      <c r="AV204" s="29" t="inlineStr">
        <is>
          <t>Not assessed</t>
        </is>
      </c>
      <c r="AW204" s="29" t="inlineStr">
        <is>
          <t>Not assessed</t>
        </is>
      </c>
      <c r="AX204" s="29" t="inlineStr">
        <is>
          <t>Not assessed</t>
        </is>
      </c>
      <c r="AY204" s="29" t="inlineStr">
        <is>
          <t>Not assessed</t>
        </is>
      </c>
      <c r="AZ204" s="29" t="inlineStr">
        <is>
          <t>Not assessed</t>
        </is>
      </c>
      <c r="BA204" s="29" t="inlineStr">
        <is>
          <t>Not assessed</t>
        </is>
      </c>
      <c r="BB204" s="29" t="inlineStr">
        <is>
          <t>Not assessed</t>
        </is>
      </c>
      <c r="BC204" s="29" t="inlineStr">
        <is>
          <t>Not assessed</t>
        </is>
      </c>
      <c r="BD204" s="29" t="inlineStr">
        <is>
          <t>Not assessed</t>
        </is>
      </c>
      <c r="BE204" s="29" t="inlineStr">
        <is>
          <t>Development required</t>
        </is>
      </c>
      <c r="BF204" s="29" t="inlineStr">
        <is>
          <t>Physical implementation is not complete against the stated requirement.; Backend validation not fully verified.</t>
        </is>
      </c>
      <c r="BG204" s="29" t="inlineStr"/>
      <c r="BH204" s="29" t="inlineStr"/>
      <c r="BI204" s="29" t="inlineStr"/>
      <c r="BJ204" s="29" t="inlineStr"/>
      <c r="BK204" s="29" t="inlineStr">
        <is>
          <t>Evidence reconciled against the reviewed source revision. No production approval is inferred from implementation or file presence.</t>
        </is>
      </c>
      <c r="BL204" s="29" t="inlineStr">
        <is>
          <t>2026-08-02</t>
        </is>
      </c>
    </row>
    <row r="205" ht="42" customHeight="1">
      <c r="A205" s="29" t="inlineStr">
        <is>
          <t>BLYP-11-008</t>
        </is>
      </c>
      <c r="B205" s="29" t="inlineStr"/>
      <c r="C205" s="29" t="inlineStr">
        <is>
          <t>First-time onboarding and personalisation</t>
        </is>
      </c>
      <c r="D205" s="29" t="n">
        <v>11</v>
      </c>
      <c r="E205" s="29" t="n">
        <v>8</v>
      </c>
      <c r="F205" s="29" t="inlineStr">
        <is>
          <t>Feature</t>
        </is>
      </c>
      <c r="G205" s="29" t="inlineStr">
        <is>
          <t>Skippable onboarding</t>
        </is>
      </c>
      <c r="H205" s="29" t="inlineStr">
        <is>
          <t>Skippable onboarding</t>
        </is>
      </c>
      <c r="I205" s="29" t="inlineStr">
        <is>
          <t>/home/ubuntu/blyp_product_requirements.md :: Section 11 — First-time onboarding and personalisation</t>
        </is>
      </c>
      <c r="J205" s="29" t="inlineStr">
        <is>
          <t>/home/ubuntu/BLYP_COMPLETE_FEATURE_LIST.md:269</t>
        </is>
      </c>
      <c r="K205" s="29" t="inlineStr">
        <is>
          <t>Required</t>
        </is>
      </c>
      <c r="L205" s="29" t="inlineStr">
        <is>
          <t>Applicable BLYP member</t>
        </is>
      </c>
      <c r="M205" s="29" t="inlineStr">
        <is>
          <t>BLYP mobile application and supporting production services</t>
        </is>
      </c>
      <c r="N205" s="29" t="inlineStr">
        <is>
          <t>Skippable onboarding</t>
        </is>
      </c>
      <c r="O205" s="29" t="inlineStr">
        <is>
          <t>Not explicitly defined in the product source; requires accountable product approval before production sign-off.</t>
        </is>
      </c>
      <c r="P205" s="29" t="inlineStr">
        <is>
          <t>Facebook OAuth; Not assessed</t>
        </is>
      </c>
      <c r="Q205" s="29" t="inlineStr">
        <is>
          <t>Needs verification</t>
        </is>
      </c>
      <c r="R205" s="29" t="inlineStr"/>
      <c r="S205" s="29" t="inlineStr">
        <is>
          <t>UI only</t>
        </is>
      </c>
      <c r="T205" s="29" t="inlineStr">
        <is>
          <t>AuthScreen.js</t>
        </is>
      </c>
      <c r="U205" s="29" t="inlineStr">
        <is>
          <t>AuthScreen.js</t>
        </is>
      </c>
      <c r="V205" s="29" t="inlineStr">
        <is>
          <t>socialAuthService.js</t>
        </is>
      </c>
      <c r="W205" s="29" t="inlineStr">
        <is>
          <t>Not assessed</t>
        </is>
      </c>
      <c r="X205" s="29" t="inlineStr">
        <is>
          <t>Not assessed</t>
        </is>
      </c>
      <c r="Y205" s="29" t="inlineStr">
        <is>
          <t>Not assessed</t>
        </is>
      </c>
      <c r="Z205" s="29" t="inlineStr">
        <is>
          <t>Facebook OAuth</t>
        </is>
      </c>
      <c r="AA205" s="29" t="inlineStr">
        <is>
          <t>Not assessed</t>
        </is>
      </c>
      <c r="AB205" s="29" t="inlineStr">
        <is>
          <t>Not assessed</t>
        </is>
      </c>
      <c r="AC205" s="29" t="inlineStr"/>
      <c r="AD205" s="29" t="inlineStr"/>
      <c r="AE205" s="29" t="inlineStr">
        <is>
          <t>User reachable</t>
        </is>
      </c>
      <c r="AF205" s="29" t="inlineStr">
        <is>
          <t>AuthScreen.js</t>
        </is>
      </c>
      <c r="AG205" s="29" t="inlineStr">
        <is>
          <t>Incomplete</t>
        </is>
      </c>
      <c r="AH205" s="29" t="inlineStr">
        <is>
          <t>No</t>
        </is>
      </c>
      <c r="AI205" s="29" t="inlineStr">
        <is>
          <t>Backend validation not fully verified.</t>
        </is>
      </c>
      <c r="AJ205" s="29" t="inlineStr">
        <is>
          <t>Source traced</t>
        </is>
      </c>
      <c r="AK205" s="29" t="inlineStr">
        <is>
          <t>EV-11-0007</t>
        </is>
      </c>
      <c r="AL205" s="29" t="inlineStr"/>
      <c r="AM205" s="29" t="inlineStr"/>
      <c r="AN205" s="29" t="inlineStr"/>
      <c r="AO205" s="29" t="inlineStr">
        <is>
          <t>8bc0dcb2a1da1b21368c5536aaeef829d587f316</t>
        </is>
      </c>
      <c r="AP205" s="29" t="inlineStr">
        <is>
          <t>High</t>
        </is>
      </c>
      <c r="AQ205" s="29" t="inlineStr">
        <is>
          <t>Not assessed</t>
        </is>
      </c>
      <c r="AR205" s="29" t="inlineStr">
        <is>
          <t>Not assessed</t>
        </is>
      </c>
      <c r="AS205" s="29" t="inlineStr">
        <is>
          <t>Fail</t>
        </is>
      </c>
      <c r="AT205" s="29" t="inlineStr">
        <is>
          <t>Not assessed</t>
        </is>
      </c>
      <c r="AU205" s="29" t="inlineStr">
        <is>
          <t>Not assessed</t>
        </is>
      </c>
      <c r="AV205" s="29" t="inlineStr">
        <is>
          <t>Not assessed</t>
        </is>
      </c>
      <c r="AW205" s="29" t="inlineStr">
        <is>
          <t>Not assessed</t>
        </is>
      </c>
      <c r="AX205" s="29" t="inlineStr">
        <is>
          <t>Not assessed</t>
        </is>
      </c>
      <c r="AY205" s="29" t="inlineStr">
        <is>
          <t>Not assessed</t>
        </is>
      </c>
      <c r="AZ205" s="29" t="inlineStr">
        <is>
          <t>Not assessed</t>
        </is>
      </c>
      <c r="BA205" s="29" t="inlineStr">
        <is>
          <t>Not assessed</t>
        </is>
      </c>
      <c r="BB205" s="29" t="inlineStr">
        <is>
          <t>Not assessed</t>
        </is>
      </c>
      <c r="BC205" s="29" t="inlineStr">
        <is>
          <t>Not assessed</t>
        </is>
      </c>
      <c r="BD205" s="29" t="inlineStr">
        <is>
          <t>Not assessed</t>
        </is>
      </c>
      <c r="BE205" s="29" t="inlineStr">
        <is>
          <t>Development required</t>
        </is>
      </c>
      <c r="BF205" s="29" t="inlineStr">
        <is>
          <t>Physical implementation is not complete against the stated requirement.; Backend validation not fully verified.</t>
        </is>
      </c>
      <c r="BG205" s="29" t="inlineStr"/>
      <c r="BH205" s="29" t="inlineStr"/>
      <c r="BI205" s="29" t="inlineStr"/>
      <c r="BJ205" s="29" t="inlineStr"/>
      <c r="BK205" s="29" t="inlineStr">
        <is>
          <t>Evidence reconciled against the reviewed source revision. No production approval is inferred from implementation or file presence.</t>
        </is>
      </c>
      <c r="BL205" s="29" t="inlineStr">
        <is>
          <t>2026-08-02</t>
        </is>
      </c>
    </row>
    <row r="206" ht="42" customHeight="1">
      <c r="A206" s="29" t="inlineStr">
        <is>
          <t>BLYP-11-009</t>
        </is>
      </c>
      <c r="B206" s="29" t="inlineStr"/>
      <c r="C206" s="29" t="inlineStr">
        <is>
          <t>First-time onboarding and personalisation</t>
        </is>
      </c>
      <c r="D206" s="29" t="n">
        <v>11</v>
      </c>
      <c r="E206" s="29" t="n">
        <v>9</v>
      </c>
      <c r="F206" s="29" t="inlineStr">
        <is>
          <t>Feature</t>
        </is>
      </c>
      <c r="G206" s="29" t="inlineStr">
        <is>
          <t>Editable onboarding choices</t>
        </is>
      </c>
      <c r="H206" s="29" t="inlineStr">
        <is>
          <t>Editable onboarding choices</t>
        </is>
      </c>
      <c r="I206" s="29" t="inlineStr">
        <is>
          <t>/home/ubuntu/blyp_product_requirements.md :: Section 11 — First-time onboarding and personalisation</t>
        </is>
      </c>
      <c r="J206" s="29" t="inlineStr">
        <is>
          <t>/home/ubuntu/BLYP_COMPLETE_FEATURE_LIST.md:270</t>
        </is>
      </c>
      <c r="K206" s="29" t="inlineStr">
        <is>
          <t>Required</t>
        </is>
      </c>
      <c r="L206" s="29" t="inlineStr">
        <is>
          <t>Applicable BLYP member</t>
        </is>
      </c>
      <c r="M206" s="29" t="inlineStr">
        <is>
          <t>BLYP mobile application and supporting production services</t>
        </is>
      </c>
      <c r="N206" s="29" t="inlineStr">
        <is>
          <t>Editable onboarding choices</t>
        </is>
      </c>
      <c r="O206" s="29" t="inlineStr">
        <is>
          <t>Not explicitly defined in the product source; requires accountable product approval before production sign-off.</t>
        </is>
      </c>
      <c r="P206" s="29" t="inlineStr">
        <is>
          <t>Not assessed</t>
        </is>
      </c>
      <c r="Q206" s="29" t="inlineStr">
        <is>
          <t>Needs verification</t>
        </is>
      </c>
      <c r="R206" s="29" t="inlineStr"/>
      <c r="S206" s="29" t="inlineStr">
        <is>
          <t>Not found</t>
        </is>
      </c>
      <c r="T206" s="29" t="inlineStr">
        <is>
          <t>Not assessed</t>
        </is>
      </c>
      <c r="U206" s="29" t="inlineStr">
        <is>
          <t>Not assessed</t>
        </is>
      </c>
      <c r="V206" s="29" t="inlineStr">
        <is>
          <t>Not assessed</t>
        </is>
      </c>
      <c r="W206" s="29" t="inlineStr">
        <is>
          <t>Not assessed</t>
        </is>
      </c>
      <c r="X206" s="29" t="inlineStr">
        <is>
          <t>Not assessed</t>
        </is>
      </c>
      <c r="Y206" s="29" t="inlineStr">
        <is>
          <t>Not assessed</t>
        </is>
      </c>
      <c r="Z206" s="29" t="inlineStr">
        <is>
          <t>Not assessed</t>
        </is>
      </c>
      <c r="AA206" s="29" t="inlineStr">
        <is>
          <t>Not assessed</t>
        </is>
      </c>
      <c r="AB206" s="29" t="inlineStr">
        <is>
          <t>Not assessed</t>
        </is>
      </c>
      <c r="AC206" s="29" t="inlineStr"/>
      <c r="AD206" s="29" t="inlineStr"/>
      <c r="AE206" s="29" t="inlineStr">
        <is>
          <t>Unknown</t>
        </is>
      </c>
      <c r="AF206" s="29" t="inlineStr">
        <is>
          <t>Not assessed</t>
        </is>
      </c>
      <c r="AG206" s="29" t="inlineStr">
        <is>
          <t>Unknown</t>
        </is>
      </c>
      <c r="AH206" s="29" t="inlineStr">
        <is>
          <t>Unknown</t>
        </is>
      </c>
      <c r="AI206" s="29" t="inlineStr">
        <is>
          <t>Searched source code for relevant keywords and found no evidence.</t>
        </is>
      </c>
      <c r="AJ206" s="29" t="inlineStr">
        <is>
          <t>Not verified</t>
        </is>
      </c>
      <c r="AK206" s="29" t="inlineStr"/>
      <c r="AL206" s="29" t="inlineStr"/>
      <c r="AM206" s="29" t="inlineStr"/>
      <c r="AN206" s="29" t="inlineStr"/>
      <c r="AO206" s="29" t="inlineStr">
        <is>
          <t>8bc0dcb2a1da1b21368c5536aaeef829d587f316</t>
        </is>
      </c>
      <c r="AP206" s="29" t="inlineStr">
        <is>
          <t>Low</t>
        </is>
      </c>
      <c r="AQ206" s="29" t="inlineStr">
        <is>
          <t>Not assessed</t>
        </is>
      </c>
      <c r="AR206" s="29" t="inlineStr">
        <is>
          <t>Not assessed</t>
        </is>
      </c>
      <c r="AS206" s="29" t="inlineStr">
        <is>
          <t>Not assessed</t>
        </is>
      </c>
      <c r="AT206" s="29" t="inlineStr">
        <is>
          <t>Not assessed</t>
        </is>
      </c>
      <c r="AU206" s="29" t="inlineStr">
        <is>
          <t>Not assessed</t>
        </is>
      </c>
      <c r="AV206" s="29" t="inlineStr">
        <is>
          <t>Not assessed</t>
        </is>
      </c>
      <c r="AW206" s="29" t="inlineStr">
        <is>
          <t>Not assessed</t>
        </is>
      </c>
      <c r="AX206" s="29" t="inlineStr">
        <is>
          <t>Not assessed</t>
        </is>
      </c>
      <c r="AY206" s="29" t="inlineStr">
        <is>
          <t>Not assessed</t>
        </is>
      </c>
      <c r="AZ206" s="29" t="inlineStr">
        <is>
          <t>Not assessed</t>
        </is>
      </c>
      <c r="BA206" s="29" t="inlineStr">
        <is>
          <t>Not assessed</t>
        </is>
      </c>
      <c r="BB206" s="29" t="inlineStr">
        <is>
          <t>Not assessed</t>
        </is>
      </c>
      <c r="BC206" s="29" t="inlineStr">
        <is>
          <t>Not assessed</t>
        </is>
      </c>
      <c r="BD206" s="29" t="inlineStr">
        <is>
          <t>Not assessed</t>
        </is>
      </c>
      <c r="BE206" s="29" t="inlineStr">
        <is>
          <t>Development required</t>
        </is>
      </c>
      <c r="BF206" s="29" t="inlineStr">
        <is>
          <t>Physical implementation is not complete against the stated requirement.; Searched source code for relevant keywords and found no evidence.</t>
        </is>
      </c>
      <c r="BG206" s="29" t="inlineStr"/>
      <c r="BH206" s="29" t="inlineStr"/>
      <c r="BI206" s="29" t="inlineStr"/>
      <c r="BJ206" s="29" t="inlineStr"/>
      <c r="BK206" s="29" t="inlineStr">
        <is>
          <t>Evidence reconciled against the reviewed source revision. No production approval is inferred from implementation or file presence.</t>
        </is>
      </c>
      <c r="BL206" s="29" t="inlineStr">
        <is>
          <t>2026-08-02</t>
        </is>
      </c>
    </row>
    <row r="207" ht="42" customHeight="1">
      <c r="A207" s="29" t="inlineStr">
        <is>
          <t>BLYP-11-010</t>
        </is>
      </c>
      <c r="B207" s="29" t="inlineStr"/>
      <c r="C207" s="29" t="inlineStr">
        <is>
          <t>First-time onboarding and personalisation</t>
        </is>
      </c>
      <c r="D207" s="29" t="n">
        <v>11</v>
      </c>
      <c r="E207" s="29" t="n">
        <v>10</v>
      </c>
      <c r="F207" s="29" t="inlineStr">
        <is>
          <t>Feature</t>
        </is>
      </c>
      <c r="G207" s="29" t="inlineStr">
        <is>
          <t>Choose Interests</t>
        </is>
      </c>
      <c r="H207" s="29" t="inlineStr">
        <is>
          <t>Choose Interests</t>
        </is>
      </c>
      <c r="I207" s="29" t="inlineStr">
        <is>
          <t>/home/ubuntu/blyp_product_requirements.md :: Section 11 — First-time onboarding and personalisation</t>
        </is>
      </c>
      <c r="J207" s="29" t="inlineStr">
        <is>
          <t>/home/ubuntu/BLYP_COMPLETE_FEATURE_LIST.md:271</t>
        </is>
      </c>
      <c r="K207" s="29" t="inlineStr">
        <is>
          <t>Required</t>
        </is>
      </c>
      <c r="L207" s="29" t="inlineStr">
        <is>
          <t>Applicable BLYP member</t>
        </is>
      </c>
      <c r="M207" s="29" t="inlineStr">
        <is>
          <t>BLYP mobile application and supporting production services</t>
        </is>
      </c>
      <c r="N207" s="29" t="inlineStr">
        <is>
          <t>Choose Interests</t>
        </is>
      </c>
      <c r="O207" s="29" t="inlineStr">
        <is>
          <t>Not explicitly defined in the product source; requires accountable product approval before production sign-off.</t>
        </is>
      </c>
      <c r="P207" s="29" t="inlineStr">
        <is>
          <t>Not assessed</t>
        </is>
      </c>
      <c r="Q207" s="29" t="inlineStr">
        <is>
          <t>Partial</t>
        </is>
      </c>
      <c r="R207" s="29" t="inlineStr"/>
      <c r="S207" s="29" t="inlineStr">
        <is>
          <t>Not found</t>
        </is>
      </c>
      <c r="T207" s="29" t="inlineStr">
        <is>
          <t>Not assessed</t>
        </is>
      </c>
      <c r="U207" s="29" t="inlineStr">
        <is>
          <t>Not assessed</t>
        </is>
      </c>
      <c r="V207" s="29" t="inlineStr">
        <is>
          <t>Not assessed</t>
        </is>
      </c>
      <c r="W207" s="29" t="inlineStr">
        <is>
          <t>Not assessed</t>
        </is>
      </c>
      <c r="X207" s="29" t="inlineStr">
        <is>
          <t>Not assessed</t>
        </is>
      </c>
      <c r="Y207" s="29" t="inlineStr">
        <is>
          <t>Not assessed</t>
        </is>
      </c>
      <c r="Z207" s="29" t="inlineStr">
        <is>
          <t>Not assessed</t>
        </is>
      </c>
      <c r="AA207" s="29" t="inlineStr">
        <is>
          <t>Not assessed</t>
        </is>
      </c>
      <c r="AB207" s="29" t="inlineStr">
        <is>
          <t>Not assessed</t>
        </is>
      </c>
      <c r="AC207" s="29" t="inlineStr"/>
      <c r="AD207" s="29" t="inlineStr"/>
      <c r="AE207" s="29" t="inlineStr">
        <is>
          <t>Unknown</t>
        </is>
      </c>
      <c r="AF207" s="29" t="inlineStr">
        <is>
          <t>Not assessed</t>
        </is>
      </c>
      <c r="AG207" s="29" t="inlineStr">
        <is>
          <t>Unknown</t>
        </is>
      </c>
      <c r="AH207" s="29" t="inlineStr">
        <is>
          <t>Unknown</t>
        </is>
      </c>
      <c r="AI207" s="29" t="inlineStr">
        <is>
          <t>Searched source code for relevant keywords and found no evidence.</t>
        </is>
      </c>
      <c r="AJ207" s="29" t="inlineStr">
        <is>
          <t>Not verified</t>
        </is>
      </c>
      <c r="AK207" s="29" t="inlineStr"/>
      <c r="AL207" s="29" t="inlineStr"/>
      <c r="AM207" s="29" t="inlineStr"/>
      <c r="AN207" s="29" t="inlineStr"/>
      <c r="AO207" s="29" t="inlineStr">
        <is>
          <t>8bc0dcb2a1da1b21368c5536aaeef829d587f316</t>
        </is>
      </c>
      <c r="AP207" s="29" t="inlineStr">
        <is>
          <t>Low</t>
        </is>
      </c>
      <c r="AQ207" s="29" t="inlineStr">
        <is>
          <t>Not assessed</t>
        </is>
      </c>
      <c r="AR207" s="29" t="inlineStr">
        <is>
          <t>Not assessed</t>
        </is>
      </c>
      <c r="AS207" s="29" t="inlineStr">
        <is>
          <t>Not assessed</t>
        </is>
      </c>
      <c r="AT207" s="29" t="inlineStr">
        <is>
          <t>Not assessed</t>
        </is>
      </c>
      <c r="AU207" s="29" t="inlineStr">
        <is>
          <t>Not assessed</t>
        </is>
      </c>
      <c r="AV207" s="29" t="inlineStr">
        <is>
          <t>Not assessed</t>
        </is>
      </c>
      <c r="AW207" s="29" t="inlineStr">
        <is>
          <t>Not assessed</t>
        </is>
      </c>
      <c r="AX207" s="29" t="inlineStr">
        <is>
          <t>Not assessed</t>
        </is>
      </c>
      <c r="AY207" s="29" t="inlineStr">
        <is>
          <t>Not assessed</t>
        </is>
      </c>
      <c r="AZ207" s="29" t="inlineStr">
        <is>
          <t>Not assessed</t>
        </is>
      </c>
      <c r="BA207" s="29" t="inlineStr">
        <is>
          <t>Not assessed</t>
        </is>
      </c>
      <c r="BB207" s="29" t="inlineStr">
        <is>
          <t>Not assessed</t>
        </is>
      </c>
      <c r="BC207" s="29" t="inlineStr">
        <is>
          <t>Not assessed</t>
        </is>
      </c>
      <c r="BD207" s="29" t="inlineStr">
        <is>
          <t>Not assessed</t>
        </is>
      </c>
      <c r="BE207" s="29" t="inlineStr">
        <is>
          <t>Development required</t>
        </is>
      </c>
      <c r="BF207" s="29" t="inlineStr">
        <is>
          <t>Physical implementation is not complete against the stated requirement.; Searched source code for relevant keywords and found no evidence.</t>
        </is>
      </c>
      <c r="BG207" s="29" t="inlineStr"/>
      <c r="BH207" s="29" t="inlineStr"/>
      <c r="BI207" s="29" t="inlineStr"/>
      <c r="BJ207" s="29" t="inlineStr"/>
      <c r="BK207" s="29" t="inlineStr">
        <is>
          <t>Evidence reconciled against the reviewed source revision. No production approval is inferred from implementation or file presence.</t>
        </is>
      </c>
      <c r="BL207" s="29" t="inlineStr">
        <is>
          <t>2026-08-02</t>
        </is>
      </c>
    </row>
    <row r="208" ht="42" customHeight="1">
      <c r="A208" s="29" t="inlineStr">
        <is>
          <t>BLYP-11-011</t>
        </is>
      </c>
      <c r="B208" s="29" t="inlineStr"/>
      <c r="C208" s="29" t="inlineStr">
        <is>
          <t>First-time onboarding and personalisation</t>
        </is>
      </c>
      <c r="D208" s="29" t="n">
        <v>11</v>
      </c>
      <c r="E208" s="29" t="n">
        <v>11</v>
      </c>
      <c r="F208" s="29" t="inlineStr">
        <is>
          <t>Feature</t>
        </is>
      </c>
      <c r="G208" s="29" t="inlineStr">
        <is>
          <t>Follow suggested real creators</t>
        </is>
      </c>
      <c r="H208" s="29" t="inlineStr">
        <is>
          <t>Follow suggested real creators</t>
        </is>
      </c>
      <c r="I208" s="29" t="inlineStr">
        <is>
          <t>/home/ubuntu/blyp_product_requirements.md :: Section 11 — First-time onboarding and personalisation</t>
        </is>
      </c>
      <c r="J208" s="29" t="inlineStr">
        <is>
          <t>/home/ubuntu/BLYP_COMPLETE_FEATURE_LIST.md:272</t>
        </is>
      </c>
      <c r="K208" s="29" t="inlineStr">
        <is>
          <t>Required</t>
        </is>
      </c>
      <c r="L208" s="29" t="inlineStr">
        <is>
          <t>Authenticated creator or host</t>
        </is>
      </c>
      <c r="M208" s="29" t="inlineStr">
        <is>
          <t>BLYP mobile application and supporting production services</t>
        </is>
      </c>
      <c r="N208" s="29" t="inlineStr">
        <is>
          <t>Follow suggested real creators</t>
        </is>
      </c>
      <c r="O208" s="29" t="inlineStr">
        <is>
          <t>Not explicitly defined in the product source; requires accountable product approval before production sign-off.</t>
        </is>
      </c>
      <c r="P208" s="29" t="inlineStr">
        <is>
          <t>Firebase; Not assessed</t>
        </is>
      </c>
      <c r="Q208" s="29" t="inlineStr">
        <is>
          <t>No evidence</t>
        </is>
      </c>
      <c r="R208" s="29" t="inlineStr"/>
      <c r="S208" s="29" t="inlineStr">
        <is>
          <t>UI only</t>
        </is>
      </c>
      <c r="T208" s="29" t="inlineStr">
        <is>
          <t>EditProfileScreen.js</t>
        </is>
      </c>
      <c r="U208" s="29" t="inlineStr">
        <is>
          <t>EditProfileScreen.js</t>
        </is>
      </c>
      <c r="V208" s="29" t="inlineStr">
        <is>
          <t>Firebase Storage</t>
        </is>
      </c>
      <c r="W208" s="29" t="inlineStr">
        <is>
          <t>Not assessed</t>
        </is>
      </c>
      <c r="X208" s="29" t="inlineStr">
        <is>
          <t>Not assessed</t>
        </is>
      </c>
      <c r="Y208" s="29" t="inlineStr">
        <is>
          <t>Not assessed</t>
        </is>
      </c>
      <c r="Z208" s="29" t="inlineStr">
        <is>
          <t>Firebase</t>
        </is>
      </c>
      <c r="AA208" s="29" t="inlineStr">
        <is>
          <t>Not assessed</t>
        </is>
      </c>
      <c r="AB208" s="29" t="inlineStr">
        <is>
          <t>Not assessed</t>
        </is>
      </c>
      <c r="AC208" s="29" t="inlineStr"/>
      <c r="AD208" s="29" t="inlineStr"/>
      <c r="AE208" s="29" t="inlineStr">
        <is>
          <t>User reachable</t>
        </is>
      </c>
      <c r="AF208" s="29" t="inlineStr">
        <is>
          <t>EditProfileScreen.js</t>
        </is>
      </c>
      <c r="AG208" s="29" t="inlineStr">
        <is>
          <t>Incomplete</t>
        </is>
      </c>
      <c r="AH208" s="29" t="inlineStr">
        <is>
          <t>No</t>
        </is>
      </c>
      <c r="AI208" s="29" t="inlineStr">
        <is>
          <t>Backend validation not fully verified.</t>
        </is>
      </c>
      <c r="AJ208" s="29" t="inlineStr">
        <is>
          <t>Source traced</t>
        </is>
      </c>
      <c r="AK208" s="29" t="inlineStr">
        <is>
          <t>EV-11-0008</t>
        </is>
      </c>
      <c r="AL208" s="29" t="inlineStr"/>
      <c r="AM208" s="29" t="inlineStr"/>
      <c r="AN208" s="29" t="inlineStr"/>
      <c r="AO208" s="29" t="inlineStr">
        <is>
          <t>8bc0dcb2a1da1b21368c5536aaeef829d587f316</t>
        </is>
      </c>
      <c r="AP208" s="29" t="inlineStr">
        <is>
          <t>High</t>
        </is>
      </c>
      <c r="AQ208" s="29" t="inlineStr">
        <is>
          <t>Not assessed</t>
        </is>
      </c>
      <c r="AR208" s="29" t="inlineStr">
        <is>
          <t>Not assessed</t>
        </is>
      </c>
      <c r="AS208" s="29" t="inlineStr">
        <is>
          <t>Fail</t>
        </is>
      </c>
      <c r="AT208" s="29" t="inlineStr">
        <is>
          <t>Not assessed</t>
        </is>
      </c>
      <c r="AU208" s="29" t="inlineStr">
        <is>
          <t>Not assessed</t>
        </is>
      </c>
      <c r="AV208" s="29" t="inlineStr">
        <is>
          <t>Not assessed</t>
        </is>
      </c>
      <c r="AW208" s="29" t="inlineStr">
        <is>
          <t>Not assessed</t>
        </is>
      </c>
      <c r="AX208" s="29" t="inlineStr">
        <is>
          <t>Not assessed</t>
        </is>
      </c>
      <c r="AY208" s="29" t="inlineStr">
        <is>
          <t>Not assessed</t>
        </is>
      </c>
      <c r="AZ208" s="29" t="inlineStr">
        <is>
          <t>Not assessed</t>
        </is>
      </c>
      <c r="BA208" s="29" t="inlineStr">
        <is>
          <t>Not assessed</t>
        </is>
      </c>
      <c r="BB208" s="29" t="inlineStr">
        <is>
          <t>Not assessed</t>
        </is>
      </c>
      <c r="BC208" s="29" t="inlineStr">
        <is>
          <t>Not assessed</t>
        </is>
      </c>
      <c r="BD208" s="29" t="inlineStr">
        <is>
          <t>Not assessed</t>
        </is>
      </c>
      <c r="BE208" s="29" t="inlineStr">
        <is>
          <t>Development required</t>
        </is>
      </c>
      <c r="BF208" s="29" t="inlineStr">
        <is>
          <t>Physical implementation is not complete against the stated requirement.; Backend validation not fully verified.</t>
        </is>
      </c>
      <c r="BG208" s="29" t="inlineStr"/>
      <c r="BH208" s="29" t="inlineStr"/>
      <c r="BI208" s="29" t="inlineStr"/>
      <c r="BJ208" s="29" t="inlineStr"/>
      <c r="BK208" s="29" t="inlineStr">
        <is>
          <t>Evidence reconciled against the reviewed source revision. No production approval is inferred from implementation or file presence.</t>
        </is>
      </c>
      <c r="BL208" s="29" t="inlineStr">
        <is>
          <t>2026-08-02</t>
        </is>
      </c>
    </row>
    <row r="209" ht="42" customHeight="1">
      <c r="A209" s="29" t="inlineStr">
        <is>
          <t>BLYP-11-012</t>
        </is>
      </c>
      <c r="B209" s="29" t="inlineStr"/>
      <c r="C209" s="29" t="inlineStr">
        <is>
          <t>First-time onboarding and personalisation</t>
        </is>
      </c>
      <c r="D209" s="29" t="n">
        <v>11</v>
      </c>
      <c r="E209" s="29" t="n">
        <v>12</v>
      </c>
      <c r="F209" s="29" t="inlineStr">
        <is>
          <t>Feature</t>
        </is>
      </c>
      <c r="G209" s="29" t="inlineStr">
        <is>
          <t>Set notification preferences</t>
        </is>
      </c>
      <c r="H209" s="29" t="inlineStr">
        <is>
          <t>Set notification preferences</t>
        </is>
      </c>
      <c r="I209" s="29" t="inlineStr">
        <is>
          <t>/home/ubuntu/blyp_product_requirements.md :: Section 11 — First-time onboarding and personalisation</t>
        </is>
      </c>
      <c r="J209" s="29" t="inlineStr">
        <is>
          <t>/home/ubuntu/BLYP_COMPLETE_FEATURE_LIST.md:273</t>
        </is>
      </c>
      <c r="K209" s="29" t="inlineStr">
        <is>
          <t>Required</t>
        </is>
      </c>
      <c r="L209" s="29" t="inlineStr">
        <is>
          <t>Applicable BLYP member</t>
        </is>
      </c>
      <c r="M209" s="29" t="inlineStr">
        <is>
          <t>BLYP mobile application and supporting production services</t>
        </is>
      </c>
      <c r="N209" s="29" t="inlineStr">
        <is>
          <t>Set notification preferences</t>
        </is>
      </c>
      <c r="O209" s="29" t="inlineStr">
        <is>
          <t>Not explicitly defined in the product source; requires accountable product approval before production sign-off.</t>
        </is>
      </c>
      <c r="P209" s="29" t="inlineStr">
        <is>
          <t>Not assessed</t>
        </is>
      </c>
      <c r="Q209" s="29" t="inlineStr">
        <is>
          <t>No evidence</t>
        </is>
      </c>
      <c r="R209" s="29" t="inlineStr"/>
      <c r="S209" s="29" t="inlineStr">
        <is>
          <t>Not found</t>
        </is>
      </c>
      <c r="T209" s="29" t="inlineStr">
        <is>
          <t>Not assessed</t>
        </is>
      </c>
      <c r="U209" s="29" t="inlineStr">
        <is>
          <t>Not assessed</t>
        </is>
      </c>
      <c r="V209" s="29" t="inlineStr">
        <is>
          <t>Not assessed</t>
        </is>
      </c>
      <c r="W209" s="29" t="inlineStr">
        <is>
          <t>Not assessed</t>
        </is>
      </c>
      <c r="X209" s="29" t="inlineStr">
        <is>
          <t>Not assessed</t>
        </is>
      </c>
      <c r="Y209" s="29" t="inlineStr">
        <is>
          <t>Not assessed</t>
        </is>
      </c>
      <c r="Z209" s="29" t="inlineStr">
        <is>
          <t>Not assessed</t>
        </is>
      </c>
      <c r="AA209" s="29" t="inlineStr">
        <is>
          <t>Not assessed</t>
        </is>
      </c>
      <c r="AB209" s="29" t="inlineStr">
        <is>
          <t>Not assessed</t>
        </is>
      </c>
      <c r="AC209" s="29" t="inlineStr"/>
      <c r="AD209" s="29" t="inlineStr"/>
      <c r="AE209" s="29" t="inlineStr">
        <is>
          <t>Unknown</t>
        </is>
      </c>
      <c r="AF209" s="29" t="inlineStr">
        <is>
          <t>Not assessed</t>
        </is>
      </c>
      <c r="AG209" s="29" t="inlineStr">
        <is>
          <t>Unknown</t>
        </is>
      </c>
      <c r="AH209" s="29" t="inlineStr">
        <is>
          <t>Unknown</t>
        </is>
      </c>
      <c r="AI209" s="29" t="inlineStr">
        <is>
          <t>Searched source code for relevant keywords and found no evidence.</t>
        </is>
      </c>
      <c r="AJ209" s="29" t="inlineStr">
        <is>
          <t>Not verified</t>
        </is>
      </c>
      <c r="AK209" s="29" t="inlineStr"/>
      <c r="AL209" s="29" t="inlineStr"/>
      <c r="AM209" s="29" t="inlineStr"/>
      <c r="AN209" s="29" t="inlineStr"/>
      <c r="AO209" s="29" t="inlineStr">
        <is>
          <t>8bc0dcb2a1da1b21368c5536aaeef829d587f316</t>
        </is>
      </c>
      <c r="AP209" s="29" t="inlineStr">
        <is>
          <t>Low</t>
        </is>
      </c>
      <c r="AQ209" s="29" t="inlineStr">
        <is>
          <t>Not assessed</t>
        </is>
      </c>
      <c r="AR209" s="29" t="inlineStr">
        <is>
          <t>Not assessed</t>
        </is>
      </c>
      <c r="AS209" s="29" t="inlineStr">
        <is>
          <t>Not assessed</t>
        </is>
      </c>
      <c r="AT209" s="29" t="inlineStr">
        <is>
          <t>Not assessed</t>
        </is>
      </c>
      <c r="AU209" s="29" t="inlineStr">
        <is>
          <t>Not assessed</t>
        </is>
      </c>
      <c r="AV209" s="29" t="inlineStr">
        <is>
          <t>Not assessed</t>
        </is>
      </c>
      <c r="AW209" s="29" t="inlineStr">
        <is>
          <t>Not assessed</t>
        </is>
      </c>
      <c r="AX209" s="29" t="inlineStr">
        <is>
          <t>Not assessed</t>
        </is>
      </c>
      <c r="AY209" s="29" t="inlineStr">
        <is>
          <t>Not assessed</t>
        </is>
      </c>
      <c r="AZ209" s="29" t="inlineStr">
        <is>
          <t>Not assessed</t>
        </is>
      </c>
      <c r="BA209" s="29" t="inlineStr">
        <is>
          <t>Not assessed</t>
        </is>
      </c>
      <c r="BB209" s="29" t="inlineStr">
        <is>
          <t>Not assessed</t>
        </is>
      </c>
      <c r="BC209" s="29" t="inlineStr">
        <is>
          <t>Not assessed</t>
        </is>
      </c>
      <c r="BD209" s="29" t="inlineStr">
        <is>
          <t>Not assessed</t>
        </is>
      </c>
      <c r="BE209" s="29" t="inlineStr">
        <is>
          <t>Development required</t>
        </is>
      </c>
      <c r="BF209" s="29" t="inlineStr">
        <is>
          <t>Physical implementation is not complete against the stated requirement.; Searched source code for relevant keywords and found no evidence.</t>
        </is>
      </c>
      <c r="BG209" s="29" t="inlineStr"/>
      <c r="BH209" s="29" t="inlineStr"/>
      <c r="BI209" s="29" t="inlineStr"/>
      <c r="BJ209" s="29" t="inlineStr"/>
      <c r="BK209" s="29" t="inlineStr">
        <is>
          <t>Evidence reconciled against the reviewed source revision. No production approval is inferred from implementation or file presence.</t>
        </is>
      </c>
      <c r="BL209" s="29" t="inlineStr">
        <is>
          <t>2026-08-02</t>
        </is>
      </c>
    </row>
    <row r="210" ht="42" customHeight="1">
      <c r="A210" s="29" t="inlineStr">
        <is>
          <t>BLYP-11-013</t>
        </is>
      </c>
      <c r="B210" s="29" t="inlineStr"/>
      <c r="C210" s="29" t="inlineStr">
        <is>
          <t>First-time onboarding and personalisation</t>
        </is>
      </c>
      <c r="D210" s="29" t="n">
        <v>11</v>
      </c>
      <c r="E210" s="29" t="n">
        <v>13</v>
      </c>
      <c r="F210" s="29" t="inlineStr">
        <is>
          <t>Feature</t>
        </is>
      </c>
      <c r="G210" s="29" t="inlineStr">
        <is>
          <t>Understand Free versus Member</t>
        </is>
      </c>
      <c r="H210" s="29" t="inlineStr">
        <is>
          <t>Understand Free versus Member</t>
        </is>
      </c>
      <c r="I210" s="29" t="inlineStr">
        <is>
          <t>/home/ubuntu/blyp_product_requirements.md :: Section 11 — First-time onboarding and personalisation</t>
        </is>
      </c>
      <c r="J210" s="29" t="inlineStr">
        <is>
          <t>/home/ubuntu/BLYP_COMPLETE_FEATURE_LIST.md:274</t>
        </is>
      </c>
      <c r="K210" s="29" t="inlineStr">
        <is>
          <t>Required</t>
        </is>
      </c>
      <c r="L210" s="29" t="inlineStr">
        <is>
          <t>Applicable BLYP member</t>
        </is>
      </c>
      <c r="M210" s="29" t="inlineStr">
        <is>
          <t>BLYP mobile application and supporting production services</t>
        </is>
      </c>
      <c r="N210" s="29" t="inlineStr">
        <is>
          <t>Understand Free versus Member</t>
        </is>
      </c>
      <c r="O210" s="29" t="inlineStr">
        <is>
          <t>Not explicitly defined in the product source; requires accountable product approval before production sign-off.</t>
        </is>
      </c>
      <c r="P210" s="29" t="inlineStr">
        <is>
          <t>Not assessed</t>
        </is>
      </c>
      <c r="Q210" s="29" t="inlineStr">
        <is>
          <t>No evidence</t>
        </is>
      </c>
      <c r="R210" s="29" t="inlineStr"/>
      <c r="S210" s="29" t="inlineStr">
        <is>
          <t>Not found</t>
        </is>
      </c>
      <c r="T210" s="29" t="inlineStr">
        <is>
          <t>Not assessed</t>
        </is>
      </c>
      <c r="U210" s="29" t="inlineStr">
        <is>
          <t>Not assessed</t>
        </is>
      </c>
      <c r="V210" s="29" t="inlineStr">
        <is>
          <t>Not assessed</t>
        </is>
      </c>
      <c r="W210" s="29" t="inlineStr">
        <is>
          <t>Not assessed</t>
        </is>
      </c>
      <c r="X210" s="29" t="inlineStr">
        <is>
          <t>Not assessed</t>
        </is>
      </c>
      <c r="Y210" s="29" t="inlineStr">
        <is>
          <t>Not assessed</t>
        </is>
      </c>
      <c r="Z210" s="29" t="inlineStr">
        <is>
          <t>Not assessed</t>
        </is>
      </c>
      <c r="AA210" s="29" t="inlineStr">
        <is>
          <t>Not assessed</t>
        </is>
      </c>
      <c r="AB210" s="29" t="inlineStr">
        <is>
          <t>Not assessed</t>
        </is>
      </c>
      <c r="AC210" s="29" t="inlineStr"/>
      <c r="AD210" s="29" t="inlineStr"/>
      <c r="AE210" s="29" t="inlineStr">
        <is>
          <t>Unknown</t>
        </is>
      </c>
      <c r="AF210" s="29" t="inlineStr">
        <is>
          <t>Not assessed</t>
        </is>
      </c>
      <c r="AG210" s="29" t="inlineStr">
        <is>
          <t>Unknown</t>
        </is>
      </c>
      <c r="AH210" s="29" t="inlineStr">
        <is>
          <t>Unknown</t>
        </is>
      </c>
      <c r="AI210" s="29" t="inlineStr">
        <is>
          <t>Searched source code for relevant keywords and found no evidence.</t>
        </is>
      </c>
      <c r="AJ210" s="29" t="inlineStr">
        <is>
          <t>Not verified</t>
        </is>
      </c>
      <c r="AK210" s="29" t="inlineStr"/>
      <c r="AL210" s="29" t="inlineStr"/>
      <c r="AM210" s="29" t="inlineStr"/>
      <c r="AN210" s="29" t="inlineStr"/>
      <c r="AO210" s="29" t="inlineStr">
        <is>
          <t>8bc0dcb2a1da1b21368c5536aaeef829d587f316</t>
        </is>
      </c>
      <c r="AP210" s="29" t="inlineStr">
        <is>
          <t>Low</t>
        </is>
      </c>
      <c r="AQ210" s="29" t="inlineStr">
        <is>
          <t>Not assessed</t>
        </is>
      </c>
      <c r="AR210" s="29" t="inlineStr">
        <is>
          <t>Not assessed</t>
        </is>
      </c>
      <c r="AS210" s="29" t="inlineStr">
        <is>
          <t>Not assessed</t>
        </is>
      </c>
      <c r="AT210" s="29" t="inlineStr">
        <is>
          <t>Not assessed</t>
        </is>
      </c>
      <c r="AU210" s="29" t="inlineStr">
        <is>
          <t>Not assessed</t>
        </is>
      </c>
      <c r="AV210" s="29" t="inlineStr">
        <is>
          <t>Not assessed</t>
        </is>
      </c>
      <c r="AW210" s="29" t="inlineStr">
        <is>
          <t>Not assessed</t>
        </is>
      </c>
      <c r="AX210" s="29" t="inlineStr">
        <is>
          <t>Not assessed</t>
        </is>
      </c>
      <c r="AY210" s="29" t="inlineStr">
        <is>
          <t>Not assessed</t>
        </is>
      </c>
      <c r="AZ210" s="29" t="inlineStr">
        <is>
          <t>Not assessed</t>
        </is>
      </c>
      <c r="BA210" s="29" t="inlineStr">
        <is>
          <t>Not assessed</t>
        </is>
      </c>
      <c r="BB210" s="29" t="inlineStr">
        <is>
          <t>Not assessed</t>
        </is>
      </c>
      <c r="BC210" s="29" t="inlineStr">
        <is>
          <t>Not assessed</t>
        </is>
      </c>
      <c r="BD210" s="29" t="inlineStr">
        <is>
          <t>Not assessed</t>
        </is>
      </c>
      <c r="BE210" s="29" t="inlineStr">
        <is>
          <t>Development required</t>
        </is>
      </c>
      <c r="BF210" s="29" t="inlineStr">
        <is>
          <t>Physical implementation is not complete against the stated requirement.; Searched source code for relevant keywords and found no evidence.</t>
        </is>
      </c>
      <c r="BG210" s="29" t="inlineStr"/>
      <c r="BH210" s="29" t="inlineStr"/>
      <c r="BI210" s="29" t="inlineStr"/>
      <c r="BJ210" s="29" t="inlineStr"/>
      <c r="BK210" s="29" t="inlineStr">
        <is>
          <t>Evidence reconciled against the reviewed source revision. No production approval is inferred from implementation or file presence.</t>
        </is>
      </c>
      <c r="BL210" s="29" t="inlineStr">
        <is>
          <t>2026-08-02</t>
        </is>
      </c>
    </row>
    <row r="211" ht="42" customHeight="1">
      <c r="A211" s="29" t="inlineStr">
        <is>
          <t>BLYP-11-014</t>
        </is>
      </c>
      <c r="B211" s="29" t="inlineStr"/>
      <c r="C211" s="29" t="inlineStr">
        <is>
          <t>First-time onboarding and personalisation</t>
        </is>
      </c>
      <c r="D211" s="29" t="n">
        <v>11</v>
      </c>
      <c r="E211" s="29" t="n">
        <v>14</v>
      </c>
      <c r="F211" s="29" t="inlineStr">
        <is>
          <t>Feature</t>
        </is>
      </c>
      <c r="G211" s="29" t="inlineStr">
        <is>
          <t>Configure For You from onboarding</t>
        </is>
      </c>
      <c r="H211" s="29" t="inlineStr">
        <is>
          <t>Configure For You from onboarding</t>
        </is>
      </c>
      <c r="I211" s="29" t="inlineStr">
        <is>
          <t>/home/ubuntu/blyp_product_requirements.md :: Section 11 — First-time onboarding and personalisation</t>
        </is>
      </c>
      <c r="J211" s="29" t="inlineStr">
        <is>
          <t>/home/ubuntu/BLYP_COMPLETE_FEATURE_LIST.md:275</t>
        </is>
      </c>
      <c r="K211" s="29" t="inlineStr">
        <is>
          <t>Required</t>
        </is>
      </c>
      <c r="L211" s="29" t="inlineStr">
        <is>
          <t>Applicable BLYP member</t>
        </is>
      </c>
      <c r="M211" s="29" t="inlineStr">
        <is>
          <t>BLYP mobile application and supporting production services</t>
        </is>
      </c>
      <c r="N211" s="29" t="inlineStr">
        <is>
          <t>Configure For You from onboarding</t>
        </is>
      </c>
      <c r="O211" s="29" t="inlineStr">
        <is>
          <t>Not explicitly defined in the product source; requires accountable product approval before production sign-off.</t>
        </is>
      </c>
      <c r="P211" s="29" t="inlineStr">
        <is>
          <t>Not assessed</t>
        </is>
      </c>
      <c r="Q211" s="29" t="inlineStr">
        <is>
          <t>No evidence</t>
        </is>
      </c>
      <c r="R211" s="29" t="inlineStr"/>
      <c r="S211" s="29" t="inlineStr">
        <is>
          <t>Not found</t>
        </is>
      </c>
      <c r="T211" s="29" t="inlineStr">
        <is>
          <t>Not assessed</t>
        </is>
      </c>
      <c r="U211" s="29" t="inlineStr">
        <is>
          <t>Not assessed</t>
        </is>
      </c>
      <c r="V211" s="29" t="inlineStr">
        <is>
          <t>Not assessed</t>
        </is>
      </c>
      <c r="W211" s="29" t="inlineStr">
        <is>
          <t>Not assessed</t>
        </is>
      </c>
      <c r="X211" s="29" t="inlineStr">
        <is>
          <t>Not assessed</t>
        </is>
      </c>
      <c r="Y211" s="29" t="inlineStr">
        <is>
          <t>Not assessed</t>
        </is>
      </c>
      <c r="Z211" s="29" t="inlineStr">
        <is>
          <t>Not assessed</t>
        </is>
      </c>
      <c r="AA211" s="29" t="inlineStr">
        <is>
          <t>Not assessed</t>
        </is>
      </c>
      <c r="AB211" s="29" t="inlineStr">
        <is>
          <t>Not assessed</t>
        </is>
      </c>
      <c r="AC211" s="29" t="inlineStr"/>
      <c r="AD211" s="29" t="inlineStr"/>
      <c r="AE211" s="29" t="inlineStr">
        <is>
          <t>Unknown</t>
        </is>
      </c>
      <c r="AF211" s="29" t="inlineStr">
        <is>
          <t>Not assessed</t>
        </is>
      </c>
      <c r="AG211" s="29" t="inlineStr">
        <is>
          <t>Unknown</t>
        </is>
      </c>
      <c r="AH211" s="29" t="inlineStr">
        <is>
          <t>Unknown</t>
        </is>
      </c>
      <c r="AI211" s="29" t="inlineStr">
        <is>
          <t>Searched source code for relevant keywords and found no evidence.</t>
        </is>
      </c>
      <c r="AJ211" s="29" t="inlineStr">
        <is>
          <t>Not verified</t>
        </is>
      </c>
      <c r="AK211" s="29" t="inlineStr"/>
      <c r="AL211" s="29" t="inlineStr"/>
      <c r="AM211" s="29" t="inlineStr"/>
      <c r="AN211" s="29" t="inlineStr"/>
      <c r="AO211" s="29" t="inlineStr">
        <is>
          <t>8bc0dcb2a1da1b21368c5536aaeef829d587f316</t>
        </is>
      </c>
      <c r="AP211" s="29" t="inlineStr">
        <is>
          <t>Low</t>
        </is>
      </c>
      <c r="AQ211" s="29" t="inlineStr">
        <is>
          <t>Not assessed</t>
        </is>
      </c>
      <c r="AR211" s="29" t="inlineStr">
        <is>
          <t>Not assessed</t>
        </is>
      </c>
      <c r="AS211" s="29" t="inlineStr">
        <is>
          <t>Not assessed</t>
        </is>
      </c>
      <c r="AT211" s="29" t="inlineStr">
        <is>
          <t>Not assessed</t>
        </is>
      </c>
      <c r="AU211" s="29" t="inlineStr">
        <is>
          <t>Not assessed</t>
        </is>
      </c>
      <c r="AV211" s="29" t="inlineStr">
        <is>
          <t>Not assessed</t>
        </is>
      </c>
      <c r="AW211" s="29" t="inlineStr">
        <is>
          <t>Not assessed</t>
        </is>
      </c>
      <c r="AX211" s="29" t="inlineStr">
        <is>
          <t>Not assessed</t>
        </is>
      </c>
      <c r="AY211" s="29" t="inlineStr">
        <is>
          <t>Not assessed</t>
        </is>
      </c>
      <c r="AZ211" s="29" t="inlineStr">
        <is>
          <t>Not assessed</t>
        </is>
      </c>
      <c r="BA211" s="29" t="inlineStr">
        <is>
          <t>Not assessed</t>
        </is>
      </c>
      <c r="BB211" s="29" t="inlineStr">
        <is>
          <t>Not assessed</t>
        </is>
      </c>
      <c r="BC211" s="29" t="inlineStr">
        <is>
          <t>Not assessed</t>
        </is>
      </c>
      <c r="BD211" s="29" t="inlineStr">
        <is>
          <t>Not assessed</t>
        </is>
      </c>
      <c r="BE211" s="29" t="inlineStr">
        <is>
          <t>Development required</t>
        </is>
      </c>
      <c r="BF211" s="29" t="inlineStr">
        <is>
          <t>Physical implementation is not complete against the stated requirement.; Searched source code for relevant keywords and found no evidence.</t>
        </is>
      </c>
      <c r="BG211" s="29" t="inlineStr"/>
      <c r="BH211" s="29" t="inlineStr"/>
      <c r="BI211" s="29" t="inlineStr"/>
      <c r="BJ211" s="29" t="inlineStr"/>
      <c r="BK211" s="29" t="inlineStr">
        <is>
          <t>Evidence reconciled against the reviewed source revision. No production approval is inferred from implementation or file presence.</t>
        </is>
      </c>
      <c r="BL211" s="29" t="inlineStr">
        <is>
          <t>2026-08-02</t>
        </is>
      </c>
    </row>
    <row r="212" ht="42" customHeight="1">
      <c r="A212" s="29" t="inlineStr">
        <is>
          <t>BLYP-11-015</t>
        </is>
      </c>
      <c r="B212" s="29" t="inlineStr"/>
      <c r="C212" s="29" t="inlineStr">
        <is>
          <t>First-time onboarding and personalisation</t>
        </is>
      </c>
      <c r="D212" s="29" t="n">
        <v>11</v>
      </c>
      <c r="E212" s="29" t="n">
        <v>15</v>
      </c>
      <c r="F212" s="29" t="inlineStr">
        <is>
          <t>Feature</t>
        </is>
      </c>
      <c r="G212" s="29" t="inlineStr">
        <is>
          <t>Configure Following from onboarding</t>
        </is>
      </c>
      <c r="H212" s="29" t="inlineStr">
        <is>
          <t>Configure Following from onboarding</t>
        </is>
      </c>
      <c r="I212" s="29" t="inlineStr">
        <is>
          <t>/home/ubuntu/blyp_product_requirements.md :: Section 11 — First-time onboarding and personalisation</t>
        </is>
      </c>
      <c r="J212" s="29" t="inlineStr">
        <is>
          <t>/home/ubuntu/BLYP_COMPLETE_FEATURE_LIST.md:276</t>
        </is>
      </c>
      <c r="K212" s="29" t="inlineStr">
        <is>
          <t>Required</t>
        </is>
      </c>
      <c r="L212" s="29" t="inlineStr">
        <is>
          <t>Applicable BLYP member</t>
        </is>
      </c>
      <c r="M212" s="29" t="inlineStr">
        <is>
          <t>BLYP mobile application and supporting production services</t>
        </is>
      </c>
      <c r="N212" s="29" t="inlineStr">
        <is>
          <t>Configure Following from onboarding</t>
        </is>
      </c>
      <c r="O212" s="29" t="inlineStr">
        <is>
          <t>Not explicitly defined in the product source; requires accountable product approval before production sign-off.</t>
        </is>
      </c>
      <c r="P212" s="29" t="inlineStr">
        <is>
          <t>Not assessed</t>
        </is>
      </c>
      <c r="Q212" s="29" t="inlineStr">
        <is>
          <t>No evidence</t>
        </is>
      </c>
      <c r="R212" s="29" t="inlineStr"/>
      <c r="S212" s="29" t="inlineStr">
        <is>
          <t>Not found</t>
        </is>
      </c>
      <c r="T212" s="29" t="inlineStr">
        <is>
          <t>Not assessed</t>
        </is>
      </c>
      <c r="U212" s="29" t="inlineStr">
        <is>
          <t>Not assessed</t>
        </is>
      </c>
      <c r="V212" s="29" t="inlineStr">
        <is>
          <t>Not assessed</t>
        </is>
      </c>
      <c r="W212" s="29" t="inlineStr">
        <is>
          <t>Not assessed</t>
        </is>
      </c>
      <c r="X212" s="29" t="inlineStr">
        <is>
          <t>Not assessed</t>
        </is>
      </c>
      <c r="Y212" s="29" t="inlineStr">
        <is>
          <t>Not assessed</t>
        </is>
      </c>
      <c r="Z212" s="29" t="inlineStr">
        <is>
          <t>Not assessed</t>
        </is>
      </c>
      <c r="AA212" s="29" t="inlineStr">
        <is>
          <t>Not assessed</t>
        </is>
      </c>
      <c r="AB212" s="29" t="inlineStr">
        <is>
          <t>Not assessed</t>
        </is>
      </c>
      <c r="AC212" s="29" t="inlineStr"/>
      <c r="AD212" s="29" t="inlineStr"/>
      <c r="AE212" s="29" t="inlineStr">
        <is>
          <t>Unknown</t>
        </is>
      </c>
      <c r="AF212" s="29" t="inlineStr">
        <is>
          <t>Not assessed</t>
        </is>
      </c>
      <c r="AG212" s="29" t="inlineStr">
        <is>
          <t>Unknown</t>
        </is>
      </c>
      <c r="AH212" s="29" t="inlineStr">
        <is>
          <t>Unknown</t>
        </is>
      </c>
      <c r="AI212" s="29" t="inlineStr">
        <is>
          <t>Searched source code for relevant keywords and found no evidence.</t>
        </is>
      </c>
      <c r="AJ212" s="29" t="inlineStr">
        <is>
          <t>Not verified</t>
        </is>
      </c>
      <c r="AK212" s="29" t="inlineStr"/>
      <c r="AL212" s="29" t="inlineStr"/>
      <c r="AM212" s="29" t="inlineStr"/>
      <c r="AN212" s="29" t="inlineStr"/>
      <c r="AO212" s="29" t="inlineStr">
        <is>
          <t>8bc0dcb2a1da1b21368c5536aaeef829d587f316</t>
        </is>
      </c>
      <c r="AP212" s="29" t="inlineStr">
        <is>
          <t>Low</t>
        </is>
      </c>
      <c r="AQ212" s="29" t="inlineStr">
        <is>
          <t>Not assessed</t>
        </is>
      </c>
      <c r="AR212" s="29" t="inlineStr">
        <is>
          <t>Not assessed</t>
        </is>
      </c>
      <c r="AS212" s="29" t="inlineStr">
        <is>
          <t>Not assessed</t>
        </is>
      </c>
      <c r="AT212" s="29" t="inlineStr">
        <is>
          <t>Not assessed</t>
        </is>
      </c>
      <c r="AU212" s="29" t="inlineStr">
        <is>
          <t>Not assessed</t>
        </is>
      </c>
      <c r="AV212" s="29" t="inlineStr">
        <is>
          <t>Not assessed</t>
        </is>
      </c>
      <c r="AW212" s="29" t="inlineStr">
        <is>
          <t>Not assessed</t>
        </is>
      </c>
      <c r="AX212" s="29" t="inlineStr">
        <is>
          <t>Not assessed</t>
        </is>
      </c>
      <c r="AY212" s="29" t="inlineStr">
        <is>
          <t>Not assessed</t>
        </is>
      </c>
      <c r="AZ212" s="29" t="inlineStr">
        <is>
          <t>Not assessed</t>
        </is>
      </c>
      <c r="BA212" s="29" t="inlineStr">
        <is>
          <t>Not assessed</t>
        </is>
      </c>
      <c r="BB212" s="29" t="inlineStr">
        <is>
          <t>Not assessed</t>
        </is>
      </c>
      <c r="BC212" s="29" t="inlineStr">
        <is>
          <t>Not assessed</t>
        </is>
      </c>
      <c r="BD212" s="29" t="inlineStr">
        <is>
          <t>Not assessed</t>
        </is>
      </c>
      <c r="BE212" s="29" t="inlineStr">
        <is>
          <t>Development required</t>
        </is>
      </c>
      <c r="BF212" s="29" t="inlineStr">
        <is>
          <t>Physical implementation is not complete against the stated requirement.; Searched source code for relevant keywords and found no evidence.</t>
        </is>
      </c>
      <c r="BG212" s="29" t="inlineStr"/>
      <c r="BH212" s="29" t="inlineStr"/>
      <c r="BI212" s="29" t="inlineStr"/>
      <c r="BJ212" s="29" t="inlineStr"/>
      <c r="BK212" s="29" t="inlineStr">
        <is>
          <t>Evidence reconciled against the reviewed source revision. No production approval is inferred from implementation or file presence.</t>
        </is>
      </c>
      <c r="BL212" s="29" t="inlineStr">
        <is>
          <t>2026-08-02</t>
        </is>
      </c>
    </row>
    <row r="213" ht="42" customHeight="1">
      <c r="A213" s="29" t="inlineStr">
        <is>
          <t>BLYP-11-016</t>
        </is>
      </c>
      <c r="B213" s="29" t="inlineStr"/>
      <c r="C213" s="29" t="inlineStr">
        <is>
          <t>First-time onboarding and personalisation</t>
        </is>
      </c>
      <c r="D213" s="29" t="n">
        <v>11</v>
      </c>
      <c r="E213" s="29" t="n">
        <v>16</v>
      </c>
      <c r="F213" s="29" t="inlineStr">
        <is>
          <t>Feature</t>
        </is>
      </c>
      <c r="G213" s="29" t="inlineStr">
        <is>
          <t>Configure Interest hubs from onboarding</t>
        </is>
      </c>
      <c r="H213" s="29" t="inlineStr">
        <is>
          <t>Configure Interest hubs from onboarding</t>
        </is>
      </c>
      <c r="I213" s="29" t="inlineStr">
        <is>
          <t>/home/ubuntu/blyp_product_requirements.md :: Section 11 — First-time onboarding and personalisation</t>
        </is>
      </c>
      <c r="J213" s="29" t="inlineStr">
        <is>
          <t>/home/ubuntu/BLYP_COMPLETE_FEATURE_LIST.md:277</t>
        </is>
      </c>
      <c r="K213" s="29" t="inlineStr">
        <is>
          <t>Required</t>
        </is>
      </c>
      <c r="L213" s="29" t="inlineStr">
        <is>
          <t>Applicable BLYP member</t>
        </is>
      </c>
      <c r="M213" s="29" t="inlineStr">
        <is>
          <t>BLYP mobile application and supporting production services</t>
        </is>
      </c>
      <c r="N213" s="29" t="inlineStr">
        <is>
          <t>Configure Interest hubs from onboarding</t>
        </is>
      </c>
      <c r="O213" s="29" t="inlineStr">
        <is>
          <t>Not explicitly defined in the product source; requires accountable product approval before production sign-off.</t>
        </is>
      </c>
      <c r="P213" s="29" t="inlineStr">
        <is>
          <t>Not assessed</t>
        </is>
      </c>
      <c r="Q213" s="29" t="inlineStr">
        <is>
          <t>No evidence</t>
        </is>
      </c>
      <c r="R213" s="29" t="inlineStr"/>
      <c r="S213" s="29" t="inlineStr">
        <is>
          <t>Not found</t>
        </is>
      </c>
      <c r="T213" s="29" t="inlineStr">
        <is>
          <t>Not assessed</t>
        </is>
      </c>
      <c r="U213" s="29" t="inlineStr">
        <is>
          <t>Not assessed</t>
        </is>
      </c>
      <c r="V213" s="29" t="inlineStr">
        <is>
          <t>Not assessed</t>
        </is>
      </c>
      <c r="W213" s="29" t="inlineStr">
        <is>
          <t>Not assessed</t>
        </is>
      </c>
      <c r="X213" s="29" t="inlineStr">
        <is>
          <t>Not assessed</t>
        </is>
      </c>
      <c r="Y213" s="29" t="inlineStr">
        <is>
          <t>Not assessed</t>
        </is>
      </c>
      <c r="Z213" s="29" t="inlineStr">
        <is>
          <t>Not assessed</t>
        </is>
      </c>
      <c r="AA213" s="29" t="inlineStr">
        <is>
          <t>Not assessed</t>
        </is>
      </c>
      <c r="AB213" s="29" t="inlineStr">
        <is>
          <t>Not assessed</t>
        </is>
      </c>
      <c r="AC213" s="29" t="inlineStr"/>
      <c r="AD213" s="29" t="inlineStr"/>
      <c r="AE213" s="29" t="inlineStr">
        <is>
          <t>Unknown</t>
        </is>
      </c>
      <c r="AF213" s="29" t="inlineStr">
        <is>
          <t>Not assessed</t>
        </is>
      </c>
      <c r="AG213" s="29" t="inlineStr">
        <is>
          <t>Unknown</t>
        </is>
      </c>
      <c r="AH213" s="29" t="inlineStr">
        <is>
          <t>Unknown</t>
        </is>
      </c>
      <c r="AI213" s="29" t="inlineStr">
        <is>
          <t>Searched source code for relevant keywords and found no evidence.</t>
        </is>
      </c>
      <c r="AJ213" s="29" t="inlineStr">
        <is>
          <t>Not verified</t>
        </is>
      </c>
      <c r="AK213" s="29" t="inlineStr"/>
      <c r="AL213" s="29" t="inlineStr"/>
      <c r="AM213" s="29" t="inlineStr"/>
      <c r="AN213" s="29" t="inlineStr"/>
      <c r="AO213" s="29" t="inlineStr">
        <is>
          <t>8bc0dcb2a1da1b21368c5536aaeef829d587f316</t>
        </is>
      </c>
      <c r="AP213" s="29" t="inlineStr">
        <is>
          <t>Low</t>
        </is>
      </c>
      <c r="AQ213" s="29" t="inlineStr">
        <is>
          <t>Not assessed</t>
        </is>
      </c>
      <c r="AR213" s="29" t="inlineStr">
        <is>
          <t>Not assessed</t>
        </is>
      </c>
      <c r="AS213" s="29" t="inlineStr">
        <is>
          <t>Not assessed</t>
        </is>
      </c>
      <c r="AT213" s="29" t="inlineStr">
        <is>
          <t>Not assessed</t>
        </is>
      </c>
      <c r="AU213" s="29" t="inlineStr">
        <is>
          <t>Not assessed</t>
        </is>
      </c>
      <c r="AV213" s="29" t="inlineStr">
        <is>
          <t>Not assessed</t>
        </is>
      </c>
      <c r="AW213" s="29" t="inlineStr">
        <is>
          <t>Not assessed</t>
        </is>
      </c>
      <c r="AX213" s="29" t="inlineStr">
        <is>
          <t>Not assessed</t>
        </is>
      </c>
      <c r="AY213" s="29" t="inlineStr">
        <is>
          <t>Not assessed</t>
        </is>
      </c>
      <c r="AZ213" s="29" t="inlineStr">
        <is>
          <t>Not assessed</t>
        </is>
      </c>
      <c r="BA213" s="29" t="inlineStr">
        <is>
          <t>Not assessed</t>
        </is>
      </c>
      <c r="BB213" s="29" t="inlineStr">
        <is>
          <t>Not assessed</t>
        </is>
      </c>
      <c r="BC213" s="29" t="inlineStr">
        <is>
          <t>Not assessed</t>
        </is>
      </c>
      <c r="BD213" s="29" t="inlineStr">
        <is>
          <t>Not assessed</t>
        </is>
      </c>
      <c r="BE213" s="29" t="inlineStr">
        <is>
          <t>Development required</t>
        </is>
      </c>
      <c r="BF213" s="29" t="inlineStr">
        <is>
          <t>Physical implementation is not complete against the stated requirement.; Searched source code for relevant keywords and found no evidence.</t>
        </is>
      </c>
      <c r="BG213" s="29" t="inlineStr"/>
      <c r="BH213" s="29" t="inlineStr"/>
      <c r="BI213" s="29" t="inlineStr"/>
      <c r="BJ213" s="29" t="inlineStr"/>
      <c r="BK213" s="29" t="inlineStr">
        <is>
          <t>Evidence reconciled against the reviewed source revision. No production approval is inferred from implementation or file presence.</t>
        </is>
      </c>
      <c r="BL213" s="29" t="inlineStr">
        <is>
          <t>2026-08-02</t>
        </is>
      </c>
    </row>
    <row r="214" ht="42" customHeight="1">
      <c r="A214" s="29" t="inlineStr">
        <is>
          <t>BLYP-11-017</t>
        </is>
      </c>
      <c r="B214" s="29" t="inlineStr"/>
      <c r="C214" s="29" t="inlineStr">
        <is>
          <t>First-time onboarding and personalisation</t>
        </is>
      </c>
      <c r="D214" s="29" t="n">
        <v>11</v>
      </c>
      <c r="E214" s="29" t="n">
        <v>17</v>
      </c>
      <c r="F214" s="29" t="inlineStr">
        <is>
          <t>Feature</t>
        </is>
      </c>
      <c r="G214" s="29" t="inlineStr">
        <is>
          <t>Configure live-room recommendations from onboarding</t>
        </is>
      </c>
      <c r="H214" s="29" t="inlineStr">
        <is>
          <t>Configure live-room recommendations from onboarding</t>
        </is>
      </c>
      <c r="I214" s="29" t="inlineStr">
        <is>
          <t>/home/ubuntu/blyp_product_requirements.md :: Section 11 — First-time onboarding and personalisation</t>
        </is>
      </c>
      <c r="J214" s="29" t="inlineStr">
        <is>
          <t>/home/ubuntu/BLYP_COMPLETE_FEATURE_LIST.md:278</t>
        </is>
      </c>
      <c r="K214" s="29" t="inlineStr">
        <is>
          <t>Required</t>
        </is>
      </c>
      <c r="L214" s="29" t="inlineStr">
        <is>
          <t>Applicable BLYP member</t>
        </is>
      </c>
      <c r="M214" s="29" t="inlineStr">
        <is>
          <t>BLYP mobile application and supporting production services</t>
        </is>
      </c>
      <c r="N214" s="29" t="inlineStr">
        <is>
          <t>Configure live-room recommendations from onboarding</t>
        </is>
      </c>
      <c r="O214" s="29" t="inlineStr">
        <is>
          <t>Not explicitly defined in the product source; requires accountable product approval before production sign-off.</t>
        </is>
      </c>
      <c r="P214" s="29" t="inlineStr">
        <is>
          <t>Not assessed</t>
        </is>
      </c>
      <c r="Q214" s="29" t="inlineStr">
        <is>
          <t>No evidence</t>
        </is>
      </c>
      <c r="R214" s="29" t="inlineStr"/>
      <c r="S214" s="29" t="inlineStr">
        <is>
          <t>Not found</t>
        </is>
      </c>
      <c r="T214" s="29" t="inlineStr">
        <is>
          <t>Not assessed</t>
        </is>
      </c>
      <c r="U214" s="29" t="inlineStr">
        <is>
          <t>Not assessed</t>
        </is>
      </c>
      <c r="V214" s="29" t="inlineStr">
        <is>
          <t>Not assessed</t>
        </is>
      </c>
      <c r="W214" s="29" t="inlineStr">
        <is>
          <t>Not assessed</t>
        </is>
      </c>
      <c r="X214" s="29" t="inlineStr">
        <is>
          <t>Not assessed</t>
        </is>
      </c>
      <c r="Y214" s="29" t="inlineStr">
        <is>
          <t>Not assessed</t>
        </is>
      </c>
      <c r="Z214" s="29" t="inlineStr">
        <is>
          <t>Not assessed</t>
        </is>
      </c>
      <c r="AA214" s="29" t="inlineStr">
        <is>
          <t>Not assessed</t>
        </is>
      </c>
      <c r="AB214" s="29" t="inlineStr">
        <is>
          <t>Not assessed</t>
        </is>
      </c>
      <c r="AC214" s="29" t="inlineStr"/>
      <c r="AD214" s="29" t="inlineStr"/>
      <c r="AE214" s="29" t="inlineStr">
        <is>
          <t>Unknown</t>
        </is>
      </c>
      <c r="AF214" s="29" t="inlineStr">
        <is>
          <t>Not assessed</t>
        </is>
      </c>
      <c r="AG214" s="29" t="inlineStr">
        <is>
          <t>Unknown</t>
        </is>
      </c>
      <c r="AH214" s="29" t="inlineStr">
        <is>
          <t>Unknown</t>
        </is>
      </c>
      <c r="AI214" s="29" t="inlineStr">
        <is>
          <t>Searched source code for relevant keywords and found no evidence.</t>
        </is>
      </c>
      <c r="AJ214" s="29" t="inlineStr">
        <is>
          <t>Not verified</t>
        </is>
      </c>
      <c r="AK214" s="29" t="inlineStr"/>
      <c r="AL214" s="29" t="inlineStr"/>
      <c r="AM214" s="29" t="inlineStr"/>
      <c r="AN214" s="29" t="inlineStr"/>
      <c r="AO214" s="29" t="inlineStr">
        <is>
          <t>8bc0dcb2a1da1b21368c5536aaeef829d587f316</t>
        </is>
      </c>
      <c r="AP214" s="29" t="inlineStr">
        <is>
          <t>Low</t>
        </is>
      </c>
      <c r="AQ214" s="29" t="inlineStr">
        <is>
          <t>Not assessed</t>
        </is>
      </c>
      <c r="AR214" s="29" t="inlineStr">
        <is>
          <t>Not assessed</t>
        </is>
      </c>
      <c r="AS214" s="29" t="inlineStr">
        <is>
          <t>Not assessed</t>
        </is>
      </c>
      <c r="AT214" s="29" t="inlineStr">
        <is>
          <t>Not assessed</t>
        </is>
      </c>
      <c r="AU214" s="29" t="inlineStr">
        <is>
          <t>Not assessed</t>
        </is>
      </c>
      <c r="AV214" s="29" t="inlineStr">
        <is>
          <t>Not assessed</t>
        </is>
      </c>
      <c r="AW214" s="29" t="inlineStr">
        <is>
          <t>Not assessed</t>
        </is>
      </c>
      <c r="AX214" s="29" t="inlineStr">
        <is>
          <t>Not assessed</t>
        </is>
      </c>
      <c r="AY214" s="29" t="inlineStr">
        <is>
          <t>Not assessed</t>
        </is>
      </c>
      <c r="AZ214" s="29" t="inlineStr">
        <is>
          <t>Not assessed</t>
        </is>
      </c>
      <c r="BA214" s="29" t="inlineStr">
        <is>
          <t>Not assessed</t>
        </is>
      </c>
      <c r="BB214" s="29" t="inlineStr">
        <is>
          <t>Not assessed</t>
        </is>
      </c>
      <c r="BC214" s="29" t="inlineStr">
        <is>
          <t>Not assessed</t>
        </is>
      </c>
      <c r="BD214" s="29" t="inlineStr">
        <is>
          <t>Not assessed</t>
        </is>
      </c>
      <c r="BE214" s="29" t="inlineStr">
        <is>
          <t>Development required</t>
        </is>
      </c>
      <c r="BF214" s="29" t="inlineStr">
        <is>
          <t>Physical implementation is not complete against the stated requirement.; Searched source code for relevant keywords and found no evidence.</t>
        </is>
      </c>
      <c r="BG214" s="29" t="inlineStr"/>
      <c r="BH214" s="29" t="inlineStr"/>
      <c r="BI214" s="29" t="inlineStr"/>
      <c r="BJ214" s="29" t="inlineStr"/>
      <c r="BK214" s="29" t="inlineStr">
        <is>
          <t>Evidence reconciled against the reviewed source revision. No production approval is inferred from implementation or file presence.</t>
        </is>
      </c>
      <c r="BL214" s="29" t="inlineStr">
        <is>
          <t>2026-08-02</t>
        </is>
      </c>
    </row>
    <row r="215" ht="42" customHeight="1">
      <c r="A215" s="29" t="inlineStr">
        <is>
          <t>BLYP-11-018</t>
        </is>
      </c>
      <c r="B215" s="29" t="inlineStr"/>
      <c r="C215" s="29" t="inlineStr">
        <is>
          <t>First-time onboarding and personalisation</t>
        </is>
      </c>
      <c r="D215" s="29" t="n">
        <v>11</v>
      </c>
      <c r="E215" s="29" t="n">
        <v>18</v>
      </c>
      <c r="F215" s="29" t="inlineStr">
        <is>
          <t>Feature</t>
        </is>
      </c>
      <c r="G215" s="29" t="inlineStr">
        <is>
          <t>Configure BLYP Bar suggestions from onboarding</t>
        </is>
      </c>
      <c r="H215" s="29" t="inlineStr">
        <is>
          <t>Configure BLYP Bar suggestions from onboarding</t>
        </is>
      </c>
      <c r="I215" s="29" t="inlineStr">
        <is>
          <t>/home/ubuntu/blyp_product_requirements.md :: Section 11 — First-time onboarding and personalisation</t>
        </is>
      </c>
      <c r="J215" s="29" t="inlineStr">
        <is>
          <t>/home/ubuntu/BLYP_COMPLETE_FEATURE_LIST.md:279</t>
        </is>
      </c>
      <c r="K215" s="29" t="inlineStr">
        <is>
          <t>Required</t>
        </is>
      </c>
      <c r="L215" s="29" t="inlineStr">
        <is>
          <t>Applicable BLYP member</t>
        </is>
      </c>
      <c r="M215" s="29" t="inlineStr">
        <is>
          <t>BLYP mobile application and supporting production services</t>
        </is>
      </c>
      <c r="N215" s="29" t="inlineStr">
        <is>
          <t>Configure BLYP Bar suggestions from onboarding</t>
        </is>
      </c>
      <c r="O215" s="29" t="inlineStr">
        <is>
          <t>Not explicitly defined in the product source; requires accountable product approval before production sign-off.</t>
        </is>
      </c>
      <c r="P215" s="29" t="inlineStr">
        <is>
          <t>Not assessed</t>
        </is>
      </c>
      <c r="Q215" s="29" t="inlineStr">
        <is>
          <t>No evidence</t>
        </is>
      </c>
      <c r="R215" s="29" t="inlineStr"/>
      <c r="S215" s="29" t="inlineStr">
        <is>
          <t>Not found</t>
        </is>
      </c>
      <c r="T215" s="29" t="inlineStr">
        <is>
          <t>Not assessed</t>
        </is>
      </c>
      <c r="U215" s="29" t="inlineStr">
        <is>
          <t>Not assessed</t>
        </is>
      </c>
      <c r="V215" s="29" t="inlineStr">
        <is>
          <t>Not assessed</t>
        </is>
      </c>
      <c r="W215" s="29" t="inlineStr">
        <is>
          <t>Not assessed</t>
        </is>
      </c>
      <c r="X215" s="29" t="inlineStr">
        <is>
          <t>Not assessed</t>
        </is>
      </c>
      <c r="Y215" s="29" t="inlineStr">
        <is>
          <t>Not assessed</t>
        </is>
      </c>
      <c r="Z215" s="29" t="inlineStr">
        <is>
          <t>Not assessed</t>
        </is>
      </c>
      <c r="AA215" s="29" t="inlineStr">
        <is>
          <t>Not assessed</t>
        </is>
      </c>
      <c r="AB215" s="29" t="inlineStr">
        <is>
          <t>Not assessed</t>
        </is>
      </c>
      <c r="AC215" s="29" t="inlineStr"/>
      <c r="AD215" s="29" t="inlineStr"/>
      <c r="AE215" s="29" t="inlineStr">
        <is>
          <t>Unknown</t>
        </is>
      </c>
      <c r="AF215" s="29" t="inlineStr">
        <is>
          <t>Not assessed</t>
        </is>
      </c>
      <c r="AG215" s="29" t="inlineStr">
        <is>
          <t>Unknown</t>
        </is>
      </c>
      <c r="AH215" s="29" t="inlineStr">
        <is>
          <t>Unknown</t>
        </is>
      </c>
      <c r="AI215" s="29" t="inlineStr">
        <is>
          <t>Searched source code for relevant keywords and found no evidence.</t>
        </is>
      </c>
      <c r="AJ215" s="29" t="inlineStr">
        <is>
          <t>Not verified</t>
        </is>
      </c>
      <c r="AK215" s="29" t="inlineStr"/>
      <c r="AL215" s="29" t="inlineStr"/>
      <c r="AM215" s="29" t="inlineStr"/>
      <c r="AN215" s="29" t="inlineStr"/>
      <c r="AO215" s="29" t="inlineStr">
        <is>
          <t>8bc0dcb2a1da1b21368c5536aaeef829d587f316</t>
        </is>
      </c>
      <c r="AP215" s="29" t="inlineStr">
        <is>
          <t>Low</t>
        </is>
      </c>
      <c r="AQ215" s="29" t="inlineStr">
        <is>
          <t>Not assessed</t>
        </is>
      </c>
      <c r="AR215" s="29" t="inlineStr">
        <is>
          <t>Not assessed</t>
        </is>
      </c>
      <c r="AS215" s="29" t="inlineStr">
        <is>
          <t>Not assessed</t>
        </is>
      </c>
      <c r="AT215" s="29" t="inlineStr">
        <is>
          <t>Not assessed</t>
        </is>
      </c>
      <c r="AU215" s="29" t="inlineStr">
        <is>
          <t>Not assessed</t>
        </is>
      </c>
      <c r="AV215" s="29" t="inlineStr">
        <is>
          <t>Not assessed</t>
        </is>
      </c>
      <c r="AW215" s="29" t="inlineStr">
        <is>
          <t>Not assessed</t>
        </is>
      </c>
      <c r="AX215" s="29" t="inlineStr">
        <is>
          <t>Not assessed</t>
        </is>
      </c>
      <c r="AY215" s="29" t="inlineStr">
        <is>
          <t>Not assessed</t>
        </is>
      </c>
      <c r="AZ215" s="29" t="inlineStr">
        <is>
          <t>Not assessed</t>
        </is>
      </c>
      <c r="BA215" s="29" t="inlineStr">
        <is>
          <t>Not assessed</t>
        </is>
      </c>
      <c r="BB215" s="29" t="inlineStr">
        <is>
          <t>Not assessed</t>
        </is>
      </c>
      <c r="BC215" s="29" t="inlineStr">
        <is>
          <t>Not assessed</t>
        </is>
      </c>
      <c r="BD215" s="29" t="inlineStr">
        <is>
          <t>Not assessed</t>
        </is>
      </c>
      <c r="BE215" s="29" t="inlineStr">
        <is>
          <t>Development required</t>
        </is>
      </c>
      <c r="BF215" s="29" t="inlineStr">
        <is>
          <t>Physical implementation is not complete against the stated requirement.; Searched source code for relevant keywords and found no evidence.</t>
        </is>
      </c>
      <c r="BG215" s="29" t="inlineStr"/>
      <c r="BH215" s="29" t="inlineStr"/>
      <c r="BI215" s="29" t="inlineStr"/>
      <c r="BJ215" s="29" t="inlineStr"/>
      <c r="BK215" s="29" t="inlineStr">
        <is>
          <t>Evidence reconciled against the reviewed source revision. No production approval is inferred from implementation or file presence.</t>
        </is>
      </c>
      <c r="BL215" s="29" t="inlineStr">
        <is>
          <t>2026-08-02</t>
        </is>
      </c>
    </row>
    <row r="216" ht="42" customHeight="1">
      <c r="A216" s="29" t="inlineStr">
        <is>
          <t>BLYP-11-019</t>
        </is>
      </c>
      <c r="B216" s="29" t="inlineStr"/>
      <c r="C216" s="29" t="inlineStr">
        <is>
          <t>First-time onboarding and personalisation</t>
        </is>
      </c>
      <c r="D216" s="29" t="n">
        <v>11</v>
      </c>
      <c r="E216" s="29" t="n">
        <v>19</v>
      </c>
      <c r="F216" s="29" t="inlineStr">
        <is>
          <t>Feature</t>
        </is>
      </c>
      <c r="G216" s="29" t="inlineStr">
        <is>
          <t>Honest early-member explanation</t>
        </is>
      </c>
      <c r="H216" s="29" t="inlineStr">
        <is>
          <t>Honest early-member explanation</t>
        </is>
      </c>
      <c r="I216" s="29" t="inlineStr">
        <is>
          <t>/home/ubuntu/blyp_product_requirements.md :: Section 11 — First-time onboarding and personalisation</t>
        </is>
      </c>
      <c r="J216" s="29" t="inlineStr">
        <is>
          <t>/home/ubuntu/BLYP_COMPLETE_FEATURE_LIST.md:280</t>
        </is>
      </c>
      <c r="K216" s="29" t="inlineStr">
        <is>
          <t>Required</t>
        </is>
      </c>
      <c r="L216" s="29" t="inlineStr">
        <is>
          <t>Applicable BLYP member</t>
        </is>
      </c>
      <c r="M216" s="29" t="inlineStr">
        <is>
          <t>BLYP mobile application and supporting production services</t>
        </is>
      </c>
      <c r="N216" s="29" t="inlineStr">
        <is>
          <t>Honest early-member explanation</t>
        </is>
      </c>
      <c r="O216" s="29" t="inlineStr">
        <is>
          <t>Not explicitly defined in the product source; requires accountable product approval before production sign-off.</t>
        </is>
      </c>
      <c r="P216" s="29" t="inlineStr">
        <is>
          <t>Not assessed</t>
        </is>
      </c>
      <c r="Q216" s="29" t="inlineStr">
        <is>
          <t>No evidence</t>
        </is>
      </c>
      <c r="R216" s="29" t="inlineStr"/>
      <c r="S216" s="29" t="inlineStr">
        <is>
          <t>Not found</t>
        </is>
      </c>
      <c r="T216" s="29" t="inlineStr">
        <is>
          <t>Not assessed</t>
        </is>
      </c>
      <c r="U216" s="29" t="inlineStr">
        <is>
          <t>Not assessed</t>
        </is>
      </c>
      <c r="V216" s="29" t="inlineStr">
        <is>
          <t>Not assessed</t>
        </is>
      </c>
      <c r="W216" s="29" t="inlineStr">
        <is>
          <t>Not assessed</t>
        </is>
      </c>
      <c r="X216" s="29" t="inlineStr">
        <is>
          <t>Not assessed</t>
        </is>
      </c>
      <c r="Y216" s="29" t="inlineStr">
        <is>
          <t>Not assessed</t>
        </is>
      </c>
      <c r="Z216" s="29" t="inlineStr">
        <is>
          <t>Not assessed</t>
        </is>
      </c>
      <c r="AA216" s="29" t="inlineStr">
        <is>
          <t>Not assessed</t>
        </is>
      </c>
      <c r="AB216" s="29" t="inlineStr">
        <is>
          <t>Not assessed</t>
        </is>
      </c>
      <c r="AC216" s="29" t="inlineStr"/>
      <c r="AD216" s="29" t="inlineStr"/>
      <c r="AE216" s="29" t="inlineStr">
        <is>
          <t>Unknown</t>
        </is>
      </c>
      <c r="AF216" s="29" t="inlineStr">
        <is>
          <t>Not assessed</t>
        </is>
      </c>
      <c r="AG216" s="29" t="inlineStr">
        <is>
          <t>Unknown</t>
        </is>
      </c>
      <c r="AH216" s="29" t="inlineStr">
        <is>
          <t>Unknown</t>
        </is>
      </c>
      <c r="AI216" s="29" t="inlineStr">
        <is>
          <t>Searched source code for relevant keywords and found no evidence.</t>
        </is>
      </c>
      <c r="AJ216" s="29" t="inlineStr">
        <is>
          <t>Not verified</t>
        </is>
      </c>
      <c r="AK216" s="29" t="inlineStr"/>
      <c r="AL216" s="29" t="inlineStr"/>
      <c r="AM216" s="29" t="inlineStr"/>
      <c r="AN216" s="29" t="inlineStr"/>
      <c r="AO216" s="29" t="inlineStr">
        <is>
          <t>8bc0dcb2a1da1b21368c5536aaeef829d587f316</t>
        </is>
      </c>
      <c r="AP216" s="29" t="inlineStr">
        <is>
          <t>Low</t>
        </is>
      </c>
      <c r="AQ216" s="29" t="inlineStr">
        <is>
          <t>Not assessed</t>
        </is>
      </c>
      <c r="AR216" s="29" t="inlineStr">
        <is>
          <t>Not assessed</t>
        </is>
      </c>
      <c r="AS216" s="29" t="inlineStr">
        <is>
          <t>Not assessed</t>
        </is>
      </c>
      <c r="AT216" s="29" t="inlineStr">
        <is>
          <t>Not assessed</t>
        </is>
      </c>
      <c r="AU216" s="29" t="inlineStr">
        <is>
          <t>Not assessed</t>
        </is>
      </c>
      <c r="AV216" s="29" t="inlineStr">
        <is>
          <t>Not assessed</t>
        </is>
      </c>
      <c r="AW216" s="29" t="inlineStr">
        <is>
          <t>Not assessed</t>
        </is>
      </c>
      <c r="AX216" s="29" t="inlineStr">
        <is>
          <t>Not assessed</t>
        </is>
      </c>
      <c r="AY216" s="29" t="inlineStr">
        <is>
          <t>Not assessed</t>
        </is>
      </c>
      <c r="AZ216" s="29" t="inlineStr">
        <is>
          <t>Not assessed</t>
        </is>
      </c>
      <c r="BA216" s="29" t="inlineStr">
        <is>
          <t>Not assessed</t>
        </is>
      </c>
      <c r="BB216" s="29" t="inlineStr">
        <is>
          <t>Not assessed</t>
        </is>
      </c>
      <c r="BC216" s="29" t="inlineStr">
        <is>
          <t>Not assessed</t>
        </is>
      </c>
      <c r="BD216" s="29" t="inlineStr">
        <is>
          <t>Not assessed</t>
        </is>
      </c>
      <c r="BE216" s="29" t="inlineStr">
        <is>
          <t>Development required</t>
        </is>
      </c>
      <c r="BF216" s="29" t="inlineStr">
        <is>
          <t>Physical implementation is not complete against the stated requirement.; Searched source code for relevant keywords and found no evidence.</t>
        </is>
      </c>
      <c r="BG216" s="29" t="inlineStr"/>
      <c r="BH216" s="29" t="inlineStr"/>
      <c r="BI216" s="29" t="inlineStr"/>
      <c r="BJ216" s="29" t="inlineStr"/>
      <c r="BK216" s="29" t="inlineStr">
        <is>
          <t>Evidence reconciled against the reviewed source revision. No production approval is inferred from implementation or file presence.</t>
        </is>
      </c>
      <c r="BL216" s="29" t="inlineStr">
        <is>
          <t>2026-08-02</t>
        </is>
      </c>
    </row>
    <row r="217" ht="42" customHeight="1">
      <c r="A217" s="29" t="inlineStr">
        <is>
          <t>BLYP-12-001</t>
        </is>
      </c>
      <c r="B217" s="29" t="inlineStr"/>
      <c r="C217" s="29" t="inlineStr">
        <is>
          <t>Notifications and reminders</t>
        </is>
      </c>
      <c r="D217" s="29" t="n">
        <v>12</v>
      </c>
      <c r="E217" s="29" t="n">
        <v>1</v>
      </c>
      <c r="F217" s="29" t="inlineStr">
        <is>
          <t>Feature</t>
        </is>
      </c>
      <c r="G217" s="29" t="inlineStr">
        <is>
          <t>In-app Activity/notification centre</t>
        </is>
      </c>
      <c r="H217" s="29" t="inlineStr">
        <is>
          <t>In-app Activity/notification centre</t>
        </is>
      </c>
      <c r="I217" s="29" t="inlineStr">
        <is>
          <t>/home/ubuntu/blyp_product_requirements.md :: Section 12 — Notifications and reminders</t>
        </is>
      </c>
      <c r="J217" s="29" t="inlineStr">
        <is>
          <t>/home/ubuntu/BLYP_COMPLETE_FEATURE_LIST.md:286</t>
        </is>
      </c>
      <c r="K217" s="29" t="inlineStr">
        <is>
          <t>Required</t>
        </is>
      </c>
      <c r="L217" s="29" t="inlineStr">
        <is>
          <t>Applicable BLYP member</t>
        </is>
      </c>
      <c r="M217" s="29" t="inlineStr">
        <is>
          <t>BLYP mobile application and supporting production services</t>
        </is>
      </c>
      <c r="N217" s="29" t="inlineStr">
        <is>
          <t>In-app Activity/notification centre</t>
        </is>
      </c>
      <c r="O217" s="29" t="inlineStr">
        <is>
          <t>Not explicitly defined in the product source; requires accountable product approval before production sign-off.</t>
        </is>
      </c>
      <c r="P217" s="29" t="inlineStr"/>
      <c r="Q217" s="29" t="inlineStr">
        <is>
          <t>Yes</t>
        </is>
      </c>
      <c r="R217" s="29" t="inlineStr"/>
      <c r="S217" s="29" t="inlineStr">
        <is>
          <t>Not found</t>
        </is>
      </c>
      <c r="T217" s="29" t="inlineStr">
        <is>
          <t>Not found</t>
        </is>
      </c>
      <c r="U217" s="29" t="inlineStr">
        <is>
          <t>Not found</t>
        </is>
      </c>
      <c r="V217" s="29" t="inlineStr">
        <is>
          <t>Not found</t>
        </is>
      </c>
      <c r="W217" s="29" t="inlineStr">
        <is>
          <t>Not found</t>
        </is>
      </c>
      <c r="X217" s="29" t="inlineStr">
        <is>
          <t>Not found</t>
        </is>
      </c>
      <c r="Y217" s="29" t="inlineStr">
        <is>
          <t>Not found</t>
        </is>
      </c>
      <c r="Z217" s="29" t="inlineStr">
        <is>
          <t>Not found</t>
        </is>
      </c>
      <c r="AA217" s="29" t="inlineStr">
        <is>
          <t>Not found</t>
        </is>
      </c>
      <c r="AB217" s="29" t="inlineStr">
        <is>
          <t>Not found</t>
        </is>
      </c>
      <c r="AC217" s="29" t="inlineStr"/>
      <c r="AD217" s="29" t="inlineStr"/>
      <c r="AE217" s="29" t="inlineStr">
        <is>
          <t>Unknown</t>
        </is>
      </c>
      <c r="AF217" s="29" t="inlineStr"/>
      <c r="AG217" s="29" t="inlineStr">
        <is>
          <t>Unknown</t>
        </is>
      </c>
      <c r="AH217" s="29" t="inlineStr">
        <is>
          <t>Unknown</t>
        </is>
      </c>
      <c r="AI217" s="29" t="inlineStr">
        <is>
          <t>Searched for 'In-app Activity/notification centre' in source code, no evidence found.</t>
        </is>
      </c>
      <c r="AJ217" s="29" t="inlineStr">
        <is>
          <t>Not verified</t>
        </is>
      </c>
      <c r="AK217" s="29" t="inlineStr"/>
      <c r="AL217" s="29" t="inlineStr"/>
      <c r="AM217" s="29" t="inlineStr"/>
      <c r="AN217" s="29" t="inlineStr"/>
      <c r="AO217" s="29" t="inlineStr">
        <is>
          <t>8bc0dcb2a1da1b21368c5536aaeef829d587f316</t>
        </is>
      </c>
      <c r="AP217" s="29" t="inlineStr">
        <is>
          <t>Low</t>
        </is>
      </c>
      <c r="AQ217" s="29" t="inlineStr">
        <is>
          <t>Not assessed</t>
        </is>
      </c>
      <c r="AR217" s="29" t="inlineStr">
        <is>
          <t>Not assessed</t>
        </is>
      </c>
      <c r="AS217" s="29" t="inlineStr">
        <is>
          <t>Not assessed</t>
        </is>
      </c>
      <c r="AT217" s="29" t="inlineStr">
        <is>
          <t>Not assessed</t>
        </is>
      </c>
      <c r="AU217" s="29" t="inlineStr">
        <is>
          <t>Not assessed</t>
        </is>
      </c>
      <c r="AV217" s="29" t="inlineStr">
        <is>
          <t>Not assessed</t>
        </is>
      </c>
      <c r="AW217" s="29" t="inlineStr">
        <is>
          <t>Not assessed</t>
        </is>
      </c>
      <c r="AX217" s="29" t="inlineStr">
        <is>
          <t>Not assessed</t>
        </is>
      </c>
      <c r="AY217" s="29" t="inlineStr">
        <is>
          <t>Not assessed</t>
        </is>
      </c>
      <c r="AZ217" s="29" t="inlineStr">
        <is>
          <t>Not assessed</t>
        </is>
      </c>
      <c r="BA217" s="29" t="inlineStr">
        <is>
          <t>Not assessed</t>
        </is>
      </c>
      <c r="BB217" s="29" t="inlineStr">
        <is>
          <t>Not assessed</t>
        </is>
      </c>
      <c r="BC217" s="29" t="inlineStr">
        <is>
          <t>Not assessed</t>
        </is>
      </c>
      <c r="BD217" s="29" t="inlineStr">
        <is>
          <t>Not assessed</t>
        </is>
      </c>
      <c r="BE217" s="29" t="inlineStr">
        <is>
          <t>Development required</t>
        </is>
      </c>
      <c r="BF217" s="29" t="inlineStr">
        <is>
          <t>Physical implementation is not complete against the stated requirement.; Searched for 'In-app Activity/notification centre' in source code, no evidence found.</t>
        </is>
      </c>
      <c r="BG217" s="29" t="inlineStr">
        <is>
          <t>Source code implementation</t>
        </is>
      </c>
      <c r="BH217" s="29" t="inlineStr"/>
      <c r="BI217" s="29" t="inlineStr"/>
      <c r="BJ217" s="29" t="inlineStr"/>
      <c r="BK217" s="29" t="inlineStr">
        <is>
          <t>Evidence reconciled against the reviewed source revision. No production approval is inferred from implementation or file presence.</t>
        </is>
      </c>
      <c r="BL217" s="29" t="inlineStr">
        <is>
          <t>2026-08-02</t>
        </is>
      </c>
    </row>
    <row r="218" ht="42" customHeight="1">
      <c r="A218" s="29" t="inlineStr">
        <is>
          <t>BLYP-12-002</t>
        </is>
      </c>
      <c r="B218" s="29" t="inlineStr"/>
      <c r="C218" s="29" t="inlineStr">
        <is>
          <t>Notifications and reminders</t>
        </is>
      </c>
      <c r="D218" s="29" t="n">
        <v>12</v>
      </c>
      <c r="E218" s="29" t="n">
        <v>2</v>
      </c>
      <c r="F218" s="29" t="inlineStr">
        <is>
          <t>Feature</t>
        </is>
      </c>
      <c r="G218" s="29" t="inlineStr">
        <is>
          <t>Live alerts</t>
        </is>
      </c>
      <c r="H218" s="29" t="inlineStr">
        <is>
          <t>Live alerts</t>
        </is>
      </c>
      <c r="I218" s="29" t="inlineStr">
        <is>
          <t>/home/ubuntu/blyp_product_requirements.md :: Section 12 — Notifications and reminders</t>
        </is>
      </c>
      <c r="J218" s="29" t="inlineStr">
        <is>
          <t>/home/ubuntu/BLYP_COMPLETE_FEATURE_LIST.md:287</t>
        </is>
      </c>
      <c r="K218" s="29" t="inlineStr">
        <is>
          <t>Required</t>
        </is>
      </c>
      <c r="L218" s="29" t="inlineStr">
        <is>
          <t>Applicable BLYP member</t>
        </is>
      </c>
      <c r="M218" s="29" t="inlineStr">
        <is>
          <t>BLYP mobile application and supporting production services</t>
        </is>
      </c>
      <c r="N218" s="29" t="inlineStr">
        <is>
          <t>Live alerts</t>
        </is>
      </c>
      <c r="O218" s="29" t="inlineStr">
        <is>
          <t>Not explicitly defined in the product source; requires accountable product approval before production sign-off.</t>
        </is>
      </c>
      <c r="P218" s="29" t="inlineStr"/>
      <c r="Q218" s="29" t="inlineStr">
        <is>
          <t>Partial</t>
        </is>
      </c>
      <c r="R218" s="29" t="inlineStr"/>
      <c r="S218" s="29" t="inlineStr">
        <is>
          <t>Not found</t>
        </is>
      </c>
      <c r="T218" s="29" t="inlineStr">
        <is>
          <t>Not found</t>
        </is>
      </c>
      <c r="U218" s="29" t="inlineStr">
        <is>
          <t>Not found</t>
        </is>
      </c>
      <c r="V218" s="29" t="inlineStr">
        <is>
          <t>Not found</t>
        </is>
      </c>
      <c r="W218" s="29" t="inlineStr">
        <is>
          <t>Not found</t>
        </is>
      </c>
      <c r="X218" s="29" t="inlineStr">
        <is>
          <t>Not found</t>
        </is>
      </c>
      <c r="Y218" s="29" t="inlineStr">
        <is>
          <t>Not found</t>
        </is>
      </c>
      <c r="Z218" s="29" t="inlineStr">
        <is>
          <t>Not found</t>
        </is>
      </c>
      <c r="AA218" s="29" t="inlineStr">
        <is>
          <t>Not found</t>
        </is>
      </c>
      <c r="AB218" s="29" t="inlineStr">
        <is>
          <t>Not found</t>
        </is>
      </c>
      <c r="AC218" s="29" t="inlineStr"/>
      <c r="AD218" s="29" t="inlineStr"/>
      <c r="AE218" s="29" t="inlineStr">
        <is>
          <t>Unknown</t>
        </is>
      </c>
      <c r="AF218" s="29" t="inlineStr"/>
      <c r="AG218" s="29" t="inlineStr">
        <is>
          <t>Unknown</t>
        </is>
      </c>
      <c r="AH218" s="29" t="inlineStr">
        <is>
          <t>Unknown</t>
        </is>
      </c>
      <c r="AI218" s="29" t="inlineStr">
        <is>
          <t>Searched for 'Live alerts' in source code, no evidence found.</t>
        </is>
      </c>
      <c r="AJ218" s="29" t="inlineStr">
        <is>
          <t>Not verified</t>
        </is>
      </c>
      <c r="AK218" s="29" t="inlineStr"/>
      <c r="AL218" s="29" t="inlineStr"/>
      <c r="AM218" s="29" t="inlineStr"/>
      <c r="AN218" s="29" t="inlineStr"/>
      <c r="AO218" s="29" t="inlineStr">
        <is>
          <t>8bc0dcb2a1da1b21368c5536aaeef829d587f316</t>
        </is>
      </c>
      <c r="AP218" s="29" t="inlineStr">
        <is>
          <t>Low</t>
        </is>
      </c>
      <c r="AQ218" s="29" t="inlineStr">
        <is>
          <t>Not assessed</t>
        </is>
      </c>
      <c r="AR218" s="29" t="inlineStr">
        <is>
          <t>Not assessed</t>
        </is>
      </c>
      <c r="AS218" s="29" t="inlineStr">
        <is>
          <t>Not assessed</t>
        </is>
      </c>
      <c r="AT218" s="29" t="inlineStr">
        <is>
          <t>Not assessed</t>
        </is>
      </c>
      <c r="AU218" s="29" t="inlineStr">
        <is>
          <t>Not assessed</t>
        </is>
      </c>
      <c r="AV218" s="29" t="inlineStr">
        <is>
          <t>Not assessed</t>
        </is>
      </c>
      <c r="AW218" s="29" t="inlineStr">
        <is>
          <t>Not assessed</t>
        </is>
      </c>
      <c r="AX218" s="29" t="inlineStr">
        <is>
          <t>Not assessed</t>
        </is>
      </c>
      <c r="AY218" s="29" t="inlineStr">
        <is>
          <t>Not assessed</t>
        </is>
      </c>
      <c r="AZ218" s="29" t="inlineStr">
        <is>
          <t>Not assessed</t>
        </is>
      </c>
      <c r="BA218" s="29" t="inlineStr">
        <is>
          <t>Not assessed</t>
        </is>
      </c>
      <c r="BB218" s="29" t="inlineStr">
        <is>
          <t>Not assessed</t>
        </is>
      </c>
      <c r="BC218" s="29" t="inlineStr">
        <is>
          <t>Not assessed</t>
        </is>
      </c>
      <c r="BD218" s="29" t="inlineStr">
        <is>
          <t>Not assessed</t>
        </is>
      </c>
      <c r="BE218" s="29" t="inlineStr">
        <is>
          <t>Development required</t>
        </is>
      </c>
      <c r="BF218" s="29" t="inlineStr">
        <is>
          <t>Physical implementation is not complete against the stated requirement.; Searched for 'Live alerts' in source code, no evidence found.</t>
        </is>
      </c>
      <c r="BG218" s="29" t="inlineStr">
        <is>
          <t>Source code implementation</t>
        </is>
      </c>
      <c r="BH218" s="29" t="inlineStr"/>
      <c r="BI218" s="29" t="inlineStr"/>
      <c r="BJ218" s="29" t="inlineStr"/>
      <c r="BK218" s="29" t="inlineStr">
        <is>
          <t>Evidence reconciled against the reviewed source revision. No production approval is inferred from implementation or file presence.</t>
        </is>
      </c>
      <c r="BL218" s="29" t="inlineStr">
        <is>
          <t>2026-08-02</t>
        </is>
      </c>
    </row>
    <row r="219" ht="42" customHeight="1">
      <c r="A219" s="29" t="inlineStr">
        <is>
          <t>BLYP-12-003</t>
        </is>
      </c>
      <c r="B219" s="29" t="inlineStr"/>
      <c r="C219" s="29" t="inlineStr">
        <is>
          <t>Notifications and reminders</t>
        </is>
      </c>
      <c r="D219" s="29" t="n">
        <v>12</v>
      </c>
      <c r="E219" s="29" t="n">
        <v>3</v>
      </c>
      <c r="F219" s="29" t="inlineStr">
        <is>
          <t>Feature</t>
        </is>
      </c>
      <c r="G219" s="29" t="inlineStr">
        <is>
          <t>Communal-room activity alerts</t>
        </is>
      </c>
      <c r="H219" s="29" t="inlineStr">
        <is>
          <t>Communal-room activity alerts</t>
        </is>
      </c>
      <c r="I219" s="29" t="inlineStr">
        <is>
          <t>/home/ubuntu/blyp_product_requirements.md :: Section 12 — Notifications and reminders</t>
        </is>
      </c>
      <c r="J219" s="29" t="inlineStr">
        <is>
          <t>/home/ubuntu/BLYP_COMPLETE_FEATURE_LIST.md:288</t>
        </is>
      </c>
      <c r="K219" s="29" t="inlineStr">
        <is>
          <t>Required</t>
        </is>
      </c>
      <c r="L219" s="29" t="inlineStr">
        <is>
          <t>Applicable BLYP member</t>
        </is>
      </c>
      <c r="M219" s="29" t="inlineStr">
        <is>
          <t>BLYP mobile application and supporting production services</t>
        </is>
      </c>
      <c r="N219" s="29" t="inlineStr">
        <is>
          <t>Communal-room activity alerts</t>
        </is>
      </c>
      <c r="O219" s="29" t="inlineStr">
        <is>
          <t>Not explicitly defined in the product source; requires accountable product approval before production sign-off.</t>
        </is>
      </c>
      <c r="P219" s="29" t="inlineStr"/>
      <c r="Q219" s="29" t="inlineStr">
        <is>
          <t>No evidence</t>
        </is>
      </c>
      <c r="R219" s="29" t="inlineStr"/>
      <c r="S219" s="29" t="inlineStr">
        <is>
          <t>Not found</t>
        </is>
      </c>
      <c r="T219" s="29" t="inlineStr">
        <is>
          <t>Not found</t>
        </is>
      </c>
      <c r="U219" s="29" t="inlineStr">
        <is>
          <t>Not found</t>
        </is>
      </c>
      <c r="V219" s="29" t="inlineStr">
        <is>
          <t>Not found</t>
        </is>
      </c>
      <c r="W219" s="29" t="inlineStr">
        <is>
          <t>Not found</t>
        </is>
      </c>
      <c r="X219" s="29" t="inlineStr">
        <is>
          <t>Not found</t>
        </is>
      </c>
      <c r="Y219" s="29" t="inlineStr">
        <is>
          <t>Not found</t>
        </is>
      </c>
      <c r="Z219" s="29" t="inlineStr">
        <is>
          <t>Not found</t>
        </is>
      </c>
      <c r="AA219" s="29" t="inlineStr">
        <is>
          <t>Not found</t>
        </is>
      </c>
      <c r="AB219" s="29" t="inlineStr">
        <is>
          <t>Not found</t>
        </is>
      </c>
      <c r="AC219" s="29" t="inlineStr"/>
      <c r="AD219" s="29" t="inlineStr"/>
      <c r="AE219" s="29" t="inlineStr">
        <is>
          <t>Unknown</t>
        </is>
      </c>
      <c r="AF219" s="29" t="inlineStr"/>
      <c r="AG219" s="29" t="inlineStr">
        <is>
          <t>Unknown</t>
        </is>
      </c>
      <c r="AH219" s="29" t="inlineStr">
        <is>
          <t>Unknown</t>
        </is>
      </c>
      <c r="AI219" s="29" t="inlineStr">
        <is>
          <t>Searched for 'Communal-room activity alerts' in source code, no evidence found.</t>
        </is>
      </c>
      <c r="AJ219" s="29" t="inlineStr">
        <is>
          <t>Not verified</t>
        </is>
      </c>
      <c r="AK219" s="29" t="inlineStr"/>
      <c r="AL219" s="29" t="inlineStr"/>
      <c r="AM219" s="29" t="inlineStr"/>
      <c r="AN219" s="29" t="inlineStr"/>
      <c r="AO219" s="29" t="inlineStr">
        <is>
          <t>8bc0dcb2a1da1b21368c5536aaeef829d587f316</t>
        </is>
      </c>
      <c r="AP219" s="29" t="inlineStr">
        <is>
          <t>Low</t>
        </is>
      </c>
      <c r="AQ219" s="29" t="inlineStr">
        <is>
          <t>Not assessed</t>
        </is>
      </c>
      <c r="AR219" s="29" t="inlineStr">
        <is>
          <t>Not assessed</t>
        </is>
      </c>
      <c r="AS219" s="29" t="inlineStr">
        <is>
          <t>Not assessed</t>
        </is>
      </c>
      <c r="AT219" s="29" t="inlineStr">
        <is>
          <t>Not assessed</t>
        </is>
      </c>
      <c r="AU219" s="29" t="inlineStr">
        <is>
          <t>Not assessed</t>
        </is>
      </c>
      <c r="AV219" s="29" t="inlineStr">
        <is>
          <t>Not assessed</t>
        </is>
      </c>
      <c r="AW219" s="29" t="inlineStr">
        <is>
          <t>Not assessed</t>
        </is>
      </c>
      <c r="AX219" s="29" t="inlineStr">
        <is>
          <t>Not assessed</t>
        </is>
      </c>
      <c r="AY219" s="29" t="inlineStr">
        <is>
          <t>Not assessed</t>
        </is>
      </c>
      <c r="AZ219" s="29" t="inlineStr">
        <is>
          <t>Not assessed</t>
        </is>
      </c>
      <c r="BA219" s="29" t="inlineStr">
        <is>
          <t>Not assessed</t>
        </is>
      </c>
      <c r="BB219" s="29" t="inlineStr">
        <is>
          <t>Not assessed</t>
        </is>
      </c>
      <c r="BC219" s="29" t="inlineStr">
        <is>
          <t>Not assessed</t>
        </is>
      </c>
      <c r="BD219" s="29" t="inlineStr">
        <is>
          <t>Not assessed</t>
        </is>
      </c>
      <c r="BE219" s="29" t="inlineStr">
        <is>
          <t>Development required</t>
        </is>
      </c>
      <c r="BF219" s="29" t="inlineStr">
        <is>
          <t>Physical implementation is not complete against the stated requirement.; Searched for 'Communal-room activity alerts' in source code, no evidence found.</t>
        </is>
      </c>
      <c r="BG219" s="29" t="inlineStr">
        <is>
          <t>Source code implementation</t>
        </is>
      </c>
      <c r="BH219" s="29" t="inlineStr"/>
      <c r="BI219" s="29" t="inlineStr"/>
      <c r="BJ219" s="29" t="inlineStr"/>
      <c r="BK219" s="29" t="inlineStr">
        <is>
          <t>Evidence reconciled against the reviewed source revision. No production approval is inferred from implementation or file presence.</t>
        </is>
      </c>
      <c r="BL219" s="29" t="inlineStr">
        <is>
          <t>2026-08-02</t>
        </is>
      </c>
    </row>
    <row r="220" ht="42" customHeight="1">
      <c r="A220" s="29" t="inlineStr">
        <is>
          <t>BLYP-12-004</t>
        </is>
      </c>
      <c r="B220" s="29" t="inlineStr"/>
      <c r="C220" s="29" t="inlineStr">
        <is>
          <t>Notifications and reminders</t>
        </is>
      </c>
      <c r="D220" s="29" t="n">
        <v>12</v>
      </c>
      <c r="E220" s="29" t="n">
        <v>4</v>
      </c>
      <c r="F220" s="29" t="inlineStr">
        <is>
          <t>Feature</t>
        </is>
      </c>
      <c r="G220" s="29" t="inlineStr">
        <is>
          <t>Follow alerts</t>
        </is>
      </c>
      <c r="H220" s="29" t="inlineStr">
        <is>
          <t>Follow alerts</t>
        </is>
      </c>
      <c r="I220" s="29" t="inlineStr">
        <is>
          <t>/home/ubuntu/blyp_product_requirements.md :: Section 12 — Notifications and reminders</t>
        </is>
      </c>
      <c r="J220" s="29" t="inlineStr">
        <is>
          <t>/home/ubuntu/BLYP_COMPLETE_FEATURE_LIST.md:289</t>
        </is>
      </c>
      <c r="K220" s="29" t="inlineStr">
        <is>
          <t>Required</t>
        </is>
      </c>
      <c r="L220" s="29" t="inlineStr">
        <is>
          <t>Applicable BLYP member</t>
        </is>
      </c>
      <c r="M220" s="29" t="inlineStr">
        <is>
          <t>BLYP mobile application and supporting production services</t>
        </is>
      </c>
      <c r="N220" s="29" t="inlineStr">
        <is>
          <t>Follow alerts</t>
        </is>
      </c>
      <c r="O220" s="29" t="inlineStr">
        <is>
          <t>Not explicitly defined in the product source; requires accountable product approval before production sign-off.</t>
        </is>
      </c>
      <c r="P220" s="29" t="inlineStr"/>
      <c r="Q220" s="29" t="inlineStr">
        <is>
          <t>Yes</t>
        </is>
      </c>
      <c r="R220" s="29" t="inlineStr"/>
      <c r="S220" s="29" t="inlineStr">
        <is>
          <t>Not found</t>
        </is>
      </c>
      <c r="T220" s="29" t="inlineStr">
        <is>
          <t>Not found</t>
        </is>
      </c>
      <c r="U220" s="29" t="inlineStr">
        <is>
          <t>Not found</t>
        </is>
      </c>
      <c r="V220" s="29" t="inlineStr">
        <is>
          <t>Not found</t>
        </is>
      </c>
      <c r="W220" s="29" t="inlineStr">
        <is>
          <t>Not found</t>
        </is>
      </c>
      <c r="X220" s="29" t="inlineStr">
        <is>
          <t>Not found</t>
        </is>
      </c>
      <c r="Y220" s="29" t="inlineStr">
        <is>
          <t>Not found</t>
        </is>
      </c>
      <c r="Z220" s="29" t="inlineStr">
        <is>
          <t>Not found</t>
        </is>
      </c>
      <c r="AA220" s="29" t="inlineStr">
        <is>
          <t>Not found</t>
        </is>
      </c>
      <c r="AB220" s="29" t="inlineStr">
        <is>
          <t>Not found</t>
        </is>
      </c>
      <c r="AC220" s="29" t="inlineStr"/>
      <c r="AD220" s="29" t="inlineStr"/>
      <c r="AE220" s="29" t="inlineStr">
        <is>
          <t>Unknown</t>
        </is>
      </c>
      <c r="AF220" s="29" t="inlineStr"/>
      <c r="AG220" s="29" t="inlineStr">
        <is>
          <t>Unknown</t>
        </is>
      </c>
      <c r="AH220" s="29" t="inlineStr">
        <is>
          <t>Unknown</t>
        </is>
      </c>
      <c r="AI220" s="29" t="inlineStr">
        <is>
          <t>Searched for 'Follow alerts' in source code, no evidence found.</t>
        </is>
      </c>
      <c r="AJ220" s="29" t="inlineStr">
        <is>
          <t>Not verified</t>
        </is>
      </c>
      <c r="AK220" s="29" t="inlineStr"/>
      <c r="AL220" s="29" t="inlineStr"/>
      <c r="AM220" s="29" t="inlineStr"/>
      <c r="AN220" s="29" t="inlineStr"/>
      <c r="AO220" s="29" t="inlineStr">
        <is>
          <t>8bc0dcb2a1da1b21368c5536aaeef829d587f316</t>
        </is>
      </c>
      <c r="AP220" s="29" t="inlineStr">
        <is>
          <t>Low</t>
        </is>
      </c>
      <c r="AQ220" s="29" t="inlineStr">
        <is>
          <t>Not assessed</t>
        </is>
      </c>
      <c r="AR220" s="29" t="inlineStr">
        <is>
          <t>Not assessed</t>
        </is>
      </c>
      <c r="AS220" s="29" t="inlineStr">
        <is>
          <t>Not assessed</t>
        </is>
      </c>
      <c r="AT220" s="29" t="inlineStr">
        <is>
          <t>Not assessed</t>
        </is>
      </c>
      <c r="AU220" s="29" t="inlineStr">
        <is>
          <t>Not assessed</t>
        </is>
      </c>
      <c r="AV220" s="29" t="inlineStr">
        <is>
          <t>Not assessed</t>
        </is>
      </c>
      <c r="AW220" s="29" t="inlineStr">
        <is>
          <t>Not assessed</t>
        </is>
      </c>
      <c r="AX220" s="29" t="inlineStr">
        <is>
          <t>Not assessed</t>
        </is>
      </c>
      <c r="AY220" s="29" t="inlineStr">
        <is>
          <t>Not assessed</t>
        </is>
      </c>
      <c r="AZ220" s="29" t="inlineStr">
        <is>
          <t>Not assessed</t>
        </is>
      </c>
      <c r="BA220" s="29" t="inlineStr">
        <is>
          <t>Not assessed</t>
        </is>
      </c>
      <c r="BB220" s="29" t="inlineStr">
        <is>
          <t>Not assessed</t>
        </is>
      </c>
      <c r="BC220" s="29" t="inlineStr">
        <is>
          <t>Not assessed</t>
        </is>
      </c>
      <c r="BD220" s="29" t="inlineStr">
        <is>
          <t>Not assessed</t>
        </is>
      </c>
      <c r="BE220" s="29" t="inlineStr">
        <is>
          <t>Development required</t>
        </is>
      </c>
      <c r="BF220" s="29" t="inlineStr">
        <is>
          <t>Physical implementation is not complete against the stated requirement.; Searched for 'Follow alerts' in source code, no evidence found.</t>
        </is>
      </c>
      <c r="BG220" s="29" t="inlineStr">
        <is>
          <t>Source code implementation</t>
        </is>
      </c>
      <c r="BH220" s="29" t="inlineStr"/>
      <c r="BI220" s="29" t="inlineStr"/>
      <c r="BJ220" s="29" t="inlineStr"/>
      <c r="BK220" s="29" t="inlineStr">
        <is>
          <t>Evidence reconciled against the reviewed source revision. No production approval is inferred from implementation or file presence.</t>
        </is>
      </c>
      <c r="BL220" s="29" t="inlineStr">
        <is>
          <t>2026-08-02</t>
        </is>
      </c>
    </row>
    <row r="221" ht="42" customHeight="1">
      <c r="A221" s="29" t="inlineStr">
        <is>
          <t>BLYP-12-005</t>
        </is>
      </c>
      <c r="B221" s="29" t="inlineStr"/>
      <c r="C221" s="29" t="inlineStr">
        <is>
          <t>Notifications and reminders</t>
        </is>
      </c>
      <c r="D221" s="29" t="n">
        <v>12</v>
      </c>
      <c r="E221" s="29" t="n">
        <v>5</v>
      </c>
      <c r="F221" s="29" t="inlineStr">
        <is>
          <t>Feature</t>
        </is>
      </c>
      <c r="G221" s="29" t="inlineStr">
        <is>
          <t>Reply alerts</t>
        </is>
      </c>
      <c r="H221" s="29" t="inlineStr">
        <is>
          <t>Reply alerts</t>
        </is>
      </c>
      <c r="I221" s="29" t="inlineStr">
        <is>
          <t>/home/ubuntu/blyp_product_requirements.md :: Section 12 — Notifications and reminders</t>
        </is>
      </c>
      <c r="J221" s="29" t="inlineStr">
        <is>
          <t>/home/ubuntu/BLYP_COMPLETE_FEATURE_LIST.md:290</t>
        </is>
      </c>
      <c r="K221" s="29" t="inlineStr">
        <is>
          <t>Required</t>
        </is>
      </c>
      <c r="L221" s="29" t="inlineStr">
        <is>
          <t>Applicable BLYP member</t>
        </is>
      </c>
      <c r="M221" s="29" t="inlineStr">
        <is>
          <t>BLYP mobile application and supporting production services</t>
        </is>
      </c>
      <c r="N221" s="29" t="inlineStr">
        <is>
          <t>Reply alerts</t>
        </is>
      </c>
      <c r="O221" s="29" t="inlineStr">
        <is>
          <t>Not explicitly defined in the product source; requires accountable product approval before production sign-off.</t>
        </is>
      </c>
      <c r="P221" s="29" t="inlineStr"/>
      <c r="Q221" s="29" t="inlineStr">
        <is>
          <t>Partial</t>
        </is>
      </c>
      <c r="R221" s="29" t="inlineStr"/>
      <c r="S221" s="29" t="inlineStr">
        <is>
          <t>Not found</t>
        </is>
      </c>
      <c r="T221" s="29" t="inlineStr">
        <is>
          <t>Not found</t>
        </is>
      </c>
      <c r="U221" s="29" t="inlineStr">
        <is>
          <t>Not found</t>
        </is>
      </c>
      <c r="V221" s="29" t="inlineStr">
        <is>
          <t>Not found</t>
        </is>
      </c>
      <c r="W221" s="29" t="inlineStr">
        <is>
          <t>Not found</t>
        </is>
      </c>
      <c r="X221" s="29" t="inlineStr">
        <is>
          <t>Not found</t>
        </is>
      </c>
      <c r="Y221" s="29" t="inlineStr">
        <is>
          <t>Not found</t>
        </is>
      </c>
      <c r="Z221" s="29" t="inlineStr">
        <is>
          <t>Not found</t>
        </is>
      </c>
      <c r="AA221" s="29" t="inlineStr">
        <is>
          <t>Not found</t>
        </is>
      </c>
      <c r="AB221" s="29" t="inlineStr">
        <is>
          <t>Not found</t>
        </is>
      </c>
      <c r="AC221" s="29" t="inlineStr"/>
      <c r="AD221" s="29" t="inlineStr"/>
      <c r="AE221" s="29" t="inlineStr">
        <is>
          <t>Unknown</t>
        </is>
      </c>
      <c r="AF221" s="29" t="inlineStr"/>
      <c r="AG221" s="29" t="inlineStr">
        <is>
          <t>Unknown</t>
        </is>
      </c>
      <c r="AH221" s="29" t="inlineStr">
        <is>
          <t>Unknown</t>
        </is>
      </c>
      <c r="AI221" s="29" t="inlineStr">
        <is>
          <t>Searched for 'Reply alerts' in source code, no evidence found.</t>
        </is>
      </c>
      <c r="AJ221" s="29" t="inlineStr">
        <is>
          <t>Not verified</t>
        </is>
      </c>
      <c r="AK221" s="29" t="inlineStr"/>
      <c r="AL221" s="29" t="inlineStr"/>
      <c r="AM221" s="29" t="inlineStr"/>
      <c r="AN221" s="29" t="inlineStr"/>
      <c r="AO221" s="29" t="inlineStr">
        <is>
          <t>8bc0dcb2a1da1b21368c5536aaeef829d587f316</t>
        </is>
      </c>
      <c r="AP221" s="29" t="inlineStr">
        <is>
          <t>Low</t>
        </is>
      </c>
      <c r="AQ221" s="29" t="inlineStr">
        <is>
          <t>Not assessed</t>
        </is>
      </c>
      <c r="AR221" s="29" t="inlineStr">
        <is>
          <t>Not assessed</t>
        </is>
      </c>
      <c r="AS221" s="29" t="inlineStr">
        <is>
          <t>Not assessed</t>
        </is>
      </c>
      <c r="AT221" s="29" t="inlineStr">
        <is>
          <t>Not assessed</t>
        </is>
      </c>
      <c r="AU221" s="29" t="inlineStr">
        <is>
          <t>Not assessed</t>
        </is>
      </c>
      <c r="AV221" s="29" t="inlineStr">
        <is>
          <t>Not assessed</t>
        </is>
      </c>
      <c r="AW221" s="29" t="inlineStr">
        <is>
          <t>Not assessed</t>
        </is>
      </c>
      <c r="AX221" s="29" t="inlineStr">
        <is>
          <t>Not assessed</t>
        </is>
      </c>
      <c r="AY221" s="29" t="inlineStr">
        <is>
          <t>Not assessed</t>
        </is>
      </c>
      <c r="AZ221" s="29" t="inlineStr">
        <is>
          <t>Not assessed</t>
        </is>
      </c>
      <c r="BA221" s="29" t="inlineStr">
        <is>
          <t>Not assessed</t>
        </is>
      </c>
      <c r="BB221" s="29" t="inlineStr">
        <is>
          <t>Not assessed</t>
        </is>
      </c>
      <c r="BC221" s="29" t="inlineStr">
        <is>
          <t>Not assessed</t>
        </is>
      </c>
      <c r="BD221" s="29" t="inlineStr">
        <is>
          <t>Not assessed</t>
        </is>
      </c>
      <c r="BE221" s="29" t="inlineStr">
        <is>
          <t>Development required</t>
        </is>
      </c>
      <c r="BF221" s="29" t="inlineStr">
        <is>
          <t>Physical implementation is not complete against the stated requirement.; Searched for 'Reply alerts' in source code, no evidence found.</t>
        </is>
      </c>
      <c r="BG221" s="29" t="inlineStr">
        <is>
          <t>Source code implementation</t>
        </is>
      </c>
      <c r="BH221" s="29" t="inlineStr"/>
      <c r="BI221" s="29" t="inlineStr"/>
      <c r="BJ221" s="29" t="inlineStr"/>
      <c r="BK221" s="29" t="inlineStr">
        <is>
          <t>Evidence reconciled against the reviewed source revision. No production approval is inferred from implementation or file presence.</t>
        </is>
      </c>
      <c r="BL221" s="29" t="inlineStr">
        <is>
          <t>2026-08-02</t>
        </is>
      </c>
    </row>
    <row r="222" ht="42" customHeight="1">
      <c r="A222" s="29" t="inlineStr">
        <is>
          <t>BLYP-12-006</t>
        </is>
      </c>
      <c r="B222" s="29" t="inlineStr"/>
      <c r="C222" s="29" t="inlineStr">
        <is>
          <t>Notifications and reminders</t>
        </is>
      </c>
      <c r="D222" s="29" t="n">
        <v>12</v>
      </c>
      <c r="E222" s="29" t="n">
        <v>6</v>
      </c>
      <c r="F222" s="29" t="inlineStr">
        <is>
          <t>Feature</t>
        </is>
      </c>
      <c r="G222" s="29" t="inlineStr">
        <is>
          <t>Message alerts</t>
        </is>
      </c>
      <c r="H222" s="29" t="inlineStr">
        <is>
          <t>Message alerts</t>
        </is>
      </c>
      <c r="I222" s="29" t="inlineStr">
        <is>
          <t>/home/ubuntu/blyp_product_requirements.md :: Section 12 — Notifications and reminders</t>
        </is>
      </c>
      <c r="J222" s="29" t="inlineStr">
        <is>
          <t>/home/ubuntu/BLYP_COMPLETE_FEATURE_LIST.md:291</t>
        </is>
      </c>
      <c r="K222" s="29" t="inlineStr">
        <is>
          <t>Required</t>
        </is>
      </c>
      <c r="L222" s="29" t="inlineStr">
        <is>
          <t>Applicable BLYP member</t>
        </is>
      </c>
      <c r="M222" s="29" t="inlineStr">
        <is>
          <t>BLYP mobile application and supporting production services</t>
        </is>
      </c>
      <c r="N222" s="29" t="inlineStr">
        <is>
          <t>Message alerts</t>
        </is>
      </c>
      <c r="O222" s="29" t="inlineStr">
        <is>
          <t>Not explicitly defined in the product source; requires accountable product approval before production sign-off.</t>
        </is>
      </c>
      <c r="P222" s="29" t="inlineStr"/>
      <c r="Q222" s="29" t="inlineStr">
        <is>
          <t>Partial</t>
        </is>
      </c>
      <c r="R222" s="29" t="inlineStr"/>
      <c r="S222" s="29" t="inlineStr">
        <is>
          <t>Not found</t>
        </is>
      </c>
      <c r="T222" s="29" t="inlineStr">
        <is>
          <t>Not found</t>
        </is>
      </c>
      <c r="U222" s="29" t="inlineStr">
        <is>
          <t>Not found</t>
        </is>
      </c>
      <c r="V222" s="29" t="inlineStr">
        <is>
          <t>Not found</t>
        </is>
      </c>
      <c r="W222" s="29" t="inlineStr">
        <is>
          <t>Not found</t>
        </is>
      </c>
      <c r="X222" s="29" t="inlineStr">
        <is>
          <t>Not found</t>
        </is>
      </c>
      <c r="Y222" s="29" t="inlineStr">
        <is>
          <t>Not found</t>
        </is>
      </c>
      <c r="Z222" s="29" t="inlineStr">
        <is>
          <t>Not found</t>
        </is>
      </c>
      <c r="AA222" s="29" t="inlineStr">
        <is>
          <t>Not found</t>
        </is>
      </c>
      <c r="AB222" s="29" t="inlineStr">
        <is>
          <t>Not found</t>
        </is>
      </c>
      <c r="AC222" s="29" t="inlineStr"/>
      <c r="AD222" s="29" t="inlineStr"/>
      <c r="AE222" s="29" t="inlineStr">
        <is>
          <t>Unknown</t>
        </is>
      </c>
      <c r="AF222" s="29" t="inlineStr"/>
      <c r="AG222" s="29" t="inlineStr">
        <is>
          <t>Unknown</t>
        </is>
      </c>
      <c r="AH222" s="29" t="inlineStr">
        <is>
          <t>Unknown</t>
        </is>
      </c>
      <c r="AI222" s="29" t="inlineStr">
        <is>
          <t>Searched for 'Message alerts' in source code, no evidence found.</t>
        </is>
      </c>
      <c r="AJ222" s="29" t="inlineStr">
        <is>
          <t>Not verified</t>
        </is>
      </c>
      <c r="AK222" s="29" t="inlineStr"/>
      <c r="AL222" s="29" t="inlineStr"/>
      <c r="AM222" s="29" t="inlineStr"/>
      <c r="AN222" s="29" t="inlineStr"/>
      <c r="AO222" s="29" t="inlineStr">
        <is>
          <t>8bc0dcb2a1da1b21368c5536aaeef829d587f316</t>
        </is>
      </c>
      <c r="AP222" s="29" t="inlineStr">
        <is>
          <t>Low</t>
        </is>
      </c>
      <c r="AQ222" s="29" t="inlineStr">
        <is>
          <t>Not assessed</t>
        </is>
      </c>
      <c r="AR222" s="29" t="inlineStr">
        <is>
          <t>Not assessed</t>
        </is>
      </c>
      <c r="AS222" s="29" t="inlineStr">
        <is>
          <t>Not assessed</t>
        </is>
      </c>
      <c r="AT222" s="29" t="inlineStr">
        <is>
          <t>Not assessed</t>
        </is>
      </c>
      <c r="AU222" s="29" t="inlineStr">
        <is>
          <t>Not assessed</t>
        </is>
      </c>
      <c r="AV222" s="29" t="inlineStr">
        <is>
          <t>Not assessed</t>
        </is>
      </c>
      <c r="AW222" s="29" t="inlineStr">
        <is>
          <t>Not assessed</t>
        </is>
      </c>
      <c r="AX222" s="29" t="inlineStr">
        <is>
          <t>Not assessed</t>
        </is>
      </c>
      <c r="AY222" s="29" t="inlineStr">
        <is>
          <t>Not assessed</t>
        </is>
      </c>
      <c r="AZ222" s="29" t="inlineStr">
        <is>
          <t>Not assessed</t>
        </is>
      </c>
      <c r="BA222" s="29" t="inlineStr">
        <is>
          <t>Not assessed</t>
        </is>
      </c>
      <c r="BB222" s="29" t="inlineStr">
        <is>
          <t>Not assessed</t>
        </is>
      </c>
      <c r="BC222" s="29" t="inlineStr">
        <is>
          <t>Not assessed</t>
        </is>
      </c>
      <c r="BD222" s="29" t="inlineStr">
        <is>
          <t>Not assessed</t>
        </is>
      </c>
      <c r="BE222" s="29" t="inlineStr">
        <is>
          <t>Development required</t>
        </is>
      </c>
      <c r="BF222" s="29" t="inlineStr">
        <is>
          <t>Physical implementation is not complete against the stated requirement.; Searched for 'Message alerts' in source code, no evidence found.</t>
        </is>
      </c>
      <c r="BG222" s="29" t="inlineStr">
        <is>
          <t>Source code implementation</t>
        </is>
      </c>
      <c r="BH222" s="29" t="inlineStr"/>
      <c r="BI222" s="29" t="inlineStr"/>
      <c r="BJ222" s="29" t="inlineStr"/>
      <c r="BK222" s="29" t="inlineStr">
        <is>
          <t>Evidence reconciled against the reviewed source revision. No production approval is inferred from implementation or file presence.</t>
        </is>
      </c>
      <c r="BL222" s="29" t="inlineStr">
        <is>
          <t>2026-08-02</t>
        </is>
      </c>
    </row>
    <row r="223" ht="42" customHeight="1">
      <c r="A223" s="29" t="inlineStr">
        <is>
          <t>BLYP-12-007</t>
        </is>
      </c>
      <c r="B223" s="29" t="inlineStr"/>
      <c r="C223" s="29" t="inlineStr">
        <is>
          <t>Notifications and reminders</t>
        </is>
      </c>
      <c r="D223" s="29" t="n">
        <v>12</v>
      </c>
      <c r="E223" s="29" t="n">
        <v>7</v>
      </c>
      <c r="F223" s="29" t="inlineStr">
        <is>
          <t>Feature</t>
        </is>
      </c>
      <c r="G223" s="29" t="inlineStr">
        <is>
          <t>Team-application alerts</t>
        </is>
      </c>
      <c r="H223" s="29" t="inlineStr">
        <is>
          <t>Team-application alerts</t>
        </is>
      </c>
      <c r="I223" s="29" t="inlineStr">
        <is>
          <t>/home/ubuntu/blyp_product_requirements.md :: Section 12 — Notifications and reminders</t>
        </is>
      </c>
      <c r="J223" s="29" t="inlineStr">
        <is>
          <t>/home/ubuntu/BLYP_COMPLETE_FEATURE_LIST.md:292</t>
        </is>
      </c>
      <c r="K223" s="29" t="inlineStr">
        <is>
          <t>Required</t>
        </is>
      </c>
      <c r="L223" s="29" t="inlineStr">
        <is>
          <t>Applicable BLYP member</t>
        </is>
      </c>
      <c r="M223" s="29" t="inlineStr">
        <is>
          <t>BLYP mobile application and supporting production services</t>
        </is>
      </c>
      <c r="N223" s="29" t="inlineStr">
        <is>
          <t>Team-application alerts</t>
        </is>
      </c>
      <c r="O223" s="29" t="inlineStr">
        <is>
          <t>Not explicitly defined in the product source; requires accountable product approval before production sign-off.</t>
        </is>
      </c>
      <c r="P223" s="29" t="inlineStr"/>
      <c r="Q223" s="29" t="inlineStr">
        <is>
          <t>Scaffold only</t>
        </is>
      </c>
      <c r="R223" s="29" t="inlineStr"/>
      <c r="S223" s="29" t="inlineStr">
        <is>
          <t>Not found</t>
        </is>
      </c>
      <c r="T223" s="29" t="inlineStr">
        <is>
          <t>Not found</t>
        </is>
      </c>
      <c r="U223" s="29" t="inlineStr">
        <is>
          <t>Not found</t>
        </is>
      </c>
      <c r="V223" s="29" t="inlineStr">
        <is>
          <t>Not found</t>
        </is>
      </c>
      <c r="W223" s="29" t="inlineStr">
        <is>
          <t>Not found</t>
        </is>
      </c>
      <c r="X223" s="29" t="inlineStr">
        <is>
          <t>Not found</t>
        </is>
      </c>
      <c r="Y223" s="29" t="inlineStr">
        <is>
          <t>Not found</t>
        </is>
      </c>
      <c r="Z223" s="29" t="inlineStr">
        <is>
          <t>Not found</t>
        </is>
      </c>
      <c r="AA223" s="29" t="inlineStr">
        <is>
          <t>Not found</t>
        </is>
      </c>
      <c r="AB223" s="29" t="inlineStr">
        <is>
          <t>Not found</t>
        </is>
      </c>
      <c r="AC223" s="29" t="inlineStr"/>
      <c r="AD223" s="29" t="inlineStr"/>
      <c r="AE223" s="29" t="inlineStr">
        <is>
          <t>Unknown</t>
        </is>
      </c>
      <c r="AF223" s="29" t="inlineStr"/>
      <c r="AG223" s="29" t="inlineStr">
        <is>
          <t>Unknown</t>
        </is>
      </c>
      <c r="AH223" s="29" t="inlineStr">
        <is>
          <t>Unknown</t>
        </is>
      </c>
      <c r="AI223" s="29" t="inlineStr">
        <is>
          <t>Searched for 'Team-application alerts' in source code, no evidence found.</t>
        </is>
      </c>
      <c r="AJ223" s="29" t="inlineStr">
        <is>
          <t>Not verified</t>
        </is>
      </c>
      <c r="AK223" s="29" t="inlineStr"/>
      <c r="AL223" s="29" t="inlineStr"/>
      <c r="AM223" s="29" t="inlineStr"/>
      <c r="AN223" s="29" t="inlineStr"/>
      <c r="AO223" s="29" t="inlineStr">
        <is>
          <t>8bc0dcb2a1da1b21368c5536aaeef829d587f316</t>
        </is>
      </c>
      <c r="AP223" s="29" t="inlineStr">
        <is>
          <t>Low</t>
        </is>
      </c>
      <c r="AQ223" s="29" t="inlineStr">
        <is>
          <t>Not assessed</t>
        </is>
      </c>
      <c r="AR223" s="29" t="inlineStr">
        <is>
          <t>Not assessed</t>
        </is>
      </c>
      <c r="AS223" s="29" t="inlineStr">
        <is>
          <t>Not assessed</t>
        </is>
      </c>
      <c r="AT223" s="29" t="inlineStr">
        <is>
          <t>Not assessed</t>
        </is>
      </c>
      <c r="AU223" s="29" t="inlineStr">
        <is>
          <t>Not assessed</t>
        </is>
      </c>
      <c r="AV223" s="29" t="inlineStr">
        <is>
          <t>Not assessed</t>
        </is>
      </c>
      <c r="AW223" s="29" t="inlineStr">
        <is>
          <t>Not assessed</t>
        </is>
      </c>
      <c r="AX223" s="29" t="inlineStr">
        <is>
          <t>Not assessed</t>
        </is>
      </c>
      <c r="AY223" s="29" t="inlineStr">
        <is>
          <t>Not assessed</t>
        </is>
      </c>
      <c r="AZ223" s="29" t="inlineStr">
        <is>
          <t>Not assessed</t>
        </is>
      </c>
      <c r="BA223" s="29" t="inlineStr">
        <is>
          <t>Not assessed</t>
        </is>
      </c>
      <c r="BB223" s="29" t="inlineStr">
        <is>
          <t>Not assessed</t>
        </is>
      </c>
      <c r="BC223" s="29" t="inlineStr">
        <is>
          <t>Not assessed</t>
        </is>
      </c>
      <c r="BD223" s="29" t="inlineStr">
        <is>
          <t>Not assessed</t>
        </is>
      </c>
      <c r="BE223" s="29" t="inlineStr">
        <is>
          <t>Development required</t>
        </is>
      </c>
      <c r="BF223" s="29" t="inlineStr">
        <is>
          <t>Physical implementation is not complete against the stated requirement.; Searched for 'Team-application alerts' in source code, no evidence found.</t>
        </is>
      </c>
      <c r="BG223" s="29" t="inlineStr">
        <is>
          <t>Source code implementation</t>
        </is>
      </c>
      <c r="BH223" s="29" t="inlineStr"/>
      <c r="BI223" s="29" t="inlineStr"/>
      <c r="BJ223" s="29" t="inlineStr"/>
      <c r="BK223" s="29" t="inlineStr">
        <is>
          <t>Evidence reconciled against the reviewed source revision. No production approval is inferred from implementation or file presence.</t>
        </is>
      </c>
      <c r="BL223" s="29" t="inlineStr">
        <is>
          <t>2026-08-02</t>
        </is>
      </c>
    </row>
    <row r="224" ht="42" customHeight="1">
      <c r="A224" s="29" t="inlineStr">
        <is>
          <t>BLYP-12-008</t>
        </is>
      </c>
      <c r="B224" s="29" t="inlineStr"/>
      <c r="C224" s="29" t="inlineStr">
        <is>
          <t>Notifications and reminders</t>
        </is>
      </c>
      <c r="D224" s="29" t="n">
        <v>12</v>
      </c>
      <c r="E224" s="29" t="n">
        <v>8</v>
      </c>
      <c r="F224" s="29" t="inlineStr">
        <is>
          <t>Feature</t>
        </is>
      </c>
      <c r="G224" s="29" t="inlineStr">
        <is>
          <t>Team-decision alerts</t>
        </is>
      </c>
      <c r="H224" s="29" t="inlineStr">
        <is>
          <t>Team-decision alerts</t>
        </is>
      </c>
      <c r="I224" s="29" t="inlineStr">
        <is>
          <t>/home/ubuntu/blyp_product_requirements.md :: Section 12 — Notifications and reminders</t>
        </is>
      </c>
      <c r="J224" s="29" t="inlineStr">
        <is>
          <t>/home/ubuntu/BLYP_COMPLETE_FEATURE_LIST.md:293</t>
        </is>
      </c>
      <c r="K224" s="29" t="inlineStr">
        <is>
          <t>Required</t>
        </is>
      </c>
      <c r="L224" s="29" t="inlineStr">
        <is>
          <t>Applicable BLYP member</t>
        </is>
      </c>
      <c r="M224" s="29" t="inlineStr">
        <is>
          <t>BLYP mobile application and supporting production services</t>
        </is>
      </c>
      <c r="N224" s="29" t="inlineStr">
        <is>
          <t>Team-decision alerts</t>
        </is>
      </c>
      <c r="O224" s="29" t="inlineStr">
        <is>
          <t>Not explicitly defined in the product source; requires accountable product approval before production sign-off.</t>
        </is>
      </c>
      <c r="P224" s="29" t="inlineStr"/>
      <c r="Q224" s="29" t="inlineStr">
        <is>
          <t>Scaffold only</t>
        </is>
      </c>
      <c r="R224" s="29" t="inlineStr"/>
      <c r="S224" s="29" t="inlineStr">
        <is>
          <t>Not found</t>
        </is>
      </c>
      <c r="T224" s="29" t="inlineStr">
        <is>
          <t>Not found</t>
        </is>
      </c>
      <c r="U224" s="29" t="inlineStr">
        <is>
          <t>Not found</t>
        </is>
      </c>
      <c r="V224" s="29" t="inlineStr">
        <is>
          <t>Not found</t>
        </is>
      </c>
      <c r="W224" s="29" t="inlineStr">
        <is>
          <t>Not found</t>
        </is>
      </c>
      <c r="X224" s="29" t="inlineStr">
        <is>
          <t>Not found</t>
        </is>
      </c>
      <c r="Y224" s="29" t="inlineStr">
        <is>
          <t>Not found</t>
        </is>
      </c>
      <c r="Z224" s="29" t="inlineStr">
        <is>
          <t>Not found</t>
        </is>
      </c>
      <c r="AA224" s="29" t="inlineStr">
        <is>
          <t>Not found</t>
        </is>
      </c>
      <c r="AB224" s="29" t="inlineStr">
        <is>
          <t>Not found</t>
        </is>
      </c>
      <c r="AC224" s="29" t="inlineStr"/>
      <c r="AD224" s="29" t="inlineStr"/>
      <c r="AE224" s="29" t="inlineStr">
        <is>
          <t>Unknown</t>
        </is>
      </c>
      <c r="AF224" s="29" t="inlineStr"/>
      <c r="AG224" s="29" t="inlineStr">
        <is>
          <t>Unknown</t>
        </is>
      </c>
      <c r="AH224" s="29" t="inlineStr">
        <is>
          <t>Unknown</t>
        </is>
      </c>
      <c r="AI224" s="29" t="inlineStr">
        <is>
          <t>Searched for 'Team-decision alerts' in source code, no evidence found.</t>
        </is>
      </c>
      <c r="AJ224" s="29" t="inlineStr">
        <is>
          <t>Not verified</t>
        </is>
      </c>
      <c r="AK224" s="29" t="inlineStr"/>
      <c r="AL224" s="29" t="inlineStr"/>
      <c r="AM224" s="29" t="inlineStr"/>
      <c r="AN224" s="29" t="inlineStr"/>
      <c r="AO224" s="29" t="inlineStr">
        <is>
          <t>8bc0dcb2a1da1b21368c5536aaeef829d587f316</t>
        </is>
      </c>
      <c r="AP224" s="29" t="inlineStr">
        <is>
          <t>Low</t>
        </is>
      </c>
      <c r="AQ224" s="29" t="inlineStr">
        <is>
          <t>Not assessed</t>
        </is>
      </c>
      <c r="AR224" s="29" t="inlineStr">
        <is>
          <t>Not assessed</t>
        </is>
      </c>
      <c r="AS224" s="29" t="inlineStr">
        <is>
          <t>Not assessed</t>
        </is>
      </c>
      <c r="AT224" s="29" t="inlineStr">
        <is>
          <t>Not assessed</t>
        </is>
      </c>
      <c r="AU224" s="29" t="inlineStr">
        <is>
          <t>Not assessed</t>
        </is>
      </c>
      <c r="AV224" s="29" t="inlineStr">
        <is>
          <t>Not assessed</t>
        </is>
      </c>
      <c r="AW224" s="29" t="inlineStr">
        <is>
          <t>Not assessed</t>
        </is>
      </c>
      <c r="AX224" s="29" t="inlineStr">
        <is>
          <t>Not assessed</t>
        </is>
      </c>
      <c r="AY224" s="29" t="inlineStr">
        <is>
          <t>Not assessed</t>
        </is>
      </c>
      <c r="AZ224" s="29" t="inlineStr">
        <is>
          <t>Not assessed</t>
        </is>
      </c>
      <c r="BA224" s="29" t="inlineStr">
        <is>
          <t>Not assessed</t>
        </is>
      </c>
      <c r="BB224" s="29" t="inlineStr">
        <is>
          <t>Not assessed</t>
        </is>
      </c>
      <c r="BC224" s="29" t="inlineStr">
        <is>
          <t>Not assessed</t>
        </is>
      </c>
      <c r="BD224" s="29" t="inlineStr">
        <is>
          <t>Not assessed</t>
        </is>
      </c>
      <c r="BE224" s="29" t="inlineStr">
        <is>
          <t>Development required</t>
        </is>
      </c>
      <c r="BF224" s="29" t="inlineStr">
        <is>
          <t>Physical implementation is not complete against the stated requirement.; Searched for 'Team-decision alerts' in source code, no evidence found.</t>
        </is>
      </c>
      <c r="BG224" s="29" t="inlineStr">
        <is>
          <t>Source code implementation</t>
        </is>
      </c>
      <c r="BH224" s="29" t="inlineStr"/>
      <c r="BI224" s="29" t="inlineStr"/>
      <c r="BJ224" s="29" t="inlineStr"/>
      <c r="BK224" s="29" t="inlineStr">
        <is>
          <t>Evidence reconciled against the reviewed source revision. No production approval is inferred from implementation or file presence.</t>
        </is>
      </c>
      <c r="BL224" s="29" t="inlineStr">
        <is>
          <t>2026-08-02</t>
        </is>
      </c>
    </row>
    <row r="225" ht="42" customHeight="1">
      <c r="A225" s="29" t="inlineStr">
        <is>
          <t>BLYP-12-009</t>
        </is>
      </c>
      <c r="B225" s="29" t="inlineStr"/>
      <c r="C225" s="29" t="inlineStr">
        <is>
          <t>Notifications and reminders</t>
        </is>
      </c>
      <c r="D225" s="29" t="n">
        <v>12</v>
      </c>
      <c r="E225" s="29" t="n">
        <v>9</v>
      </c>
      <c r="F225" s="29" t="inlineStr">
        <is>
          <t>Feature</t>
        </is>
      </c>
      <c r="G225" s="29" t="inlineStr">
        <is>
          <t>Battle alerts</t>
        </is>
      </c>
      <c r="H225" s="29" t="inlineStr">
        <is>
          <t>Battle alerts</t>
        </is>
      </c>
      <c r="I225" s="29" t="inlineStr">
        <is>
          <t>/home/ubuntu/blyp_product_requirements.md :: Section 12 — Notifications and reminders</t>
        </is>
      </c>
      <c r="J225" s="29" t="inlineStr">
        <is>
          <t>/home/ubuntu/BLYP_COMPLETE_FEATURE_LIST.md:294</t>
        </is>
      </c>
      <c r="K225" s="29" t="inlineStr">
        <is>
          <t>Required</t>
        </is>
      </c>
      <c r="L225" s="29" t="inlineStr">
        <is>
          <t>Applicable BLYP member</t>
        </is>
      </c>
      <c r="M225" s="29" t="inlineStr">
        <is>
          <t>BLYP mobile application and supporting production services</t>
        </is>
      </c>
      <c r="N225" s="29" t="inlineStr">
        <is>
          <t>Battle alerts</t>
        </is>
      </c>
      <c r="O225" s="29" t="inlineStr">
        <is>
          <t>Not explicitly defined in the product source; requires accountable product approval before production sign-off.</t>
        </is>
      </c>
      <c r="P225" s="29" t="inlineStr"/>
      <c r="Q225" s="29" t="inlineStr">
        <is>
          <t>Partial</t>
        </is>
      </c>
      <c r="R225" s="29" t="inlineStr"/>
      <c r="S225" s="29" t="inlineStr">
        <is>
          <t>Not found</t>
        </is>
      </c>
      <c r="T225" s="29" t="inlineStr">
        <is>
          <t>Not found</t>
        </is>
      </c>
      <c r="U225" s="29" t="inlineStr">
        <is>
          <t>Not found</t>
        </is>
      </c>
      <c r="V225" s="29" t="inlineStr">
        <is>
          <t>Not found</t>
        </is>
      </c>
      <c r="W225" s="29" t="inlineStr">
        <is>
          <t>Not found</t>
        </is>
      </c>
      <c r="X225" s="29" t="inlineStr">
        <is>
          <t>Not found</t>
        </is>
      </c>
      <c r="Y225" s="29" t="inlineStr">
        <is>
          <t>Not found</t>
        </is>
      </c>
      <c r="Z225" s="29" t="inlineStr">
        <is>
          <t>Not found</t>
        </is>
      </c>
      <c r="AA225" s="29" t="inlineStr">
        <is>
          <t>Not found</t>
        </is>
      </c>
      <c r="AB225" s="29" t="inlineStr">
        <is>
          <t>Not found</t>
        </is>
      </c>
      <c r="AC225" s="29" t="inlineStr"/>
      <c r="AD225" s="29" t="inlineStr"/>
      <c r="AE225" s="29" t="inlineStr">
        <is>
          <t>Unknown</t>
        </is>
      </c>
      <c r="AF225" s="29" t="inlineStr"/>
      <c r="AG225" s="29" t="inlineStr">
        <is>
          <t>Unknown</t>
        </is>
      </c>
      <c r="AH225" s="29" t="inlineStr">
        <is>
          <t>Unknown</t>
        </is>
      </c>
      <c r="AI225" s="29" t="inlineStr">
        <is>
          <t>Searched for 'Battle alerts' in source code, no evidence found.</t>
        </is>
      </c>
      <c r="AJ225" s="29" t="inlineStr">
        <is>
          <t>Not verified</t>
        </is>
      </c>
      <c r="AK225" s="29" t="inlineStr"/>
      <c r="AL225" s="29" t="inlineStr"/>
      <c r="AM225" s="29" t="inlineStr"/>
      <c r="AN225" s="29" t="inlineStr"/>
      <c r="AO225" s="29" t="inlineStr">
        <is>
          <t>8bc0dcb2a1da1b21368c5536aaeef829d587f316</t>
        </is>
      </c>
      <c r="AP225" s="29" t="inlineStr">
        <is>
          <t>Low</t>
        </is>
      </c>
      <c r="AQ225" s="29" t="inlineStr">
        <is>
          <t>Not assessed</t>
        </is>
      </c>
      <c r="AR225" s="29" t="inlineStr">
        <is>
          <t>Not assessed</t>
        </is>
      </c>
      <c r="AS225" s="29" t="inlineStr">
        <is>
          <t>Not assessed</t>
        </is>
      </c>
      <c r="AT225" s="29" t="inlineStr">
        <is>
          <t>Not assessed</t>
        </is>
      </c>
      <c r="AU225" s="29" t="inlineStr">
        <is>
          <t>Not assessed</t>
        </is>
      </c>
      <c r="AV225" s="29" t="inlineStr">
        <is>
          <t>Not assessed</t>
        </is>
      </c>
      <c r="AW225" s="29" t="inlineStr">
        <is>
          <t>Not assessed</t>
        </is>
      </c>
      <c r="AX225" s="29" t="inlineStr">
        <is>
          <t>Not assessed</t>
        </is>
      </c>
      <c r="AY225" s="29" t="inlineStr">
        <is>
          <t>Not assessed</t>
        </is>
      </c>
      <c r="AZ225" s="29" t="inlineStr">
        <is>
          <t>Not assessed</t>
        </is>
      </c>
      <c r="BA225" s="29" t="inlineStr">
        <is>
          <t>Not assessed</t>
        </is>
      </c>
      <c r="BB225" s="29" t="inlineStr">
        <is>
          <t>Not assessed</t>
        </is>
      </c>
      <c r="BC225" s="29" t="inlineStr">
        <is>
          <t>Not assessed</t>
        </is>
      </c>
      <c r="BD225" s="29" t="inlineStr">
        <is>
          <t>Not assessed</t>
        </is>
      </c>
      <c r="BE225" s="29" t="inlineStr">
        <is>
          <t>Development required</t>
        </is>
      </c>
      <c r="BF225" s="29" t="inlineStr">
        <is>
          <t>Physical implementation is not complete against the stated requirement.; Searched for 'Battle alerts' in source code, no evidence found.</t>
        </is>
      </c>
      <c r="BG225" s="29" t="inlineStr">
        <is>
          <t>Source code implementation</t>
        </is>
      </c>
      <c r="BH225" s="29" t="inlineStr"/>
      <c r="BI225" s="29" t="inlineStr"/>
      <c r="BJ225" s="29" t="inlineStr"/>
      <c r="BK225" s="29" t="inlineStr">
        <is>
          <t>Evidence reconciled against the reviewed source revision. No production approval is inferred from implementation or file presence.</t>
        </is>
      </c>
      <c r="BL225" s="29" t="inlineStr">
        <is>
          <t>2026-08-02</t>
        </is>
      </c>
    </row>
    <row r="226" ht="42" customHeight="1">
      <c r="A226" s="29" t="inlineStr">
        <is>
          <t>BLYP-12-010</t>
        </is>
      </c>
      <c r="B226" s="29" t="inlineStr"/>
      <c r="C226" s="29" t="inlineStr">
        <is>
          <t>Notifications and reminders</t>
        </is>
      </c>
      <c r="D226" s="29" t="n">
        <v>12</v>
      </c>
      <c r="E226" s="29" t="n">
        <v>10</v>
      </c>
      <c r="F226" s="29" t="inlineStr">
        <is>
          <t>Feature</t>
        </is>
      </c>
      <c r="G226" s="29" t="inlineStr">
        <is>
          <t>Gift alerts</t>
        </is>
      </c>
      <c r="H226" s="29" t="inlineStr">
        <is>
          <t>Gift alerts</t>
        </is>
      </c>
      <c r="I226" s="29" t="inlineStr">
        <is>
          <t>/home/ubuntu/blyp_product_requirements.md :: Section 12 — Notifications and reminders</t>
        </is>
      </c>
      <c r="J226" s="29" t="inlineStr">
        <is>
          <t>/home/ubuntu/BLYP_COMPLETE_FEATURE_LIST.md:295</t>
        </is>
      </c>
      <c r="K226" s="29" t="inlineStr">
        <is>
          <t>Required</t>
        </is>
      </c>
      <c r="L226" s="29" t="inlineStr">
        <is>
          <t>Applicable BLYP member</t>
        </is>
      </c>
      <c r="M226" s="29" t="inlineStr">
        <is>
          <t>BLYP mobile application and supporting production services</t>
        </is>
      </c>
      <c r="N226" s="29" t="inlineStr">
        <is>
          <t>Gift alerts</t>
        </is>
      </c>
      <c r="O226" s="29" t="inlineStr">
        <is>
          <t>Not explicitly defined in the product source; requires accountable product approval before production sign-off.</t>
        </is>
      </c>
      <c r="P226" s="29" t="inlineStr"/>
      <c r="Q226" s="29" t="inlineStr">
        <is>
          <t>Partial</t>
        </is>
      </c>
      <c r="R226" s="29" t="inlineStr"/>
      <c r="S226" s="29" t="inlineStr">
        <is>
          <t>Not found</t>
        </is>
      </c>
      <c r="T226" s="29" t="inlineStr">
        <is>
          <t>Not found</t>
        </is>
      </c>
      <c r="U226" s="29" t="inlineStr">
        <is>
          <t>Not found</t>
        </is>
      </c>
      <c r="V226" s="29" t="inlineStr">
        <is>
          <t>Not found</t>
        </is>
      </c>
      <c r="W226" s="29" t="inlineStr">
        <is>
          <t>Not found</t>
        </is>
      </c>
      <c r="X226" s="29" t="inlineStr">
        <is>
          <t>Not found</t>
        </is>
      </c>
      <c r="Y226" s="29" t="inlineStr">
        <is>
          <t>Not found</t>
        </is>
      </c>
      <c r="Z226" s="29" t="inlineStr">
        <is>
          <t>Not found</t>
        </is>
      </c>
      <c r="AA226" s="29" t="inlineStr">
        <is>
          <t>Not found</t>
        </is>
      </c>
      <c r="AB226" s="29" t="inlineStr">
        <is>
          <t>Not found</t>
        </is>
      </c>
      <c r="AC226" s="29" t="inlineStr"/>
      <c r="AD226" s="29" t="inlineStr"/>
      <c r="AE226" s="29" t="inlineStr">
        <is>
          <t>Unknown</t>
        </is>
      </c>
      <c r="AF226" s="29" t="inlineStr"/>
      <c r="AG226" s="29" t="inlineStr">
        <is>
          <t>Unknown</t>
        </is>
      </c>
      <c r="AH226" s="29" t="inlineStr">
        <is>
          <t>Unknown</t>
        </is>
      </c>
      <c r="AI226" s="29" t="inlineStr">
        <is>
          <t>Searched for 'Gift alerts' in source code, no evidence found.</t>
        </is>
      </c>
      <c r="AJ226" s="29" t="inlineStr">
        <is>
          <t>Not verified</t>
        </is>
      </c>
      <c r="AK226" s="29" t="inlineStr"/>
      <c r="AL226" s="29" t="inlineStr"/>
      <c r="AM226" s="29" t="inlineStr"/>
      <c r="AN226" s="29" t="inlineStr"/>
      <c r="AO226" s="29" t="inlineStr">
        <is>
          <t>8bc0dcb2a1da1b21368c5536aaeef829d587f316</t>
        </is>
      </c>
      <c r="AP226" s="29" t="inlineStr">
        <is>
          <t>Low</t>
        </is>
      </c>
      <c r="AQ226" s="29" t="inlineStr">
        <is>
          <t>Not assessed</t>
        </is>
      </c>
      <c r="AR226" s="29" t="inlineStr">
        <is>
          <t>Not assessed</t>
        </is>
      </c>
      <c r="AS226" s="29" t="inlineStr">
        <is>
          <t>Not assessed</t>
        </is>
      </c>
      <c r="AT226" s="29" t="inlineStr">
        <is>
          <t>Not assessed</t>
        </is>
      </c>
      <c r="AU226" s="29" t="inlineStr">
        <is>
          <t>Not assessed</t>
        </is>
      </c>
      <c r="AV226" s="29" t="inlineStr">
        <is>
          <t>Not assessed</t>
        </is>
      </c>
      <c r="AW226" s="29" t="inlineStr">
        <is>
          <t>Not assessed</t>
        </is>
      </c>
      <c r="AX226" s="29" t="inlineStr">
        <is>
          <t>Not assessed</t>
        </is>
      </c>
      <c r="AY226" s="29" t="inlineStr">
        <is>
          <t>Not assessed</t>
        </is>
      </c>
      <c r="AZ226" s="29" t="inlineStr">
        <is>
          <t>Not assessed</t>
        </is>
      </c>
      <c r="BA226" s="29" t="inlineStr">
        <is>
          <t>Not assessed</t>
        </is>
      </c>
      <c r="BB226" s="29" t="inlineStr">
        <is>
          <t>Not assessed</t>
        </is>
      </c>
      <c r="BC226" s="29" t="inlineStr">
        <is>
          <t>Not assessed</t>
        </is>
      </c>
      <c r="BD226" s="29" t="inlineStr">
        <is>
          <t>Not assessed</t>
        </is>
      </c>
      <c r="BE226" s="29" t="inlineStr">
        <is>
          <t>Development required</t>
        </is>
      </c>
      <c r="BF226" s="29" t="inlineStr">
        <is>
          <t>Physical implementation is not complete against the stated requirement.; Searched for 'Gift alerts' in source code, no evidence found.</t>
        </is>
      </c>
      <c r="BG226" s="29" t="inlineStr">
        <is>
          <t>Source code implementation</t>
        </is>
      </c>
      <c r="BH226" s="29" t="inlineStr"/>
      <c r="BI226" s="29" t="inlineStr"/>
      <c r="BJ226" s="29" t="inlineStr"/>
      <c r="BK226" s="29" t="inlineStr">
        <is>
          <t>Evidence reconciled against the reviewed source revision. No production approval is inferred from implementation or file presence.</t>
        </is>
      </c>
      <c r="BL226" s="29" t="inlineStr">
        <is>
          <t>2026-08-02</t>
        </is>
      </c>
    </row>
    <row r="227" ht="42" customHeight="1">
      <c r="A227" s="29" t="inlineStr">
        <is>
          <t>BLYP-12-011</t>
        </is>
      </c>
      <c r="B227" s="29" t="inlineStr"/>
      <c r="C227" s="29" t="inlineStr">
        <is>
          <t>Notifications and reminders</t>
        </is>
      </c>
      <c r="D227" s="29" t="n">
        <v>12</v>
      </c>
      <c r="E227" s="29" t="n">
        <v>11</v>
      </c>
      <c r="F227" s="29" t="inlineStr">
        <is>
          <t>Feature</t>
        </is>
      </c>
      <c r="G227" s="29" t="inlineStr">
        <is>
          <t>Dating-match alerts</t>
        </is>
      </c>
      <c r="H227" s="29" t="inlineStr">
        <is>
          <t>Dating-match alerts</t>
        </is>
      </c>
      <c r="I227" s="29" t="inlineStr">
        <is>
          <t>/home/ubuntu/blyp_product_requirements.md :: Section 12 — Notifications and reminders</t>
        </is>
      </c>
      <c r="J227" s="29" t="inlineStr">
        <is>
          <t>/home/ubuntu/BLYP_COMPLETE_FEATURE_LIST.md:296</t>
        </is>
      </c>
      <c r="K227" s="29" t="inlineStr">
        <is>
          <t>Required</t>
        </is>
      </c>
      <c r="L227" s="29" t="inlineStr">
        <is>
          <t>Applicable BLYP member</t>
        </is>
      </c>
      <c r="M227" s="29" t="inlineStr">
        <is>
          <t>BLYP mobile application and supporting production services</t>
        </is>
      </c>
      <c r="N227" s="29" t="inlineStr">
        <is>
          <t>Dating-match alerts</t>
        </is>
      </c>
      <c r="O227" s="29" t="inlineStr">
        <is>
          <t>Not explicitly defined in the product source; requires accountable product approval before production sign-off.</t>
        </is>
      </c>
      <c r="P227" s="29" t="inlineStr"/>
      <c r="Q227" s="29" t="inlineStr">
        <is>
          <t>No evidence</t>
        </is>
      </c>
      <c r="R227" s="29" t="inlineStr"/>
      <c r="S227" s="29" t="inlineStr">
        <is>
          <t>Not found</t>
        </is>
      </c>
      <c r="T227" s="29" t="inlineStr">
        <is>
          <t>Not found</t>
        </is>
      </c>
      <c r="U227" s="29" t="inlineStr">
        <is>
          <t>Not found</t>
        </is>
      </c>
      <c r="V227" s="29" t="inlineStr">
        <is>
          <t>Not found</t>
        </is>
      </c>
      <c r="W227" s="29" t="inlineStr">
        <is>
          <t>Not found</t>
        </is>
      </c>
      <c r="X227" s="29" t="inlineStr">
        <is>
          <t>Not found</t>
        </is>
      </c>
      <c r="Y227" s="29" t="inlineStr">
        <is>
          <t>Not found</t>
        </is>
      </c>
      <c r="Z227" s="29" t="inlineStr">
        <is>
          <t>Not found</t>
        </is>
      </c>
      <c r="AA227" s="29" t="inlineStr">
        <is>
          <t>Not found</t>
        </is>
      </c>
      <c r="AB227" s="29" t="inlineStr">
        <is>
          <t>Not found</t>
        </is>
      </c>
      <c r="AC227" s="29" t="inlineStr"/>
      <c r="AD227" s="29" t="inlineStr"/>
      <c r="AE227" s="29" t="inlineStr">
        <is>
          <t>Unknown</t>
        </is>
      </c>
      <c r="AF227" s="29" t="inlineStr"/>
      <c r="AG227" s="29" t="inlineStr">
        <is>
          <t>Unknown</t>
        </is>
      </c>
      <c r="AH227" s="29" t="inlineStr">
        <is>
          <t>Unknown</t>
        </is>
      </c>
      <c r="AI227" s="29" t="inlineStr">
        <is>
          <t>Searched for 'Dating-match alerts' in source code, no evidence found.</t>
        </is>
      </c>
      <c r="AJ227" s="29" t="inlineStr">
        <is>
          <t>Not verified</t>
        </is>
      </c>
      <c r="AK227" s="29" t="inlineStr"/>
      <c r="AL227" s="29" t="inlineStr"/>
      <c r="AM227" s="29" t="inlineStr"/>
      <c r="AN227" s="29" t="inlineStr"/>
      <c r="AO227" s="29" t="inlineStr">
        <is>
          <t>8bc0dcb2a1da1b21368c5536aaeef829d587f316</t>
        </is>
      </c>
      <c r="AP227" s="29" t="inlineStr">
        <is>
          <t>Low</t>
        </is>
      </c>
      <c r="AQ227" s="29" t="inlineStr">
        <is>
          <t>Not assessed</t>
        </is>
      </c>
      <c r="AR227" s="29" t="inlineStr">
        <is>
          <t>Not assessed</t>
        </is>
      </c>
      <c r="AS227" s="29" t="inlineStr">
        <is>
          <t>Not assessed</t>
        </is>
      </c>
      <c r="AT227" s="29" t="inlineStr">
        <is>
          <t>Not assessed</t>
        </is>
      </c>
      <c r="AU227" s="29" t="inlineStr">
        <is>
          <t>Not assessed</t>
        </is>
      </c>
      <c r="AV227" s="29" t="inlineStr">
        <is>
          <t>Not assessed</t>
        </is>
      </c>
      <c r="AW227" s="29" t="inlineStr">
        <is>
          <t>Not assessed</t>
        </is>
      </c>
      <c r="AX227" s="29" t="inlineStr">
        <is>
          <t>Not assessed</t>
        </is>
      </c>
      <c r="AY227" s="29" t="inlineStr">
        <is>
          <t>Not assessed</t>
        </is>
      </c>
      <c r="AZ227" s="29" t="inlineStr">
        <is>
          <t>Not assessed</t>
        </is>
      </c>
      <c r="BA227" s="29" t="inlineStr">
        <is>
          <t>Not assessed</t>
        </is>
      </c>
      <c r="BB227" s="29" t="inlineStr">
        <is>
          <t>Not assessed</t>
        </is>
      </c>
      <c r="BC227" s="29" t="inlineStr">
        <is>
          <t>Not assessed</t>
        </is>
      </c>
      <c r="BD227" s="29" t="inlineStr">
        <is>
          <t>Not assessed</t>
        </is>
      </c>
      <c r="BE227" s="29" t="inlineStr">
        <is>
          <t>Development required</t>
        </is>
      </c>
      <c r="BF227" s="29" t="inlineStr">
        <is>
          <t>Physical implementation is not complete against the stated requirement.; Searched for 'Dating-match alerts' in source code, no evidence found.</t>
        </is>
      </c>
      <c r="BG227" s="29" t="inlineStr">
        <is>
          <t>Source code implementation</t>
        </is>
      </c>
      <c r="BH227" s="29" t="inlineStr"/>
      <c r="BI227" s="29" t="inlineStr"/>
      <c r="BJ227" s="29" t="inlineStr"/>
      <c r="BK227" s="29" t="inlineStr">
        <is>
          <t>Evidence reconciled against the reviewed source revision. No production approval is inferred from implementation or file presence.</t>
        </is>
      </c>
      <c r="BL227" s="29" t="inlineStr">
        <is>
          <t>2026-08-02</t>
        </is>
      </c>
    </row>
    <row r="228" ht="42" customHeight="1">
      <c r="A228" s="29" t="inlineStr">
        <is>
          <t>BLYP-12-012</t>
        </is>
      </c>
      <c r="B228" s="29" t="inlineStr"/>
      <c r="C228" s="29" t="inlineStr">
        <is>
          <t>Notifications and reminders</t>
        </is>
      </c>
      <c r="D228" s="29" t="n">
        <v>12</v>
      </c>
      <c r="E228" s="29" t="n">
        <v>12</v>
      </c>
      <c r="F228" s="29" t="inlineStr">
        <is>
          <t>Feature</t>
        </is>
      </c>
      <c r="G228" s="29" t="inlineStr">
        <is>
          <t>Report-outcome alerts</t>
        </is>
      </c>
      <c r="H228" s="29" t="inlineStr">
        <is>
          <t>Report-outcome alerts</t>
        </is>
      </c>
      <c r="I228" s="29" t="inlineStr">
        <is>
          <t>/home/ubuntu/blyp_product_requirements.md :: Section 12 — Notifications and reminders</t>
        </is>
      </c>
      <c r="J228" s="29" t="inlineStr">
        <is>
          <t>/home/ubuntu/BLYP_COMPLETE_FEATURE_LIST.md:297</t>
        </is>
      </c>
      <c r="K228" s="29" t="inlineStr">
        <is>
          <t>Required</t>
        </is>
      </c>
      <c r="L228" s="29" t="inlineStr">
        <is>
          <t>Applicable BLYP member</t>
        </is>
      </c>
      <c r="M228" s="29" t="inlineStr">
        <is>
          <t>BLYP mobile application and supporting production services</t>
        </is>
      </c>
      <c r="N228" s="29" t="inlineStr">
        <is>
          <t>Report-outcome alerts</t>
        </is>
      </c>
      <c r="O228" s="29" t="inlineStr">
        <is>
          <t>Not explicitly defined in the product source; requires accountable product approval before production sign-off.</t>
        </is>
      </c>
      <c r="P228" s="29" t="inlineStr"/>
      <c r="Q228" s="29" t="inlineStr">
        <is>
          <t>No evidence</t>
        </is>
      </c>
      <c r="R228" s="29" t="inlineStr"/>
      <c r="S228" s="29" t="inlineStr">
        <is>
          <t>Not found</t>
        </is>
      </c>
      <c r="T228" s="29" t="inlineStr">
        <is>
          <t>Not found</t>
        </is>
      </c>
      <c r="U228" s="29" t="inlineStr">
        <is>
          <t>Not found</t>
        </is>
      </c>
      <c r="V228" s="29" t="inlineStr">
        <is>
          <t>Not found</t>
        </is>
      </c>
      <c r="W228" s="29" t="inlineStr">
        <is>
          <t>Not found</t>
        </is>
      </c>
      <c r="X228" s="29" t="inlineStr">
        <is>
          <t>Not found</t>
        </is>
      </c>
      <c r="Y228" s="29" t="inlineStr">
        <is>
          <t>Not found</t>
        </is>
      </c>
      <c r="Z228" s="29" t="inlineStr">
        <is>
          <t>Not found</t>
        </is>
      </c>
      <c r="AA228" s="29" t="inlineStr">
        <is>
          <t>Not found</t>
        </is>
      </c>
      <c r="AB228" s="29" t="inlineStr">
        <is>
          <t>Not found</t>
        </is>
      </c>
      <c r="AC228" s="29" t="inlineStr"/>
      <c r="AD228" s="29" t="inlineStr"/>
      <c r="AE228" s="29" t="inlineStr">
        <is>
          <t>Unknown</t>
        </is>
      </c>
      <c r="AF228" s="29" t="inlineStr"/>
      <c r="AG228" s="29" t="inlineStr">
        <is>
          <t>Unknown</t>
        </is>
      </c>
      <c r="AH228" s="29" t="inlineStr">
        <is>
          <t>Unknown</t>
        </is>
      </c>
      <c r="AI228" s="29" t="inlineStr">
        <is>
          <t>Searched for 'Report-outcome alerts' in source code, no evidence found.</t>
        </is>
      </c>
      <c r="AJ228" s="29" t="inlineStr">
        <is>
          <t>Not verified</t>
        </is>
      </c>
      <c r="AK228" s="29" t="inlineStr"/>
      <c r="AL228" s="29" t="inlineStr"/>
      <c r="AM228" s="29" t="inlineStr"/>
      <c r="AN228" s="29" t="inlineStr"/>
      <c r="AO228" s="29" t="inlineStr">
        <is>
          <t>8bc0dcb2a1da1b21368c5536aaeef829d587f316</t>
        </is>
      </c>
      <c r="AP228" s="29" t="inlineStr">
        <is>
          <t>Low</t>
        </is>
      </c>
      <c r="AQ228" s="29" t="inlineStr">
        <is>
          <t>Not assessed</t>
        </is>
      </c>
      <c r="AR228" s="29" t="inlineStr">
        <is>
          <t>Not assessed</t>
        </is>
      </c>
      <c r="AS228" s="29" t="inlineStr">
        <is>
          <t>Not assessed</t>
        </is>
      </c>
      <c r="AT228" s="29" t="inlineStr">
        <is>
          <t>Not assessed</t>
        </is>
      </c>
      <c r="AU228" s="29" t="inlineStr">
        <is>
          <t>Not assessed</t>
        </is>
      </c>
      <c r="AV228" s="29" t="inlineStr">
        <is>
          <t>Not assessed</t>
        </is>
      </c>
      <c r="AW228" s="29" t="inlineStr">
        <is>
          <t>Not assessed</t>
        </is>
      </c>
      <c r="AX228" s="29" t="inlineStr">
        <is>
          <t>Not assessed</t>
        </is>
      </c>
      <c r="AY228" s="29" t="inlineStr">
        <is>
          <t>Not assessed</t>
        </is>
      </c>
      <c r="AZ228" s="29" t="inlineStr">
        <is>
          <t>Not assessed</t>
        </is>
      </c>
      <c r="BA228" s="29" t="inlineStr">
        <is>
          <t>Not assessed</t>
        </is>
      </c>
      <c r="BB228" s="29" t="inlineStr">
        <is>
          <t>Not assessed</t>
        </is>
      </c>
      <c r="BC228" s="29" t="inlineStr">
        <is>
          <t>Not assessed</t>
        </is>
      </c>
      <c r="BD228" s="29" t="inlineStr">
        <is>
          <t>Not assessed</t>
        </is>
      </c>
      <c r="BE228" s="29" t="inlineStr">
        <is>
          <t>Development required</t>
        </is>
      </c>
      <c r="BF228" s="29" t="inlineStr">
        <is>
          <t>Physical implementation is not complete against the stated requirement.; Searched for 'Report-outcome alerts' in source code, no evidence found.</t>
        </is>
      </c>
      <c r="BG228" s="29" t="inlineStr">
        <is>
          <t>Source code implementation</t>
        </is>
      </c>
      <c r="BH228" s="29" t="inlineStr"/>
      <c r="BI228" s="29" t="inlineStr"/>
      <c r="BJ228" s="29" t="inlineStr"/>
      <c r="BK228" s="29" t="inlineStr">
        <is>
          <t>Evidence reconciled against the reviewed source revision. No production approval is inferred from implementation or file presence.</t>
        </is>
      </c>
      <c r="BL228" s="29" t="inlineStr">
        <is>
          <t>2026-08-02</t>
        </is>
      </c>
    </row>
    <row r="229" ht="42" customHeight="1">
      <c r="A229" s="29" t="inlineStr">
        <is>
          <t>BLYP-12-013</t>
        </is>
      </c>
      <c r="B229" s="29" t="inlineStr"/>
      <c r="C229" s="29" t="inlineStr">
        <is>
          <t>Notifications and reminders</t>
        </is>
      </c>
      <c r="D229" s="29" t="n">
        <v>12</v>
      </c>
      <c r="E229" s="29" t="n">
        <v>13</v>
      </c>
      <c r="F229" s="29" t="inlineStr">
        <is>
          <t>Feature</t>
        </is>
      </c>
      <c r="G229" s="29" t="inlineStr">
        <is>
          <t>BLYP Bar reminder alerts</t>
        </is>
      </c>
      <c r="H229" s="29" t="inlineStr">
        <is>
          <t>BLYP Bar reminder alerts</t>
        </is>
      </c>
      <c r="I229" s="29" t="inlineStr">
        <is>
          <t>/home/ubuntu/blyp_product_requirements.md :: Section 12 — Notifications and reminders</t>
        </is>
      </c>
      <c r="J229" s="29" t="inlineStr">
        <is>
          <t>/home/ubuntu/BLYP_COMPLETE_FEATURE_LIST.md:298</t>
        </is>
      </c>
      <c r="K229" s="29" t="inlineStr">
        <is>
          <t>Required</t>
        </is>
      </c>
      <c r="L229" s="29" t="inlineStr">
        <is>
          <t>Applicable BLYP member</t>
        </is>
      </c>
      <c r="M229" s="29" t="inlineStr">
        <is>
          <t>BLYP mobile application and supporting production services</t>
        </is>
      </c>
      <c r="N229" s="29" t="inlineStr">
        <is>
          <t>BLYP Bar reminder alerts</t>
        </is>
      </c>
      <c r="O229" s="29" t="inlineStr">
        <is>
          <t>Not explicitly defined in the product source; requires accountable product approval before production sign-off.</t>
        </is>
      </c>
      <c r="P229" s="29" t="inlineStr"/>
      <c r="Q229" s="29" t="inlineStr">
        <is>
          <t>Yes</t>
        </is>
      </c>
      <c r="R229" s="29" t="inlineStr"/>
      <c r="S229" s="29" t="inlineStr">
        <is>
          <t>Not found</t>
        </is>
      </c>
      <c r="T229" s="29" t="inlineStr">
        <is>
          <t>Not found</t>
        </is>
      </c>
      <c r="U229" s="29" t="inlineStr">
        <is>
          <t>Not found</t>
        </is>
      </c>
      <c r="V229" s="29" t="inlineStr">
        <is>
          <t>Not found</t>
        </is>
      </c>
      <c r="W229" s="29" t="inlineStr">
        <is>
          <t>Not found</t>
        </is>
      </c>
      <c r="X229" s="29" t="inlineStr">
        <is>
          <t>Not found</t>
        </is>
      </c>
      <c r="Y229" s="29" t="inlineStr">
        <is>
          <t>Not found</t>
        </is>
      </c>
      <c r="Z229" s="29" t="inlineStr">
        <is>
          <t>Not found</t>
        </is>
      </c>
      <c r="AA229" s="29" t="inlineStr">
        <is>
          <t>Not found</t>
        </is>
      </c>
      <c r="AB229" s="29" t="inlineStr">
        <is>
          <t>Not found</t>
        </is>
      </c>
      <c r="AC229" s="29" t="inlineStr"/>
      <c r="AD229" s="29" t="inlineStr"/>
      <c r="AE229" s="29" t="inlineStr">
        <is>
          <t>Unknown</t>
        </is>
      </c>
      <c r="AF229" s="29" t="inlineStr"/>
      <c r="AG229" s="29" t="inlineStr">
        <is>
          <t>Unknown</t>
        </is>
      </c>
      <c r="AH229" s="29" t="inlineStr">
        <is>
          <t>Unknown</t>
        </is>
      </c>
      <c r="AI229" s="29" t="inlineStr">
        <is>
          <t>Searched for 'BLYP Bar reminder alerts' in source code, no evidence found.</t>
        </is>
      </c>
      <c r="AJ229" s="29" t="inlineStr">
        <is>
          <t>Not verified</t>
        </is>
      </c>
      <c r="AK229" s="29" t="inlineStr"/>
      <c r="AL229" s="29" t="inlineStr"/>
      <c r="AM229" s="29" t="inlineStr"/>
      <c r="AN229" s="29" t="inlineStr"/>
      <c r="AO229" s="29" t="inlineStr">
        <is>
          <t>8bc0dcb2a1da1b21368c5536aaeef829d587f316</t>
        </is>
      </c>
      <c r="AP229" s="29" t="inlineStr">
        <is>
          <t>Low</t>
        </is>
      </c>
      <c r="AQ229" s="29" t="inlineStr">
        <is>
          <t>Not assessed</t>
        </is>
      </c>
      <c r="AR229" s="29" t="inlineStr">
        <is>
          <t>Not assessed</t>
        </is>
      </c>
      <c r="AS229" s="29" t="inlineStr">
        <is>
          <t>Not assessed</t>
        </is>
      </c>
      <c r="AT229" s="29" t="inlineStr">
        <is>
          <t>Not assessed</t>
        </is>
      </c>
      <c r="AU229" s="29" t="inlineStr">
        <is>
          <t>Not assessed</t>
        </is>
      </c>
      <c r="AV229" s="29" t="inlineStr">
        <is>
          <t>Not assessed</t>
        </is>
      </c>
      <c r="AW229" s="29" t="inlineStr">
        <is>
          <t>Not assessed</t>
        </is>
      </c>
      <c r="AX229" s="29" t="inlineStr">
        <is>
          <t>Not assessed</t>
        </is>
      </c>
      <c r="AY229" s="29" t="inlineStr">
        <is>
          <t>Not assessed</t>
        </is>
      </c>
      <c r="AZ229" s="29" t="inlineStr">
        <is>
          <t>Not assessed</t>
        </is>
      </c>
      <c r="BA229" s="29" t="inlineStr">
        <is>
          <t>Not assessed</t>
        </is>
      </c>
      <c r="BB229" s="29" t="inlineStr">
        <is>
          <t>Not assessed</t>
        </is>
      </c>
      <c r="BC229" s="29" t="inlineStr">
        <is>
          <t>Not assessed</t>
        </is>
      </c>
      <c r="BD229" s="29" t="inlineStr">
        <is>
          <t>Not assessed</t>
        </is>
      </c>
      <c r="BE229" s="29" t="inlineStr">
        <is>
          <t>Development required</t>
        </is>
      </c>
      <c r="BF229" s="29" t="inlineStr">
        <is>
          <t>Physical implementation is not complete against the stated requirement.; Searched for 'BLYP Bar reminder alerts' in source code, no evidence found.</t>
        </is>
      </c>
      <c r="BG229" s="29" t="inlineStr">
        <is>
          <t>Source code implementation</t>
        </is>
      </c>
      <c r="BH229" s="29" t="inlineStr"/>
      <c r="BI229" s="29" t="inlineStr"/>
      <c r="BJ229" s="29" t="inlineStr"/>
      <c r="BK229" s="29" t="inlineStr">
        <is>
          <t>Evidence reconciled against the reviewed source revision. No production approval is inferred from implementation or file presence.</t>
        </is>
      </c>
      <c r="BL229" s="29" t="inlineStr">
        <is>
          <t>2026-08-02</t>
        </is>
      </c>
    </row>
    <row r="230" ht="42" customHeight="1">
      <c r="A230" s="29" t="inlineStr">
        <is>
          <t>BLYP-12-014</t>
        </is>
      </c>
      <c r="B230" s="29" t="inlineStr"/>
      <c r="C230" s="29" t="inlineStr">
        <is>
          <t>Notifications and reminders</t>
        </is>
      </c>
      <c r="D230" s="29" t="n">
        <v>12</v>
      </c>
      <c r="E230" s="29" t="n">
        <v>14</v>
      </c>
      <c r="F230" s="29" t="inlineStr">
        <is>
          <t>Feature</t>
        </is>
      </c>
      <c r="G230" s="29" t="inlineStr">
        <is>
          <t>Push notifications</t>
        </is>
      </c>
      <c r="H230" s="29" t="inlineStr">
        <is>
          <t>Push notifications</t>
        </is>
      </c>
      <c r="I230" s="29" t="inlineStr">
        <is>
          <t>/home/ubuntu/blyp_product_requirements.md :: Section 12 — Notifications and reminders</t>
        </is>
      </c>
      <c r="J230" s="29" t="inlineStr">
        <is>
          <t>/home/ubuntu/BLYP_COMPLETE_FEATURE_LIST.md:299</t>
        </is>
      </c>
      <c r="K230" s="29" t="inlineStr">
        <is>
          <t>Required</t>
        </is>
      </c>
      <c r="L230" s="29" t="inlineStr">
        <is>
          <t>Applicable BLYP member</t>
        </is>
      </c>
      <c r="M230" s="29" t="inlineStr">
        <is>
          <t>BLYP mobile application and supporting production services</t>
        </is>
      </c>
      <c r="N230" s="29" t="inlineStr">
        <is>
          <t>Push notifications</t>
        </is>
      </c>
      <c r="O230" s="29" t="inlineStr">
        <is>
          <t>Not explicitly defined in the product source; requires accountable product approval before production sign-off.</t>
        </is>
      </c>
      <c r="P230" s="29" t="inlineStr"/>
      <c r="Q230" s="29" t="inlineStr">
        <is>
          <t>No evidence</t>
        </is>
      </c>
      <c r="R230" s="29" t="inlineStr">
        <is>
          <t>not explicitly wired in the visible code.</t>
        </is>
      </c>
      <c r="S230" s="29" t="inlineStr">
        <is>
          <t>Not found</t>
        </is>
      </c>
      <c r="T230" s="29" t="inlineStr">
        <is>
          <t>Not found</t>
        </is>
      </c>
      <c r="U230" s="29" t="inlineStr">
        <is>
          <t>Not found</t>
        </is>
      </c>
      <c r="V230" s="29" t="inlineStr">
        <is>
          <t>Not found</t>
        </is>
      </c>
      <c r="W230" s="29" t="inlineStr">
        <is>
          <t>Not found</t>
        </is>
      </c>
      <c r="X230" s="29" t="inlineStr">
        <is>
          <t>Not found</t>
        </is>
      </c>
      <c r="Y230" s="29" t="inlineStr">
        <is>
          <t>Not found</t>
        </is>
      </c>
      <c r="Z230" s="29" t="inlineStr">
        <is>
          <t>Not found</t>
        </is>
      </c>
      <c r="AA230" s="29" t="inlineStr">
        <is>
          <t>Not found</t>
        </is>
      </c>
      <c r="AB230" s="29" t="inlineStr">
        <is>
          <t>Not found</t>
        </is>
      </c>
      <c r="AC230" s="29" t="inlineStr"/>
      <c r="AD230" s="29" t="inlineStr"/>
      <c r="AE230" s="29" t="inlineStr">
        <is>
          <t>Unknown</t>
        </is>
      </c>
      <c r="AF230" s="29" t="inlineStr"/>
      <c r="AG230" s="29" t="inlineStr">
        <is>
          <t>Unknown</t>
        </is>
      </c>
      <c r="AH230" s="29" t="inlineStr">
        <is>
          <t>Unknown</t>
        </is>
      </c>
      <c r="AI230" s="29" t="inlineStr">
        <is>
          <t>Searched for 'Push notifications' in source code, no evidence found.</t>
        </is>
      </c>
      <c r="AJ230" s="29" t="inlineStr">
        <is>
          <t>Not verified</t>
        </is>
      </c>
      <c r="AK230" s="29" t="inlineStr"/>
      <c r="AL230" s="29" t="inlineStr"/>
      <c r="AM230" s="29" t="inlineStr"/>
      <c r="AN230" s="29" t="inlineStr"/>
      <c r="AO230" s="29" t="inlineStr">
        <is>
          <t>8bc0dcb2a1da1b21368c5536aaeef829d587f316</t>
        </is>
      </c>
      <c r="AP230" s="29" t="inlineStr">
        <is>
          <t>Low</t>
        </is>
      </c>
      <c r="AQ230" s="29" t="inlineStr">
        <is>
          <t>Not assessed</t>
        </is>
      </c>
      <c r="AR230" s="29" t="inlineStr">
        <is>
          <t>Not assessed</t>
        </is>
      </c>
      <c r="AS230" s="29" t="inlineStr">
        <is>
          <t>Not assessed</t>
        </is>
      </c>
      <c r="AT230" s="29" t="inlineStr">
        <is>
          <t>Not assessed</t>
        </is>
      </c>
      <c r="AU230" s="29" t="inlineStr">
        <is>
          <t>Not assessed</t>
        </is>
      </c>
      <c r="AV230" s="29" t="inlineStr">
        <is>
          <t>Not assessed</t>
        </is>
      </c>
      <c r="AW230" s="29" t="inlineStr">
        <is>
          <t>Not assessed</t>
        </is>
      </c>
      <c r="AX230" s="29" t="inlineStr">
        <is>
          <t>Not assessed</t>
        </is>
      </c>
      <c r="AY230" s="29" t="inlineStr">
        <is>
          <t>Not assessed</t>
        </is>
      </c>
      <c r="AZ230" s="29" t="inlineStr">
        <is>
          <t>Not assessed</t>
        </is>
      </c>
      <c r="BA230" s="29" t="inlineStr">
        <is>
          <t>Not assessed</t>
        </is>
      </c>
      <c r="BB230" s="29" t="inlineStr">
        <is>
          <t>Not assessed</t>
        </is>
      </c>
      <c r="BC230" s="29" t="inlineStr">
        <is>
          <t>Not assessed</t>
        </is>
      </c>
      <c r="BD230" s="29" t="inlineStr">
        <is>
          <t>Not assessed</t>
        </is>
      </c>
      <c r="BE230" s="29" t="inlineStr">
        <is>
          <t>Development required</t>
        </is>
      </c>
      <c r="BF230" s="29" t="inlineStr">
        <is>
          <t>Physical implementation is not complete against the stated requirement.; Searched for 'Push notifications' in source code, no evidence found.</t>
        </is>
      </c>
      <c r="BG230" s="29" t="inlineStr">
        <is>
          <t>Source code implementation</t>
        </is>
      </c>
      <c r="BH230" s="29" t="inlineStr"/>
      <c r="BI230" s="29" t="inlineStr"/>
      <c r="BJ230" s="29" t="inlineStr"/>
      <c r="BK230" s="29" t="inlineStr">
        <is>
          <t>Evidence reconciled against the reviewed source revision. No production approval is inferred from implementation or file presence.</t>
        </is>
      </c>
      <c r="BL230" s="29" t="inlineStr">
        <is>
          <t>2026-08-02</t>
        </is>
      </c>
    </row>
    <row r="231" ht="42" customHeight="1">
      <c r="A231" s="29" t="inlineStr">
        <is>
          <t>BLYP-12-015</t>
        </is>
      </c>
      <c r="B231" s="29" t="inlineStr"/>
      <c r="C231" s="29" t="inlineStr">
        <is>
          <t>Notifications and reminders</t>
        </is>
      </c>
      <c r="D231" s="29" t="n">
        <v>12</v>
      </c>
      <c r="E231" s="29" t="n">
        <v>15</v>
      </c>
      <c r="F231" s="29" t="inlineStr">
        <is>
          <t>Feature</t>
        </is>
      </c>
      <c r="G231" s="29" t="inlineStr">
        <is>
          <t>Category-level notification preferences</t>
        </is>
      </c>
      <c r="H231" s="29" t="inlineStr">
        <is>
          <t>Category-level notification preferences</t>
        </is>
      </c>
      <c r="I231" s="29" t="inlineStr">
        <is>
          <t>/home/ubuntu/blyp_product_requirements.md :: Section 12 — Notifications and reminders</t>
        </is>
      </c>
      <c r="J231" s="29" t="inlineStr">
        <is>
          <t>/home/ubuntu/BLYP_COMPLETE_FEATURE_LIST.md:300</t>
        </is>
      </c>
      <c r="K231" s="29" t="inlineStr">
        <is>
          <t>Required</t>
        </is>
      </c>
      <c r="L231" s="29" t="inlineStr">
        <is>
          <t>Applicable BLYP member</t>
        </is>
      </c>
      <c r="M231" s="29" t="inlineStr">
        <is>
          <t>BLYP mobile application and supporting production services</t>
        </is>
      </c>
      <c r="N231" s="29" t="inlineStr">
        <is>
          <t>Category-level notification preferences</t>
        </is>
      </c>
      <c r="O231" s="29" t="inlineStr">
        <is>
          <t>Not explicitly defined in the product source; requires accountable product approval before production sign-off.</t>
        </is>
      </c>
      <c r="P231" s="29" t="inlineStr"/>
      <c r="Q231" s="29" t="inlineStr">
        <is>
          <t>No evidence</t>
        </is>
      </c>
      <c r="R231" s="29" t="inlineStr"/>
      <c r="S231" s="29" t="inlineStr">
        <is>
          <t>Not found</t>
        </is>
      </c>
      <c r="T231" s="29" t="inlineStr">
        <is>
          <t>Not found</t>
        </is>
      </c>
      <c r="U231" s="29" t="inlineStr">
        <is>
          <t>Not found</t>
        </is>
      </c>
      <c r="V231" s="29" t="inlineStr">
        <is>
          <t>Not found</t>
        </is>
      </c>
      <c r="W231" s="29" t="inlineStr">
        <is>
          <t>Not found</t>
        </is>
      </c>
      <c r="X231" s="29" t="inlineStr">
        <is>
          <t>Not found</t>
        </is>
      </c>
      <c r="Y231" s="29" t="inlineStr">
        <is>
          <t>Not found</t>
        </is>
      </c>
      <c r="Z231" s="29" t="inlineStr">
        <is>
          <t>Not found</t>
        </is>
      </c>
      <c r="AA231" s="29" t="inlineStr">
        <is>
          <t>Not found</t>
        </is>
      </c>
      <c r="AB231" s="29" t="inlineStr">
        <is>
          <t>Not found</t>
        </is>
      </c>
      <c r="AC231" s="29" t="inlineStr"/>
      <c r="AD231" s="29" t="inlineStr"/>
      <c r="AE231" s="29" t="inlineStr">
        <is>
          <t>Unknown</t>
        </is>
      </c>
      <c r="AF231" s="29" t="inlineStr"/>
      <c r="AG231" s="29" t="inlineStr">
        <is>
          <t>Unknown</t>
        </is>
      </c>
      <c r="AH231" s="29" t="inlineStr">
        <is>
          <t>Unknown</t>
        </is>
      </c>
      <c r="AI231" s="29" t="inlineStr">
        <is>
          <t>Searched for 'Category-level notification preferences' in source code, no evidence found.</t>
        </is>
      </c>
      <c r="AJ231" s="29" t="inlineStr">
        <is>
          <t>Not verified</t>
        </is>
      </c>
      <c r="AK231" s="29" t="inlineStr"/>
      <c r="AL231" s="29" t="inlineStr"/>
      <c r="AM231" s="29" t="inlineStr"/>
      <c r="AN231" s="29" t="inlineStr"/>
      <c r="AO231" s="29" t="inlineStr">
        <is>
          <t>8bc0dcb2a1da1b21368c5536aaeef829d587f316</t>
        </is>
      </c>
      <c r="AP231" s="29" t="inlineStr">
        <is>
          <t>Low</t>
        </is>
      </c>
      <c r="AQ231" s="29" t="inlineStr">
        <is>
          <t>Not assessed</t>
        </is>
      </c>
      <c r="AR231" s="29" t="inlineStr">
        <is>
          <t>Not assessed</t>
        </is>
      </c>
      <c r="AS231" s="29" t="inlineStr">
        <is>
          <t>Not assessed</t>
        </is>
      </c>
      <c r="AT231" s="29" t="inlineStr">
        <is>
          <t>Not assessed</t>
        </is>
      </c>
      <c r="AU231" s="29" t="inlineStr">
        <is>
          <t>Not assessed</t>
        </is>
      </c>
      <c r="AV231" s="29" t="inlineStr">
        <is>
          <t>Not assessed</t>
        </is>
      </c>
      <c r="AW231" s="29" t="inlineStr">
        <is>
          <t>Not assessed</t>
        </is>
      </c>
      <c r="AX231" s="29" t="inlineStr">
        <is>
          <t>Not assessed</t>
        </is>
      </c>
      <c r="AY231" s="29" t="inlineStr">
        <is>
          <t>Not assessed</t>
        </is>
      </c>
      <c r="AZ231" s="29" t="inlineStr">
        <is>
          <t>Not assessed</t>
        </is>
      </c>
      <c r="BA231" s="29" t="inlineStr">
        <is>
          <t>Not assessed</t>
        </is>
      </c>
      <c r="BB231" s="29" t="inlineStr">
        <is>
          <t>Not assessed</t>
        </is>
      </c>
      <c r="BC231" s="29" t="inlineStr">
        <is>
          <t>Not assessed</t>
        </is>
      </c>
      <c r="BD231" s="29" t="inlineStr">
        <is>
          <t>Not assessed</t>
        </is>
      </c>
      <c r="BE231" s="29" t="inlineStr">
        <is>
          <t>Development required</t>
        </is>
      </c>
      <c r="BF231" s="29" t="inlineStr">
        <is>
          <t>Physical implementation is not complete against the stated requirement.; Searched for 'Category-level notification preferences' in source code, no evidence found.</t>
        </is>
      </c>
      <c r="BG231" s="29" t="inlineStr">
        <is>
          <t>Source code implementation</t>
        </is>
      </c>
      <c r="BH231" s="29" t="inlineStr"/>
      <c r="BI231" s="29" t="inlineStr"/>
      <c r="BJ231" s="29" t="inlineStr"/>
      <c r="BK231" s="29" t="inlineStr">
        <is>
          <t>Evidence reconciled against the reviewed source revision. No production approval is inferred from implementation or file presence.</t>
        </is>
      </c>
      <c r="BL231" s="29" t="inlineStr">
        <is>
          <t>2026-08-02</t>
        </is>
      </c>
    </row>
    <row r="232" ht="42" customHeight="1">
      <c r="A232" s="29" t="inlineStr">
        <is>
          <t>BLYP-12-016</t>
        </is>
      </c>
      <c r="B232" s="29" t="inlineStr"/>
      <c r="C232" s="29" t="inlineStr">
        <is>
          <t>Notifications and reminders</t>
        </is>
      </c>
      <c r="D232" s="29" t="n">
        <v>12</v>
      </c>
      <c r="E232" s="29" t="n">
        <v>16</v>
      </c>
      <c r="F232" s="29" t="inlineStr">
        <is>
          <t>Feature</t>
        </is>
      </c>
      <c r="G232" s="29" t="inlineStr">
        <is>
          <t>Quiet hours</t>
        </is>
      </c>
      <c r="H232" s="29" t="inlineStr">
        <is>
          <t>Quiet hours</t>
        </is>
      </c>
      <c r="I232" s="29" t="inlineStr">
        <is>
          <t>/home/ubuntu/blyp_product_requirements.md :: Section 12 — Notifications and reminders</t>
        </is>
      </c>
      <c r="J232" s="29" t="inlineStr">
        <is>
          <t>/home/ubuntu/BLYP_COMPLETE_FEATURE_LIST.md:301</t>
        </is>
      </c>
      <c r="K232" s="29" t="inlineStr">
        <is>
          <t>Required</t>
        </is>
      </c>
      <c r="L232" s="29" t="inlineStr">
        <is>
          <t>Applicable BLYP member</t>
        </is>
      </c>
      <c r="M232" s="29" t="inlineStr">
        <is>
          <t>BLYP mobile application and supporting production services</t>
        </is>
      </c>
      <c r="N232" s="29" t="inlineStr">
        <is>
          <t>Quiet hours</t>
        </is>
      </c>
      <c r="O232" s="29" t="inlineStr">
        <is>
          <t>Not explicitly defined in the product source; requires accountable product approval before production sign-off.</t>
        </is>
      </c>
      <c r="P232" s="29" t="inlineStr"/>
      <c r="Q232" s="29" t="inlineStr">
        <is>
          <t>No evidence</t>
        </is>
      </c>
      <c r="R232" s="29" t="inlineStr"/>
      <c r="S232" s="29" t="inlineStr">
        <is>
          <t>Not found</t>
        </is>
      </c>
      <c r="T232" s="29" t="inlineStr">
        <is>
          <t>Not found</t>
        </is>
      </c>
      <c r="U232" s="29" t="inlineStr">
        <is>
          <t>Not found</t>
        </is>
      </c>
      <c r="V232" s="29" t="inlineStr">
        <is>
          <t>Not found</t>
        </is>
      </c>
      <c r="W232" s="29" t="inlineStr">
        <is>
          <t>Not found</t>
        </is>
      </c>
      <c r="X232" s="29" t="inlineStr">
        <is>
          <t>Not found</t>
        </is>
      </c>
      <c r="Y232" s="29" t="inlineStr">
        <is>
          <t>Not found</t>
        </is>
      </c>
      <c r="Z232" s="29" t="inlineStr">
        <is>
          <t>Not found</t>
        </is>
      </c>
      <c r="AA232" s="29" t="inlineStr">
        <is>
          <t>Not found</t>
        </is>
      </c>
      <c r="AB232" s="29" t="inlineStr">
        <is>
          <t>Not found</t>
        </is>
      </c>
      <c r="AC232" s="29" t="inlineStr"/>
      <c r="AD232" s="29" t="inlineStr"/>
      <c r="AE232" s="29" t="inlineStr">
        <is>
          <t>Unknown</t>
        </is>
      </c>
      <c r="AF232" s="29" t="inlineStr"/>
      <c r="AG232" s="29" t="inlineStr">
        <is>
          <t>Unknown</t>
        </is>
      </c>
      <c r="AH232" s="29" t="inlineStr">
        <is>
          <t>Unknown</t>
        </is>
      </c>
      <c r="AI232" s="29" t="inlineStr">
        <is>
          <t>Searched for 'Quiet hours' in source code, no evidence found.</t>
        </is>
      </c>
      <c r="AJ232" s="29" t="inlineStr">
        <is>
          <t>Not verified</t>
        </is>
      </c>
      <c r="AK232" s="29" t="inlineStr"/>
      <c r="AL232" s="29" t="inlineStr"/>
      <c r="AM232" s="29" t="inlineStr"/>
      <c r="AN232" s="29" t="inlineStr"/>
      <c r="AO232" s="29" t="inlineStr">
        <is>
          <t>8bc0dcb2a1da1b21368c5536aaeef829d587f316</t>
        </is>
      </c>
      <c r="AP232" s="29" t="inlineStr">
        <is>
          <t>Low</t>
        </is>
      </c>
      <c r="AQ232" s="29" t="inlineStr">
        <is>
          <t>Not assessed</t>
        </is>
      </c>
      <c r="AR232" s="29" t="inlineStr">
        <is>
          <t>Not assessed</t>
        </is>
      </c>
      <c r="AS232" s="29" t="inlineStr">
        <is>
          <t>Not assessed</t>
        </is>
      </c>
      <c r="AT232" s="29" t="inlineStr">
        <is>
          <t>Not assessed</t>
        </is>
      </c>
      <c r="AU232" s="29" t="inlineStr">
        <is>
          <t>Not assessed</t>
        </is>
      </c>
      <c r="AV232" s="29" t="inlineStr">
        <is>
          <t>Not assessed</t>
        </is>
      </c>
      <c r="AW232" s="29" t="inlineStr">
        <is>
          <t>Not assessed</t>
        </is>
      </c>
      <c r="AX232" s="29" t="inlineStr">
        <is>
          <t>Not assessed</t>
        </is>
      </c>
      <c r="AY232" s="29" t="inlineStr">
        <is>
          <t>Not assessed</t>
        </is>
      </c>
      <c r="AZ232" s="29" t="inlineStr">
        <is>
          <t>Not assessed</t>
        </is>
      </c>
      <c r="BA232" s="29" t="inlineStr">
        <is>
          <t>Not assessed</t>
        </is>
      </c>
      <c r="BB232" s="29" t="inlineStr">
        <is>
          <t>Not assessed</t>
        </is>
      </c>
      <c r="BC232" s="29" t="inlineStr">
        <is>
          <t>Not assessed</t>
        </is>
      </c>
      <c r="BD232" s="29" t="inlineStr">
        <is>
          <t>Not assessed</t>
        </is>
      </c>
      <c r="BE232" s="29" t="inlineStr">
        <is>
          <t>Development required</t>
        </is>
      </c>
      <c r="BF232" s="29" t="inlineStr">
        <is>
          <t>Physical implementation is not complete against the stated requirement.; Searched for 'Quiet hours' in source code, no evidence found.</t>
        </is>
      </c>
      <c r="BG232" s="29" t="inlineStr">
        <is>
          <t>Source code implementation</t>
        </is>
      </c>
      <c r="BH232" s="29" t="inlineStr"/>
      <c r="BI232" s="29" t="inlineStr"/>
      <c r="BJ232" s="29" t="inlineStr"/>
      <c r="BK232" s="29" t="inlineStr">
        <is>
          <t>Evidence reconciled against the reviewed source revision. No production approval is inferred from implementation or file presence.</t>
        </is>
      </c>
      <c r="BL232" s="29" t="inlineStr">
        <is>
          <t>2026-08-02</t>
        </is>
      </c>
    </row>
    <row r="233" ht="42" customHeight="1">
      <c r="A233" s="29" t="inlineStr">
        <is>
          <t>BLYP-12-017</t>
        </is>
      </c>
      <c r="B233" s="29" t="inlineStr"/>
      <c r="C233" s="29" t="inlineStr">
        <is>
          <t>Notifications and reminders</t>
        </is>
      </c>
      <c r="D233" s="29" t="n">
        <v>12</v>
      </c>
      <c r="E233" s="29" t="n">
        <v>17</v>
      </c>
      <c r="F233" s="29" t="inlineStr">
        <is>
          <t>Feature</t>
        </is>
      </c>
      <c r="G233" s="29" t="inlineStr">
        <is>
          <t>Notification deep links</t>
        </is>
      </c>
      <c r="H233" s="29" t="inlineStr">
        <is>
          <t>Notification deep links</t>
        </is>
      </c>
      <c r="I233" s="29" t="inlineStr">
        <is>
          <t>/home/ubuntu/blyp_product_requirements.md :: Section 12 — Notifications and reminders</t>
        </is>
      </c>
      <c r="J233" s="29" t="inlineStr">
        <is>
          <t>/home/ubuntu/BLYP_COMPLETE_FEATURE_LIST.md:302</t>
        </is>
      </c>
      <c r="K233" s="29" t="inlineStr">
        <is>
          <t>Required</t>
        </is>
      </c>
      <c r="L233" s="29" t="inlineStr">
        <is>
          <t>Applicable BLYP member</t>
        </is>
      </c>
      <c r="M233" s="29" t="inlineStr">
        <is>
          <t>BLYP mobile application and supporting production services</t>
        </is>
      </c>
      <c r="N233" s="29" t="inlineStr">
        <is>
          <t>Notification deep links</t>
        </is>
      </c>
      <c r="O233" s="29" t="inlineStr">
        <is>
          <t>Not explicitly defined in the product source; requires accountable product approval before production sign-off.</t>
        </is>
      </c>
      <c r="P233" s="29" t="inlineStr"/>
      <c r="Q233" s="29" t="inlineStr">
        <is>
          <t>Scaffold only</t>
        </is>
      </c>
      <c r="R233" s="29" t="inlineStr"/>
      <c r="S233" s="29" t="inlineStr">
        <is>
          <t>Not found</t>
        </is>
      </c>
      <c r="T233" s="29" t="inlineStr">
        <is>
          <t>Not found</t>
        </is>
      </c>
      <c r="U233" s="29" t="inlineStr">
        <is>
          <t>Not found</t>
        </is>
      </c>
      <c r="V233" s="29" t="inlineStr">
        <is>
          <t>Not found</t>
        </is>
      </c>
      <c r="W233" s="29" t="inlineStr">
        <is>
          <t>Not found</t>
        </is>
      </c>
      <c r="X233" s="29" t="inlineStr">
        <is>
          <t>Not found</t>
        </is>
      </c>
      <c r="Y233" s="29" t="inlineStr">
        <is>
          <t>Not found</t>
        </is>
      </c>
      <c r="Z233" s="29" t="inlineStr">
        <is>
          <t>Not found</t>
        </is>
      </c>
      <c r="AA233" s="29" t="inlineStr">
        <is>
          <t>Not found</t>
        </is>
      </c>
      <c r="AB233" s="29" t="inlineStr">
        <is>
          <t>Not found</t>
        </is>
      </c>
      <c r="AC233" s="29" t="inlineStr"/>
      <c r="AD233" s="29" t="inlineStr"/>
      <c r="AE233" s="29" t="inlineStr">
        <is>
          <t>Unknown</t>
        </is>
      </c>
      <c r="AF233" s="29" t="inlineStr"/>
      <c r="AG233" s="29" t="inlineStr">
        <is>
          <t>Unknown</t>
        </is>
      </c>
      <c r="AH233" s="29" t="inlineStr">
        <is>
          <t>Unknown</t>
        </is>
      </c>
      <c r="AI233" s="29" t="inlineStr">
        <is>
          <t>Searched for 'Notification deep links' in source code, no evidence found.</t>
        </is>
      </c>
      <c r="AJ233" s="29" t="inlineStr">
        <is>
          <t>Not verified</t>
        </is>
      </c>
      <c r="AK233" s="29" t="inlineStr"/>
      <c r="AL233" s="29" t="inlineStr"/>
      <c r="AM233" s="29" t="inlineStr"/>
      <c r="AN233" s="29" t="inlineStr"/>
      <c r="AO233" s="29" t="inlineStr">
        <is>
          <t>8bc0dcb2a1da1b21368c5536aaeef829d587f316</t>
        </is>
      </c>
      <c r="AP233" s="29" t="inlineStr">
        <is>
          <t>Low</t>
        </is>
      </c>
      <c r="AQ233" s="29" t="inlineStr">
        <is>
          <t>Not assessed</t>
        </is>
      </c>
      <c r="AR233" s="29" t="inlineStr">
        <is>
          <t>Not assessed</t>
        </is>
      </c>
      <c r="AS233" s="29" t="inlineStr">
        <is>
          <t>Not assessed</t>
        </is>
      </c>
      <c r="AT233" s="29" t="inlineStr">
        <is>
          <t>Not assessed</t>
        </is>
      </c>
      <c r="AU233" s="29" t="inlineStr">
        <is>
          <t>Not assessed</t>
        </is>
      </c>
      <c r="AV233" s="29" t="inlineStr">
        <is>
          <t>Not assessed</t>
        </is>
      </c>
      <c r="AW233" s="29" t="inlineStr">
        <is>
          <t>Not assessed</t>
        </is>
      </c>
      <c r="AX233" s="29" t="inlineStr">
        <is>
          <t>Not assessed</t>
        </is>
      </c>
      <c r="AY233" s="29" t="inlineStr">
        <is>
          <t>Not assessed</t>
        </is>
      </c>
      <c r="AZ233" s="29" t="inlineStr">
        <is>
          <t>Not assessed</t>
        </is>
      </c>
      <c r="BA233" s="29" t="inlineStr">
        <is>
          <t>Not assessed</t>
        </is>
      </c>
      <c r="BB233" s="29" t="inlineStr">
        <is>
          <t>Not assessed</t>
        </is>
      </c>
      <c r="BC233" s="29" t="inlineStr">
        <is>
          <t>Not assessed</t>
        </is>
      </c>
      <c r="BD233" s="29" t="inlineStr">
        <is>
          <t>Not assessed</t>
        </is>
      </c>
      <c r="BE233" s="29" t="inlineStr">
        <is>
          <t>Development required</t>
        </is>
      </c>
      <c r="BF233" s="29" t="inlineStr">
        <is>
          <t>Physical implementation is not complete against the stated requirement.; Searched for 'Notification deep links' in source code, no evidence found.</t>
        </is>
      </c>
      <c r="BG233" s="29" t="inlineStr">
        <is>
          <t>Source code implementation</t>
        </is>
      </c>
      <c r="BH233" s="29" t="inlineStr"/>
      <c r="BI233" s="29" t="inlineStr"/>
      <c r="BJ233" s="29" t="inlineStr"/>
      <c r="BK233" s="29" t="inlineStr">
        <is>
          <t>Evidence reconciled against the reviewed source revision. No production approval is inferred from implementation or file presence.</t>
        </is>
      </c>
      <c r="BL233" s="29" t="inlineStr">
        <is>
          <t>2026-08-02</t>
        </is>
      </c>
    </row>
    <row r="234" ht="42" customHeight="1">
      <c r="A234" s="29" t="inlineStr">
        <is>
          <t>BLYP-12-018</t>
        </is>
      </c>
      <c r="B234" s="29" t="inlineStr"/>
      <c r="C234" s="29" t="inlineStr">
        <is>
          <t>Notifications and reminders</t>
        </is>
      </c>
      <c r="D234" s="29" t="n">
        <v>12</v>
      </c>
      <c r="E234" s="29" t="n">
        <v>18</v>
      </c>
      <c r="F234" s="29" t="inlineStr">
        <is>
          <t>Feature</t>
        </is>
      </c>
      <c r="G234" s="29" t="inlineStr">
        <is>
          <t>Conversational reminder creation</t>
        </is>
      </c>
      <c r="H234" s="29" t="inlineStr">
        <is>
          <t>Conversational reminder creation</t>
        </is>
      </c>
      <c r="I234" s="29" t="inlineStr">
        <is>
          <t>/home/ubuntu/blyp_product_requirements.md :: Section 12 — Notifications and reminders</t>
        </is>
      </c>
      <c r="J234" s="29" t="inlineStr">
        <is>
          <t>/home/ubuntu/BLYP_COMPLETE_FEATURE_LIST.md:303</t>
        </is>
      </c>
      <c r="K234" s="29" t="inlineStr">
        <is>
          <t>Required</t>
        </is>
      </c>
      <c r="L234" s="29" t="inlineStr">
        <is>
          <t>Applicable BLYP member</t>
        </is>
      </c>
      <c r="M234" s="29" t="inlineStr">
        <is>
          <t>BLYP mobile application and supporting production services</t>
        </is>
      </c>
      <c r="N234" s="29" t="inlineStr">
        <is>
          <t>Conversational reminder creation</t>
        </is>
      </c>
      <c r="O234" s="29" t="inlineStr">
        <is>
          <t>Not explicitly defined in the product source; requires accountable product approval before production sign-off.</t>
        </is>
      </c>
      <c r="P234" s="29" t="inlineStr"/>
      <c r="Q234" s="29" t="inlineStr">
        <is>
          <t>Yes</t>
        </is>
      </c>
      <c r="R234" s="29" t="inlineStr"/>
      <c r="S234" s="29" t="inlineStr">
        <is>
          <t>Not found</t>
        </is>
      </c>
      <c r="T234" s="29" t="inlineStr">
        <is>
          <t>Not found</t>
        </is>
      </c>
      <c r="U234" s="29" t="inlineStr">
        <is>
          <t>Not found</t>
        </is>
      </c>
      <c r="V234" s="29" t="inlineStr">
        <is>
          <t>Not found</t>
        </is>
      </c>
      <c r="W234" s="29" t="inlineStr">
        <is>
          <t>Not found</t>
        </is>
      </c>
      <c r="X234" s="29" t="inlineStr">
        <is>
          <t>Not found</t>
        </is>
      </c>
      <c r="Y234" s="29" t="inlineStr">
        <is>
          <t>Not found</t>
        </is>
      </c>
      <c r="Z234" s="29" t="inlineStr">
        <is>
          <t>Not found</t>
        </is>
      </c>
      <c r="AA234" s="29" t="inlineStr">
        <is>
          <t>Not found</t>
        </is>
      </c>
      <c r="AB234" s="29" t="inlineStr">
        <is>
          <t>Not found</t>
        </is>
      </c>
      <c r="AC234" s="29" t="inlineStr"/>
      <c r="AD234" s="29" t="inlineStr"/>
      <c r="AE234" s="29" t="inlineStr">
        <is>
          <t>Unknown</t>
        </is>
      </c>
      <c r="AF234" s="29" t="inlineStr"/>
      <c r="AG234" s="29" t="inlineStr">
        <is>
          <t>Unknown</t>
        </is>
      </c>
      <c r="AH234" s="29" t="inlineStr">
        <is>
          <t>Unknown</t>
        </is>
      </c>
      <c r="AI234" s="29" t="inlineStr">
        <is>
          <t>Searched for 'Conversational reminder creation' in source code, no evidence found.</t>
        </is>
      </c>
      <c r="AJ234" s="29" t="inlineStr">
        <is>
          <t>Not verified</t>
        </is>
      </c>
      <c r="AK234" s="29" t="inlineStr"/>
      <c r="AL234" s="29" t="inlineStr"/>
      <c r="AM234" s="29" t="inlineStr"/>
      <c r="AN234" s="29" t="inlineStr"/>
      <c r="AO234" s="29" t="inlineStr">
        <is>
          <t>8bc0dcb2a1da1b21368c5536aaeef829d587f316</t>
        </is>
      </c>
      <c r="AP234" s="29" t="inlineStr">
        <is>
          <t>Low</t>
        </is>
      </c>
      <c r="AQ234" s="29" t="inlineStr">
        <is>
          <t>Not assessed</t>
        </is>
      </c>
      <c r="AR234" s="29" t="inlineStr">
        <is>
          <t>Not assessed</t>
        </is>
      </c>
      <c r="AS234" s="29" t="inlineStr">
        <is>
          <t>Not assessed</t>
        </is>
      </c>
      <c r="AT234" s="29" t="inlineStr">
        <is>
          <t>Not assessed</t>
        </is>
      </c>
      <c r="AU234" s="29" t="inlineStr">
        <is>
          <t>Not assessed</t>
        </is>
      </c>
      <c r="AV234" s="29" t="inlineStr">
        <is>
          <t>Not assessed</t>
        </is>
      </c>
      <c r="AW234" s="29" t="inlineStr">
        <is>
          <t>Not assessed</t>
        </is>
      </c>
      <c r="AX234" s="29" t="inlineStr">
        <is>
          <t>Not assessed</t>
        </is>
      </c>
      <c r="AY234" s="29" t="inlineStr">
        <is>
          <t>Not assessed</t>
        </is>
      </c>
      <c r="AZ234" s="29" t="inlineStr">
        <is>
          <t>Not assessed</t>
        </is>
      </c>
      <c r="BA234" s="29" t="inlineStr">
        <is>
          <t>Not assessed</t>
        </is>
      </c>
      <c r="BB234" s="29" t="inlineStr">
        <is>
          <t>Not assessed</t>
        </is>
      </c>
      <c r="BC234" s="29" t="inlineStr">
        <is>
          <t>Not assessed</t>
        </is>
      </c>
      <c r="BD234" s="29" t="inlineStr">
        <is>
          <t>Not assessed</t>
        </is>
      </c>
      <c r="BE234" s="29" t="inlineStr">
        <is>
          <t>Development required</t>
        </is>
      </c>
      <c r="BF234" s="29" t="inlineStr">
        <is>
          <t>Physical implementation is not complete against the stated requirement.; Searched for 'Conversational reminder creation' in source code, no evidence found.</t>
        </is>
      </c>
      <c r="BG234" s="29" t="inlineStr">
        <is>
          <t>Source code implementation</t>
        </is>
      </c>
      <c r="BH234" s="29" t="inlineStr"/>
      <c r="BI234" s="29" t="inlineStr"/>
      <c r="BJ234" s="29" t="inlineStr"/>
      <c r="BK234" s="29" t="inlineStr">
        <is>
          <t>Evidence reconciled against the reviewed source revision. No production approval is inferred from implementation or file presence.</t>
        </is>
      </c>
      <c r="BL234" s="29" t="inlineStr">
        <is>
          <t>2026-08-02</t>
        </is>
      </c>
    </row>
    <row r="235" ht="42" customHeight="1">
      <c r="A235" s="29" t="inlineStr">
        <is>
          <t>BLYP-12-019</t>
        </is>
      </c>
      <c r="B235" s="29" t="inlineStr"/>
      <c r="C235" s="29" t="inlineStr">
        <is>
          <t>Notifications and reminders</t>
        </is>
      </c>
      <c r="D235" s="29" t="n">
        <v>12</v>
      </c>
      <c r="E235" s="29" t="n">
        <v>19</v>
      </c>
      <c r="F235" s="29" t="inlineStr">
        <is>
          <t>Feature</t>
        </is>
      </c>
      <c r="G235" s="29" t="inlineStr">
        <is>
          <t>Conversational reminder management</t>
        </is>
      </c>
      <c r="H235" s="29" t="inlineStr">
        <is>
          <t>Conversational reminder management</t>
        </is>
      </c>
      <c r="I235" s="29" t="inlineStr">
        <is>
          <t>/home/ubuntu/blyp_product_requirements.md :: Section 12 — Notifications and reminders</t>
        </is>
      </c>
      <c r="J235" s="29" t="inlineStr">
        <is>
          <t>/home/ubuntu/BLYP_COMPLETE_FEATURE_LIST.md:304</t>
        </is>
      </c>
      <c r="K235" s="29" t="inlineStr">
        <is>
          <t>Required</t>
        </is>
      </c>
      <c r="L235" s="29" t="inlineStr">
        <is>
          <t>Applicable BLYP member</t>
        </is>
      </c>
      <c r="M235" s="29" t="inlineStr">
        <is>
          <t>BLYP mobile application and supporting production services</t>
        </is>
      </c>
      <c r="N235" s="29" t="inlineStr">
        <is>
          <t>Conversational reminder management</t>
        </is>
      </c>
      <c r="O235" s="29" t="inlineStr">
        <is>
          <t>Not explicitly defined in the product source; requires accountable product approval before production sign-off.</t>
        </is>
      </c>
      <c r="P235" s="29" t="inlineStr"/>
      <c r="Q235" s="29" t="inlineStr">
        <is>
          <t>Partial</t>
        </is>
      </c>
      <c r="R235" s="29" t="inlineStr"/>
      <c r="S235" s="29" t="inlineStr">
        <is>
          <t>Not found</t>
        </is>
      </c>
      <c r="T235" s="29" t="inlineStr">
        <is>
          <t>Not found</t>
        </is>
      </c>
      <c r="U235" s="29" t="inlineStr">
        <is>
          <t>Not found</t>
        </is>
      </c>
      <c r="V235" s="29" t="inlineStr">
        <is>
          <t>Not found</t>
        </is>
      </c>
      <c r="W235" s="29" t="inlineStr">
        <is>
          <t>Not found</t>
        </is>
      </c>
      <c r="X235" s="29" t="inlineStr">
        <is>
          <t>Not found</t>
        </is>
      </c>
      <c r="Y235" s="29" t="inlineStr">
        <is>
          <t>Not found</t>
        </is>
      </c>
      <c r="Z235" s="29" t="inlineStr">
        <is>
          <t>Not found</t>
        </is>
      </c>
      <c r="AA235" s="29" t="inlineStr">
        <is>
          <t>Not found</t>
        </is>
      </c>
      <c r="AB235" s="29" t="inlineStr">
        <is>
          <t>Not found</t>
        </is>
      </c>
      <c r="AC235" s="29" t="inlineStr"/>
      <c r="AD235" s="29" t="inlineStr"/>
      <c r="AE235" s="29" t="inlineStr">
        <is>
          <t>Unknown</t>
        </is>
      </c>
      <c r="AF235" s="29" t="inlineStr"/>
      <c r="AG235" s="29" t="inlineStr">
        <is>
          <t>Unknown</t>
        </is>
      </c>
      <c r="AH235" s="29" t="inlineStr">
        <is>
          <t>Unknown</t>
        </is>
      </c>
      <c r="AI235" s="29" t="inlineStr">
        <is>
          <t>Searched for 'Conversational reminder management' in source code, no evidence found.</t>
        </is>
      </c>
      <c r="AJ235" s="29" t="inlineStr">
        <is>
          <t>Not verified</t>
        </is>
      </c>
      <c r="AK235" s="29" t="inlineStr"/>
      <c r="AL235" s="29" t="inlineStr"/>
      <c r="AM235" s="29" t="inlineStr"/>
      <c r="AN235" s="29" t="inlineStr"/>
      <c r="AO235" s="29" t="inlineStr">
        <is>
          <t>8bc0dcb2a1da1b21368c5536aaeef829d587f316</t>
        </is>
      </c>
      <c r="AP235" s="29" t="inlineStr">
        <is>
          <t>Low</t>
        </is>
      </c>
      <c r="AQ235" s="29" t="inlineStr">
        <is>
          <t>Not assessed</t>
        </is>
      </c>
      <c r="AR235" s="29" t="inlineStr">
        <is>
          <t>Not assessed</t>
        </is>
      </c>
      <c r="AS235" s="29" t="inlineStr">
        <is>
          <t>Not assessed</t>
        </is>
      </c>
      <c r="AT235" s="29" t="inlineStr">
        <is>
          <t>Not assessed</t>
        </is>
      </c>
      <c r="AU235" s="29" t="inlineStr">
        <is>
          <t>Not assessed</t>
        </is>
      </c>
      <c r="AV235" s="29" t="inlineStr">
        <is>
          <t>Not assessed</t>
        </is>
      </c>
      <c r="AW235" s="29" t="inlineStr">
        <is>
          <t>Not assessed</t>
        </is>
      </c>
      <c r="AX235" s="29" t="inlineStr">
        <is>
          <t>Not assessed</t>
        </is>
      </c>
      <c r="AY235" s="29" t="inlineStr">
        <is>
          <t>Not assessed</t>
        </is>
      </c>
      <c r="AZ235" s="29" t="inlineStr">
        <is>
          <t>Not assessed</t>
        </is>
      </c>
      <c r="BA235" s="29" t="inlineStr">
        <is>
          <t>Not assessed</t>
        </is>
      </c>
      <c r="BB235" s="29" t="inlineStr">
        <is>
          <t>Not assessed</t>
        </is>
      </c>
      <c r="BC235" s="29" t="inlineStr">
        <is>
          <t>Not assessed</t>
        </is>
      </c>
      <c r="BD235" s="29" t="inlineStr">
        <is>
          <t>Not assessed</t>
        </is>
      </c>
      <c r="BE235" s="29" t="inlineStr">
        <is>
          <t>Development required</t>
        </is>
      </c>
      <c r="BF235" s="29" t="inlineStr">
        <is>
          <t>Physical implementation is not complete against the stated requirement.; Searched for 'Conversational reminder management' in source code, no evidence found.</t>
        </is>
      </c>
      <c r="BG235" s="29" t="inlineStr">
        <is>
          <t>Source code implementation</t>
        </is>
      </c>
      <c r="BH235" s="29" t="inlineStr"/>
      <c r="BI235" s="29" t="inlineStr"/>
      <c r="BJ235" s="29" t="inlineStr"/>
      <c r="BK235" s="29" t="inlineStr">
        <is>
          <t>Evidence reconciled against the reviewed source revision. No production approval is inferred from implementation or file presence.</t>
        </is>
      </c>
      <c r="BL235" s="29" t="inlineStr">
        <is>
          <t>2026-08-02</t>
        </is>
      </c>
    </row>
    <row r="236" ht="42" customHeight="1">
      <c r="A236" s="29" t="inlineStr">
        <is>
          <t>BLYP-12-020</t>
        </is>
      </c>
      <c r="B236" s="29" t="inlineStr"/>
      <c r="C236" s="29" t="inlineStr">
        <is>
          <t>Notifications and reminders</t>
        </is>
      </c>
      <c r="D236" s="29" t="n">
        <v>12</v>
      </c>
      <c r="E236" s="29" t="n">
        <v>20</v>
      </c>
      <c r="F236" s="29" t="inlineStr">
        <is>
          <t>Feature</t>
        </is>
      </c>
      <c r="G236" s="29" t="inlineStr">
        <is>
          <t>Normal reminder settings</t>
        </is>
      </c>
      <c r="H236" s="29" t="inlineStr">
        <is>
          <t>Normal reminder settings</t>
        </is>
      </c>
      <c r="I236" s="29" t="inlineStr">
        <is>
          <t>/home/ubuntu/blyp_product_requirements.md :: Section 12 — Notifications and reminders</t>
        </is>
      </c>
      <c r="J236" s="29" t="inlineStr">
        <is>
          <t>/home/ubuntu/BLYP_COMPLETE_FEATURE_LIST.md:305</t>
        </is>
      </c>
      <c r="K236" s="29" t="inlineStr">
        <is>
          <t>Required</t>
        </is>
      </c>
      <c r="L236" s="29" t="inlineStr">
        <is>
          <t>Applicable BLYP member</t>
        </is>
      </c>
      <c r="M236" s="29" t="inlineStr">
        <is>
          <t>BLYP mobile application and supporting production services</t>
        </is>
      </c>
      <c r="N236" s="29" t="inlineStr">
        <is>
          <t>Normal reminder settings</t>
        </is>
      </c>
      <c r="O236" s="29" t="inlineStr">
        <is>
          <t>Not explicitly defined in the product source; requires accountable product approval before production sign-off.</t>
        </is>
      </c>
      <c r="P236" s="29" t="inlineStr"/>
      <c r="Q236" s="29" t="inlineStr">
        <is>
          <t>Partial</t>
        </is>
      </c>
      <c r="R236" s="29" t="inlineStr"/>
      <c r="S236" s="29" t="inlineStr">
        <is>
          <t>Not found</t>
        </is>
      </c>
      <c r="T236" s="29" t="inlineStr">
        <is>
          <t>Not found</t>
        </is>
      </c>
      <c r="U236" s="29" t="inlineStr">
        <is>
          <t>Not found</t>
        </is>
      </c>
      <c r="V236" s="29" t="inlineStr">
        <is>
          <t>Not found</t>
        </is>
      </c>
      <c r="W236" s="29" t="inlineStr">
        <is>
          <t>Not found</t>
        </is>
      </c>
      <c r="X236" s="29" t="inlineStr">
        <is>
          <t>Not found</t>
        </is>
      </c>
      <c r="Y236" s="29" t="inlineStr">
        <is>
          <t>Not found</t>
        </is>
      </c>
      <c r="Z236" s="29" t="inlineStr">
        <is>
          <t>Not found</t>
        </is>
      </c>
      <c r="AA236" s="29" t="inlineStr">
        <is>
          <t>Not found</t>
        </is>
      </c>
      <c r="AB236" s="29" t="inlineStr">
        <is>
          <t>Not found</t>
        </is>
      </c>
      <c r="AC236" s="29" t="inlineStr"/>
      <c r="AD236" s="29" t="inlineStr"/>
      <c r="AE236" s="29" t="inlineStr">
        <is>
          <t>Unknown</t>
        </is>
      </c>
      <c r="AF236" s="29" t="inlineStr"/>
      <c r="AG236" s="29" t="inlineStr">
        <is>
          <t>Unknown</t>
        </is>
      </c>
      <c r="AH236" s="29" t="inlineStr">
        <is>
          <t>Unknown</t>
        </is>
      </c>
      <c r="AI236" s="29" t="inlineStr">
        <is>
          <t>Searched for 'Normal reminder settings' in source code, no evidence found.</t>
        </is>
      </c>
      <c r="AJ236" s="29" t="inlineStr">
        <is>
          <t>Not verified</t>
        </is>
      </c>
      <c r="AK236" s="29" t="inlineStr"/>
      <c r="AL236" s="29" t="inlineStr"/>
      <c r="AM236" s="29" t="inlineStr"/>
      <c r="AN236" s="29" t="inlineStr"/>
      <c r="AO236" s="29" t="inlineStr">
        <is>
          <t>8bc0dcb2a1da1b21368c5536aaeef829d587f316</t>
        </is>
      </c>
      <c r="AP236" s="29" t="inlineStr">
        <is>
          <t>Low</t>
        </is>
      </c>
      <c r="AQ236" s="29" t="inlineStr">
        <is>
          <t>Not assessed</t>
        </is>
      </c>
      <c r="AR236" s="29" t="inlineStr">
        <is>
          <t>Not assessed</t>
        </is>
      </c>
      <c r="AS236" s="29" t="inlineStr">
        <is>
          <t>Not assessed</t>
        </is>
      </c>
      <c r="AT236" s="29" t="inlineStr">
        <is>
          <t>Not assessed</t>
        </is>
      </c>
      <c r="AU236" s="29" t="inlineStr">
        <is>
          <t>Not assessed</t>
        </is>
      </c>
      <c r="AV236" s="29" t="inlineStr">
        <is>
          <t>Not assessed</t>
        </is>
      </c>
      <c r="AW236" s="29" t="inlineStr">
        <is>
          <t>Not assessed</t>
        </is>
      </c>
      <c r="AX236" s="29" t="inlineStr">
        <is>
          <t>Not assessed</t>
        </is>
      </c>
      <c r="AY236" s="29" t="inlineStr">
        <is>
          <t>Not assessed</t>
        </is>
      </c>
      <c r="AZ236" s="29" t="inlineStr">
        <is>
          <t>Not assessed</t>
        </is>
      </c>
      <c r="BA236" s="29" t="inlineStr">
        <is>
          <t>Not assessed</t>
        </is>
      </c>
      <c r="BB236" s="29" t="inlineStr">
        <is>
          <t>Not assessed</t>
        </is>
      </c>
      <c r="BC236" s="29" t="inlineStr">
        <is>
          <t>Not assessed</t>
        </is>
      </c>
      <c r="BD236" s="29" t="inlineStr">
        <is>
          <t>Not assessed</t>
        </is>
      </c>
      <c r="BE236" s="29" t="inlineStr">
        <is>
          <t>Development required</t>
        </is>
      </c>
      <c r="BF236" s="29" t="inlineStr">
        <is>
          <t>Physical implementation is not complete against the stated requirement.; Searched for 'Normal reminder settings' in source code, no evidence found.</t>
        </is>
      </c>
      <c r="BG236" s="29" t="inlineStr">
        <is>
          <t>Source code implementation</t>
        </is>
      </c>
      <c r="BH236" s="29" t="inlineStr"/>
      <c r="BI236" s="29" t="inlineStr"/>
      <c r="BJ236" s="29" t="inlineStr"/>
      <c r="BK236" s="29" t="inlineStr">
        <is>
          <t>Evidence reconciled against the reviewed source revision. No production approval is inferred from implementation or file presence.</t>
        </is>
      </c>
      <c r="BL236" s="29" t="inlineStr">
        <is>
          <t>2026-08-02</t>
        </is>
      </c>
    </row>
    <row r="237" ht="42" customHeight="1">
      <c r="A237" s="29" t="inlineStr">
        <is>
          <t>BLYP-12-021</t>
        </is>
      </c>
      <c r="B237" s="29" t="inlineStr"/>
      <c r="C237" s="29" t="inlineStr">
        <is>
          <t>Notifications and reminders</t>
        </is>
      </c>
      <c r="D237" s="29" t="n">
        <v>12</v>
      </c>
      <c r="E237" s="29" t="n">
        <v>21</v>
      </c>
      <c r="F237" s="29" t="inlineStr">
        <is>
          <t>Feature</t>
        </is>
      </c>
      <c r="G237" s="29" t="inlineStr">
        <is>
          <t>Unread notification counts</t>
        </is>
      </c>
      <c r="H237" s="29" t="inlineStr">
        <is>
          <t>Unread notification counts</t>
        </is>
      </c>
      <c r="I237" s="29" t="inlineStr">
        <is>
          <t>/home/ubuntu/blyp_product_requirements.md :: Section 12 — Notifications and reminders</t>
        </is>
      </c>
      <c r="J237" s="29" t="inlineStr">
        <is>
          <t>/home/ubuntu/BLYP_COMPLETE_FEATURE_LIST.md:306</t>
        </is>
      </c>
      <c r="K237" s="29" t="inlineStr">
        <is>
          <t>Required</t>
        </is>
      </c>
      <c r="L237" s="29" t="inlineStr">
        <is>
          <t>Applicable BLYP member</t>
        </is>
      </c>
      <c r="M237" s="29" t="inlineStr">
        <is>
          <t>BLYP mobile application and supporting production services</t>
        </is>
      </c>
      <c r="N237" s="29" t="inlineStr">
        <is>
          <t>Unread notification counts</t>
        </is>
      </c>
      <c r="O237" s="29" t="inlineStr">
        <is>
          <t>Not explicitly defined in the product source; requires accountable product approval before production sign-off.</t>
        </is>
      </c>
      <c r="P237" s="29" t="inlineStr"/>
      <c r="Q237" s="29" t="inlineStr">
        <is>
          <t>Yes</t>
        </is>
      </c>
      <c r="R237" s="29" t="inlineStr"/>
      <c r="S237" s="29" t="inlineStr">
        <is>
          <t>Not found</t>
        </is>
      </c>
      <c r="T237" s="29" t="inlineStr">
        <is>
          <t>Not found</t>
        </is>
      </c>
      <c r="U237" s="29" t="inlineStr">
        <is>
          <t>Not found</t>
        </is>
      </c>
      <c r="V237" s="29" t="inlineStr">
        <is>
          <t>Not found</t>
        </is>
      </c>
      <c r="W237" s="29" t="inlineStr">
        <is>
          <t>Not found</t>
        </is>
      </c>
      <c r="X237" s="29" t="inlineStr">
        <is>
          <t>Not found</t>
        </is>
      </c>
      <c r="Y237" s="29" t="inlineStr">
        <is>
          <t>Not found</t>
        </is>
      </c>
      <c r="Z237" s="29" t="inlineStr">
        <is>
          <t>Not found</t>
        </is>
      </c>
      <c r="AA237" s="29" t="inlineStr">
        <is>
          <t>Not found</t>
        </is>
      </c>
      <c r="AB237" s="29" t="inlineStr">
        <is>
          <t>Not found</t>
        </is>
      </c>
      <c r="AC237" s="29" t="inlineStr"/>
      <c r="AD237" s="29" t="inlineStr"/>
      <c r="AE237" s="29" t="inlineStr">
        <is>
          <t>Unknown</t>
        </is>
      </c>
      <c r="AF237" s="29" t="inlineStr"/>
      <c r="AG237" s="29" t="inlineStr">
        <is>
          <t>Unknown</t>
        </is>
      </c>
      <c r="AH237" s="29" t="inlineStr">
        <is>
          <t>Unknown</t>
        </is>
      </c>
      <c r="AI237" s="29" t="inlineStr">
        <is>
          <t>Searched for 'Unread notification counts' in source code, no evidence found.</t>
        </is>
      </c>
      <c r="AJ237" s="29" t="inlineStr">
        <is>
          <t>Not verified</t>
        </is>
      </c>
      <c r="AK237" s="29" t="inlineStr"/>
      <c r="AL237" s="29" t="inlineStr"/>
      <c r="AM237" s="29" t="inlineStr"/>
      <c r="AN237" s="29" t="inlineStr"/>
      <c r="AO237" s="29" t="inlineStr">
        <is>
          <t>8bc0dcb2a1da1b21368c5536aaeef829d587f316</t>
        </is>
      </c>
      <c r="AP237" s="29" t="inlineStr">
        <is>
          <t>Low</t>
        </is>
      </c>
      <c r="AQ237" s="29" t="inlineStr">
        <is>
          <t>Not assessed</t>
        </is>
      </c>
      <c r="AR237" s="29" t="inlineStr">
        <is>
          <t>Not assessed</t>
        </is>
      </c>
      <c r="AS237" s="29" t="inlineStr">
        <is>
          <t>Not assessed</t>
        </is>
      </c>
      <c r="AT237" s="29" t="inlineStr">
        <is>
          <t>Not assessed</t>
        </is>
      </c>
      <c r="AU237" s="29" t="inlineStr">
        <is>
          <t>Not assessed</t>
        </is>
      </c>
      <c r="AV237" s="29" t="inlineStr">
        <is>
          <t>Not assessed</t>
        </is>
      </c>
      <c r="AW237" s="29" t="inlineStr">
        <is>
          <t>Not assessed</t>
        </is>
      </c>
      <c r="AX237" s="29" t="inlineStr">
        <is>
          <t>Not assessed</t>
        </is>
      </c>
      <c r="AY237" s="29" t="inlineStr">
        <is>
          <t>Not assessed</t>
        </is>
      </c>
      <c r="AZ237" s="29" t="inlineStr">
        <is>
          <t>Not assessed</t>
        </is>
      </c>
      <c r="BA237" s="29" t="inlineStr">
        <is>
          <t>Not assessed</t>
        </is>
      </c>
      <c r="BB237" s="29" t="inlineStr">
        <is>
          <t>Not assessed</t>
        </is>
      </c>
      <c r="BC237" s="29" t="inlineStr">
        <is>
          <t>Not assessed</t>
        </is>
      </c>
      <c r="BD237" s="29" t="inlineStr">
        <is>
          <t>Not assessed</t>
        </is>
      </c>
      <c r="BE237" s="29" t="inlineStr">
        <is>
          <t>Development required</t>
        </is>
      </c>
      <c r="BF237" s="29" t="inlineStr">
        <is>
          <t>Physical implementation is not complete against the stated requirement.; Searched for 'Unread notification counts' in source code, no evidence found.</t>
        </is>
      </c>
      <c r="BG237" s="29" t="inlineStr">
        <is>
          <t>Source code implementation</t>
        </is>
      </c>
      <c r="BH237" s="29" t="inlineStr"/>
      <c r="BI237" s="29" t="inlineStr"/>
      <c r="BJ237" s="29" t="inlineStr"/>
      <c r="BK237" s="29" t="inlineStr">
        <is>
          <t>Evidence reconciled against the reviewed source revision. No production approval is inferred from implementation or file presence.</t>
        </is>
      </c>
      <c r="BL237" s="29" t="inlineStr">
        <is>
          <t>2026-08-02</t>
        </is>
      </c>
    </row>
    <row r="238" ht="42" customHeight="1">
      <c r="A238" s="29" t="inlineStr">
        <is>
          <t>BLYP-12-022</t>
        </is>
      </c>
      <c r="B238" s="29" t="inlineStr"/>
      <c r="C238" s="29" t="inlineStr">
        <is>
          <t>Notifications and reminders</t>
        </is>
      </c>
      <c r="D238" s="29" t="n">
        <v>12</v>
      </c>
      <c r="E238" s="29" t="n">
        <v>22</v>
      </c>
      <c r="F238" s="29" t="inlineStr">
        <is>
          <t>Feature</t>
        </is>
      </c>
      <c r="G238" s="29" t="inlineStr">
        <is>
          <t>Mark-as-read batching</t>
        </is>
      </c>
      <c r="H238" s="29" t="inlineStr">
        <is>
          <t>Mark-as-read batching</t>
        </is>
      </c>
      <c r="I238" s="29" t="inlineStr">
        <is>
          <t>/home/ubuntu/blyp_product_requirements.md :: Section 12 — Notifications and reminders</t>
        </is>
      </c>
      <c r="J238" s="29" t="inlineStr">
        <is>
          <t>/home/ubuntu/BLYP_COMPLETE_FEATURE_LIST.md:307</t>
        </is>
      </c>
      <c r="K238" s="29" t="inlineStr">
        <is>
          <t>Required</t>
        </is>
      </c>
      <c r="L238" s="29" t="inlineStr">
        <is>
          <t>Applicable BLYP member</t>
        </is>
      </c>
      <c r="M238" s="29" t="inlineStr">
        <is>
          <t>BLYP mobile application and supporting production services</t>
        </is>
      </c>
      <c r="N238" s="29" t="inlineStr">
        <is>
          <t>Mark-as-read batching</t>
        </is>
      </c>
      <c r="O238" s="29" t="inlineStr">
        <is>
          <t>Not explicitly defined in the product source; requires accountable product approval before production sign-off.</t>
        </is>
      </c>
      <c r="P238" s="29" t="inlineStr"/>
      <c r="Q238" s="29" t="inlineStr">
        <is>
          <t>Yes</t>
        </is>
      </c>
      <c r="R238" s="29" t="inlineStr"/>
      <c r="S238" s="29" t="inlineStr">
        <is>
          <t>Not found</t>
        </is>
      </c>
      <c r="T238" s="29" t="inlineStr">
        <is>
          <t>Not found</t>
        </is>
      </c>
      <c r="U238" s="29" t="inlineStr">
        <is>
          <t>Not found</t>
        </is>
      </c>
      <c r="V238" s="29" t="inlineStr">
        <is>
          <t>Not found</t>
        </is>
      </c>
      <c r="W238" s="29" t="inlineStr">
        <is>
          <t>Not found</t>
        </is>
      </c>
      <c r="X238" s="29" t="inlineStr">
        <is>
          <t>Not found</t>
        </is>
      </c>
      <c r="Y238" s="29" t="inlineStr">
        <is>
          <t>Not found</t>
        </is>
      </c>
      <c r="Z238" s="29" t="inlineStr">
        <is>
          <t>Not found</t>
        </is>
      </c>
      <c r="AA238" s="29" t="inlineStr">
        <is>
          <t>Not found</t>
        </is>
      </c>
      <c r="AB238" s="29" t="inlineStr">
        <is>
          <t>Not found</t>
        </is>
      </c>
      <c r="AC238" s="29" t="inlineStr"/>
      <c r="AD238" s="29" t="inlineStr"/>
      <c r="AE238" s="29" t="inlineStr">
        <is>
          <t>Unknown</t>
        </is>
      </c>
      <c r="AF238" s="29" t="inlineStr"/>
      <c r="AG238" s="29" t="inlineStr">
        <is>
          <t>Unknown</t>
        </is>
      </c>
      <c r="AH238" s="29" t="inlineStr">
        <is>
          <t>Unknown</t>
        </is>
      </c>
      <c r="AI238" s="29" t="inlineStr">
        <is>
          <t>Searched for 'Mark-as-read batching' in source code, no evidence found.</t>
        </is>
      </c>
      <c r="AJ238" s="29" t="inlineStr">
        <is>
          <t>Not verified</t>
        </is>
      </c>
      <c r="AK238" s="29" t="inlineStr"/>
      <c r="AL238" s="29" t="inlineStr"/>
      <c r="AM238" s="29" t="inlineStr"/>
      <c r="AN238" s="29" t="inlineStr"/>
      <c r="AO238" s="29" t="inlineStr">
        <is>
          <t>8bc0dcb2a1da1b21368c5536aaeef829d587f316</t>
        </is>
      </c>
      <c r="AP238" s="29" t="inlineStr">
        <is>
          <t>Low</t>
        </is>
      </c>
      <c r="AQ238" s="29" t="inlineStr">
        <is>
          <t>Not assessed</t>
        </is>
      </c>
      <c r="AR238" s="29" t="inlineStr">
        <is>
          <t>Not assessed</t>
        </is>
      </c>
      <c r="AS238" s="29" t="inlineStr">
        <is>
          <t>Not assessed</t>
        </is>
      </c>
      <c r="AT238" s="29" t="inlineStr">
        <is>
          <t>Not assessed</t>
        </is>
      </c>
      <c r="AU238" s="29" t="inlineStr">
        <is>
          <t>Not assessed</t>
        </is>
      </c>
      <c r="AV238" s="29" t="inlineStr">
        <is>
          <t>Not assessed</t>
        </is>
      </c>
      <c r="AW238" s="29" t="inlineStr">
        <is>
          <t>Not assessed</t>
        </is>
      </c>
      <c r="AX238" s="29" t="inlineStr">
        <is>
          <t>Not assessed</t>
        </is>
      </c>
      <c r="AY238" s="29" t="inlineStr">
        <is>
          <t>Not assessed</t>
        </is>
      </c>
      <c r="AZ238" s="29" t="inlineStr">
        <is>
          <t>Not assessed</t>
        </is>
      </c>
      <c r="BA238" s="29" t="inlineStr">
        <is>
          <t>Not assessed</t>
        </is>
      </c>
      <c r="BB238" s="29" t="inlineStr">
        <is>
          <t>Not assessed</t>
        </is>
      </c>
      <c r="BC238" s="29" t="inlineStr">
        <is>
          <t>Not assessed</t>
        </is>
      </c>
      <c r="BD238" s="29" t="inlineStr">
        <is>
          <t>Not assessed</t>
        </is>
      </c>
      <c r="BE238" s="29" t="inlineStr">
        <is>
          <t>Development required</t>
        </is>
      </c>
      <c r="BF238" s="29" t="inlineStr">
        <is>
          <t>Physical implementation is not complete against the stated requirement.; Searched for 'Mark-as-read batching' in source code, no evidence found.</t>
        </is>
      </c>
      <c r="BG238" s="29" t="inlineStr">
        <is>
          <t>Source code implementation</t>
        </is>
      </c>
      <c r="BH238" s="29" t="inlineStr"/>
      <c r="BI238" s="29" t="inlineStr"/>
      <c r="BJ238" s="29" t="inlineStr"/>
      <c r="BK238" s="29" t="inlineStr">
        <is>
          <t>Evidence reconciled against the reviewed source revision. No production approval is inferred from implementation or file presence.</t>
        </is>
      </c>
      <c r="BL238" s="29" t="inlineStr">
        <is>
          <t>2026-08-02</t>
        </is>
      </c>
    </row>
    <row r="239" ht="42" customHeight="1">
      <c r="A239" s="29" t="inlineStr">
        <is>
          <t>BLYP-13-001</t>
        </is>
      </c>
      <c r="B239" s="29" t="inlineStr"/>
      <c r="C239" s="29" t="inlineStr">
        <is>
          <t>Unified Search and Explore</t>
        </is>
      </c>
      <c r="D239" s="29" t="n">
        <v>13</v>
      </c>
      <c r="E239" s="29" t="n">
        <v>1</v>
      </c>
      <c r="F239" s="29" t="inlineStr">
        <is>
          <t>Feature</t>
        </is>
      </c>
      <c r="G239" s="29" t="inlineStr">
        <is>
          <t>Search people</t>
        </is>
      </c>
      <c r="H239" s="29" t="inlineStr">
        <is>
          <t>Search people</t>
        </is>
      </c>
      <c r="I239" s="29" t="inlineStr">
        <is>
          <t>/home/ubuntu/blyp_product_requirements.md :: Section 13 — Unified Search and Explore</t>
        </is>
      </c>
      <c r="J239" s="29" t="inlineStr">
        <is>
          <t>/home/ubuntu/BLYP_COMPLETE_FEATURE_LIST.md:313</t>
        </is>
      </c>
      <c r="K239" s="29" t="inlineStr">
        <is>
          <t>Required</t>
        </is>
      </c>
      <c r="L239" s="29" t="inlineStr">
        <is>
          <t>Applicable BLYP member</t>
        </is>
      </c>
      <c r="M239" s="29" t="inlineStr">
        <is>
          <t>BLYP mobile application and supporting production services</t>
        </is>
      </c>
      <c r="N239" s="29" t="inlineStr">
        <is>
          <t>Search people</t>
        </is>
      </c>
      <c r="O239" s="29" t="inlineStr">
        <is>
          <t>Not explicitly defined in the product source; requires accountable product approval before production sign-off.</t>
        </is>
      </c>
      <c r="P239" s="29" t="inlineStr">
        <is>
          <t>None</t>
        </is>
      </c>
      <c r="Q239" s="29" t="inlineStr">
        <is>
          <t>Partial</t>
        </is>
      </c>
      <c r="R239" s="29" t="inlineStr">
        <is>
          <t>UI and data access exist, with mock/fallback behaviour.</t>
        </is>
      </c>
      <c r="S239" s="29" t="inlineStr">
        <is>
          <t>UI only</t>
        </is>
      </c>
      <c r="T239" s="29" t="inlineStr">
        <is>
          <t>SearchScreen</t>
        </is>
      </c>
      <c r="U239" s="29" t="inlineStr">
        <is>
          <t>SearchScreen, SearchResultsScreen</t>
        </is>
      </c>
      <c r="V239" s="29" t="inlineStr">
        <is>
          <t>searchService</t>
        </is>
      </c>
      <c r="W239" s="29" t="inlineStr">
        <is>
          <t>None</t>
        </is>
      </c>
      <c r="X239" s="29" t="inlineStr">
        <is>
          <t>None</t>
        </is>
      </c>
      <c r="Y239" s="29" t="inlineStr"/>
      <c r="Z239" s="29" t="inlineStr"/>
      <c r="AA239" s="29" t="inlineStr"/>
      <c r="AB239" s="29" t="inlineStr"/>
      <c r="AC239" s="29" t="inlineStr"/>
      <c r="AD239" s="29" t="inlineStr"/>
      <c r="AE239" s="29" t="inlineStr">
        <is>
          <t>User reachable</t>
        </is>
      </c>
      <c r="AF239" s="29" t="inlineStr">
        <is>
          <t>SearchScreen</t>
        </is>
      </c>
      <c r="AG239" s="29" t="inlineStr">
        <is>
          <t>Incomplete</t>
        </is>
      </c>
      <c r="AH239" s="29" t="inlineStr">
        <is>
          <t>No</t>
        </is>
      </c>
      <c r="AI239" s="29" t="inlineStr">
        <is>
          <t>Backend search API not implemented, uses mock data</t>
        </is>
      </c>
      <c r="AJ239" s="29" t="inlineStr">
        <is>
          <t>Source traced</t>
        </is>
      </c>
      <c r="AK239" s="29" t="inlineStr">
        <is>
          <t>EV-13-0001;EV-13-0002</t>
        </is>
      </c>
      <c r="AL239" s="29" t="inlineStr"/>
      <c r="AM239" s="29" t="inlineStr"/>
      <c r="AN239" s="29" t="inlineStr"/>
      <c r="AO239" s="29" t="inlineStr">
        <is>
          <t>8bc0dcb2a1da1b21368c5536aaeef829d587f316</t>
        </is>
      </c>
      <c r="AP239" s="29" t="inlineStr">
        <is>
          <t>High</t>
        </is>
      </c>
      <c r="AQ239" s="29" t="inlineStr">
        <is>
          <t>Not assessed</t>
        </is>
      </c>
      <c r="AR239" s="29" t="inlineStr">
        <is>
          <t>Not assessed</t>
        </is>
      </c>
      <c r="AS239" s="29" t="inlineStr">
        <is>
          <t>Fail</t>
        </is>
      </c>
      <c r="AT239" s="29" t="inlineStr">
        <is>
          <t>Not assessed</t>
        </is>
      </c>
      <c r="AU239" s="29" t="inlineStr">
        <is>
          <t>Not assessed</t>
        </is>
      </c>
      <c r="AV239" s="29" t="inlineStr">
        <is>
          <t>Not assessed</t>
        </is>
      </c>
      <c r="AW239" s="29" t="inlineStr">
        <is>
          <t>Not assessed</t>
        </is>
      </c>
      <c r="AX239" s="29" t="inlineStr">
        <is>
          <t>Not assessed</t>
        </is>
      </c>
      <c r="AY239" s="29" t="inlineStr">
        <is>
          <t>Not assessed</t>
        </is>
      </c>
      <c r="AZ239" s="29" t="inlineStr">
        <is>
          <t>Not assessed</t>
        </is>
      </c>
      <c r="BA239" s="29" t="inlineStr">
        <is>
          <t>Not assessed</t>
        </is>
      </c>
      <c r="BB239" s="29" t="inlineStr">
        <is>
          <t>Not assessed</t>
        </is>
      </c>
      <c r="BC239" s="29" t="inlineStr">
        <is>
          <t>Not assessed</t>
        </is>
      </c>
      <c r="BD239" s="29" t="inlineStr">
        <is>
          <t>Not assessed</t>
        </is>
      </c>
      <c r="BE239" s="29" t="inlineStr">
        <is>
          <t>Development required</t>
        </is>
      </c>
      <c r="BF239" s="29" t="inlineStr">
        <is>
          <t>Physical implementation is not complete against the stated requirement.; Backend search API not implemented, uses mock data</t>
        </is>
      </c>
      <c r="BG239" s="29" t="inlineStr"/>
      <c r="BH239" s="29" t="inlineStr"/>
      <c r="BI239" s="29" t="inlineStr"/>
      <c r="BJ239" s="29" t="inlineStr"/>
      <c r="BK239" s="29" t="inlineStr">
        <is>
          <t>Evidence reconciled against the reviewed source revision. No production approval is inferred from implementation or file presence.</t>
        </is>
      </c>
      <c r="BL239" s="29" t="inlineStr">
        <is>
          <t>2026-08-02</t>
        </is>
      </c>
    </row>
    <row r="240" ht="42" customHeight="1">
      <c r="A240" s="29" t="inlineStr">
        <is>
          <t>BLYP-13-002</t>
        </is>
      </c>
      <c r="B240" s="29" t="inlineStr"/>
      <c r="C240" s="29" t="inlineStr">
        <is>
          <t>Unified Search and Explore</t>
        </is>
      </c>
      <c r="D240" s="29" t="n">
        <v>13</v>
      </c>
      <c r="E240" s="29" t="n">
        <v>2</v>
      </c>
      <c r="F240" s="29" t="inlineStr">
        <is>
          <t>Feature</t>
        </is>
      </c>
      <c r="G240" s="29" t="inlineStr">
        <is>
          <t>Search posts</t>
        </is>
      </c>
      <c r="H240" s="29" t="inlineStr">
        <is>
          <t>Search posts</t>
        </is>
      </c>
      <c r="I240" s="29" t="inlineStr">
        <is>
          <t>/home/ubuntu/blyp_product_requirements.md :: Section 13 — Unified Search and Explore</t>
        </is>
      </c>
      <c r="J240" s="29" t="inlineStr">
        <is>
          <t>/home/ubuntu/BLYP_COMPLETE_FEATURE_LIST.md:314</t>
        </is>
      </c>
      <c r="K240" s="29" t="inlineStr">
        <is>
          <t>Required</t>
        </is>
      </c>
      <c r="L240" s="29" t="inlineStr">
        <is>
          <t>Applicable BLYP member</t>
        </is>
      </c>
      <c r="M240" s="29" t="inlineStr">
        <is>
          <t>BLYP mobile application and supporting production services</t>
        </is>
      </c>
      <c r="N240" s="29" t="inlineStr">
        <is>
          <t>Search posts</t>
        </is>
      </c>
      <c r="O240" s="29" t="inlineStr">
        <is>
          <t>Not explicitly defined in the product source; requires accountable product approval before production sign-off.</t>
        </is>
      </c>
      <c r="P240" s="29" t="inlineStr">
        <is>
          <t>None</t>
        </is>
      </c>
      <c r="Q240" s="29" t="inlineStr">
        <is>
          <t>Partial</t>
        </is>
      </c>
      <c r="R240" s="29" t="inlineStr"/>
      <c r="S240" s="29" t="inlineStr">
        <is>
          <t>UI only</t>
        </is>
      </c>
      <c r="T240" s="29" t="inlineStr">
        <is>
          <t>SearchScreen</t>
        </is>
      </c>
      <c r="U240" s="29" t="inlineStr">
        <is>
          <t>SearchScreen, SearchResultsScreen</t>
        </is>
      </c>
      <c r="V240" s="29" t="inlineStr">
        <is>
          <t>searchService</t>
        </is>
      </c>
      <c r="W240" s="29" t="inlineStr">
        <is>
          <t>None</t>
        </is>
      </c>
      <c r="X240" s="29" t="inlineStr">
        <is>
          <t>None</t>
        </is>
      </c>
      <c r="Y240" s="29" t="inlineStr"/>
      <c r="Z240" s="29" t="inlineStr"/>
      <c r="AA240" s="29" t="inlineStr"/>
      <c r="AB240" s="29" t="inlineStr"/>
      <c r="AC240" s="29" t="inlineStr"/>
      <c r="AD240" s="29" t="inlineStr"/>
      <c r="AE240" s="29" t="inlineStr">
        <is>
          <t>User reachable</t>
        </is>
      </c>
      <c r="AF240" s="29" t="inlineStr">
        <is>
          <t>SearchScreen</t>
        </is>
      </c>
      <c r="AG240" s="29" t="inlineStr">
        <is>
          <t>Incomplete</t>
        </is>
      </c>
      <c r="AH240" s="29" t="inlineStr">
        <is>
          <t>No</t>
        </is>
      </c>
      <c r="AI240" s="29" t="inlineStr">
        <is>
          <t>Backend search API not implemented, uses mock data</t>
        </is>
      </c>
      <c r="AJ240" s="29" t="inlineStr">
        <is>
          <t>Source traced</t>
        </is>
      </c>
      <c r="AK240" s="29" t="inlineStr">
        <is>
          <t>EV-13-0003;EV-13-0004</t>
        </is>
      </c>
      <c r="AL240" s="29" t="inlineStr"/>
      <c r="AM240" s="29" t="inlineStr"/>
      <c r="AN240" s="29" t="inlineStr"/>
      <c r="AO240" s="29" t="inlineStr">
        <is>
          <t>8bc0dcb2a1da1b21368c5536aaeef829d587f316</t>
        </is>
      </c>
      <c r="AP240" s="29" t="inlineStr">
        <is>
          <t>High</t>
        </is>
      </c>
      <c r="AQ240" s="29" t="inlineStr">
        <is>
          <t>Not assessed</t>
        </is>
      </c>
      <c r="AR240" s="29" t="inlineStr">
        <is>
          <t>Not assessed</t>
        </is>
      </c>
      <c r="AS240" s="29" t="inlineStr">
        <is>
          <t>Fail</t>
        </is>
      </c>
      <c r="AT240" s="29" t="inlineStr">
        <is>
          <t>Not assessed</t>
        </is>
      </c>
      <c r="AU240" s="29" t="inlineStr">
        <is>
          <t>Not assessed</t>
        </is>
      </c>
      <c r="AV240" s="29" t="inlineStr">
        <is>
          <t>Not assessed</t>
        </is>
      </c>
      <c r="AW240" s="29" t="inlineStr">
        <is>
          <t>Not assessed</t>
        </is>
      </c>
      <c r="AX240" s="29" t="inlineStr">
        <is>
          <t>Not assessed</t>
        </is>
      </c>
      <c r="AY240" s="29" t="inlineStr">
        <is>
          <t>Not assessed</t>
        </is>
      </c>
      <c r="AZ240" s="29" t="inlineStr">
        <is>
          <t>Not assessed</t>
        </is>
      </c>
      <c r="BA240" s="29" t="inlineStr">
        <is>
          <t>Not assessed</t>
        </is>
      </c>
      <c r="BB240" s="29" t="inlineStr">
        <is>
          <t>Not assessed</t>
        </is>
      </c>
      <c r="BC240" s="29" t="inlineStr">
        <is>
          <t>Not assessed</t>
        </is>
      </c>
      <c r="BD240" s="29" t="inlineStr">
        <is>
          <t>Not assessed</t>
        </is>
      </c>
      <c r="BE240" s="29" t="inlineStr">
        <is>
          <t>Development required</t>
        </is>
      </c>
      <c r="BF240" s="29" t="inlineStr">
        <is>
          <t>Physical implementation is not complete against the stated requirement.; Backend search API not implemented, uses mock data</t>
        </is>
      </c>
      <c r="BG240" s="29" t="inlineStr"/>
      <c r="BH240" s="29" t="inlineStr"/>
      <c r="BI240" s="29" t="inlineStr"/>
      <c r="BJ240" s="29" t="inlineStr"/>
      <c r="BK240" s="29" t="inlineStr">
        <is>
          <t>Evidence reconciled against the reviewed source revision. No production approval is inferred from implementation or file presence.</t>
        </is>
      </c>
      <c r="BL240" s="29" t="inlineStr">
        <is>
          <t>2026-08-02</t>
        </is>
      </c>
    </row>
    <row r="241" ht="42" customHeight="1">
      <c r="A241" s="29" t="inlineStr">
        <is>
          <t>BLYP-13-003</t>
        </is>
      </c>
      <c r="B241" s="29" t="inlineStr"/>
      <c r="C241" s="29" t="inlineStr">
        <is>
          <t>Unified Search and Explore</t>
        </is>
      </c>
      <c r="D241" s="29" t="n">
        <v>13</v>
      </c>
      <c r="E241" s="29" t="n">
        <v>3</v>
      </c>
      <c r="F241" s="29" t="inlineStr">
        <is>
          <t>Feature</t>
        </is>
      </c>
      <c r="G241" s="29" t="inlineStr">
        <is>
          <t>Search videos</t>
        </is>
      </c>
      <c r="H241" s="29" t="inlineStr">
        <is>
          <t>Search videos</t>
        </is>
      </c>
      <c r="I241" s="29" t="inlineStr">
        <is>
          <t>/home/ubuntu/blyp_product_requirements.md :: Section 13 — Unified Search and Explore</t>
        </is>
      </c>
      <c r="J241" s="29" t="inlineStr">
        <is>
          <t>/home/ubuntu/BLYP_COMPLETE_FEATURE_LIST.md:315</t>
        </is>
      </c>
      <c r="K241" s="29" t="inlineStr">
        <is>
          <t>Required</t>
        </is>
      </c>
      <c r="L241" s="29" t="inlineStr">
        <is>
          <t>Applicable BLYP member</t>
        </is>
      </c>
      <c r="M241" s="29" t="inlineStr">
        <is>
          <t>BLYP mobile application and supporting production services</t>
        </is>
      </c>
      <c r="N241" s="29" t="inlineStr">
        <is>
          <t>Search videos</t>
        </is>
      </c>
      <c r="O241" s="29" t="inlineStr">
        <is>
          <t>Not explicitly defined in the product source; requires accountable product approval before production sign-off.</t>
        </is>
      </c>
      <c r="P241" s="29" t="inlineStr">
        <is>
          <t>None</t>
        </is>
      </c>
      <c r="Q241" s="29" t="inlineStr">
        <is>
          <t>Partial</t>
        </is>
      </c>
      <c r="R241" s="29" t="inlineStr"/>
      <c r="S241" s="29" t="inlineStr">
        <is>
          <t>UI only</t>
        </is>
      </c>
      <c r="T241" s="29" t="inlineStr">
        <is>
          <t>SearchScreen</t>
        </is>
      </c>
      <c r="U241" s="29" t="inlineStr">
        <is>
          <t>SearchScreen, SearchResultsScreen</t>
        </is>
      </c>
      <c r="V241" s="29" t="inlineStr">
        <is>
          <t>searchService</t>
        </is>
      </c>
      <c r="W241" s="29" t="inlineStr">
        <is>
          <t>None</t>
        </is>
      </c>
      <c r="X241" s="29" t="inlineStr">
        <is>
          <t>None</t>
        </is>
      </c>
      <c r="Y241" s="29" t="inlineStr"/>
      <c r="Z241" s="29" t="inlineStr"/>
      <c r="AA241" s="29" t="inlineStr"/>
      <c r="AB241" s="29" t="inlineStr"/>
      <c r="AC241" s="29" t="inlineStr"/>
      <c r="AD241" s="29" t="inlineStr"/>
      <c r="AE241" s="29" t="inlineStr">
        <is>
          <t>User reachable</t>
        </is>
      </c>
      <c r="AF241" s="29" t="inlineStr">
        <is>
          <t>SearchScreen</t>
        </is>
      </c>
      <c r="AG241" s="29" t="inlineStr">
        <is>
          <t>Incomplete</t>
        </is>
      </c>
      <c r="AH241" s="29" t="inlineStr">
        <is>
          <t>No</t>
        </is>
      </c>
      <c r="AI241" s="29" t="inlineStr">
        <is>
          <t>Backend search API not implemented, uses mock data</t>
        </is>
      </c>
      <c r="AJ241" s="29" t="inlineStr">
        <is>
          <t>Source traced</t>
        </is>
      </c>
      <c r="AK241" s="29" t="inlineStr">
        <is>
          <t>EV-13-0005;EV-13-0006</t>
        </is>
      </c>
      <c r="AL241" s="29" t="inlineStr"/>
      <c r="AM241" s="29" t="inlineStr"/>
      <c r="AN241" s="29" t="inlineStr"/>
      <c r="AO241" s="29" t="inlineStr">
        <is>
          <t>8bc0dcb2a1da1b21368c5536aaeef829d587f316</t>
        </is>
      </c>
      <c r="AP241" s="29" t="inlineStr">
        <is>
          <t>High</t>
        </is>
      </c>
      <c r="AQ241" s="29" t="inlineStr">
        <is>
          <t>Not assessed</t>
        </is>
      </c>
      <c r="AR241" s="29" t="inlineStr">
        <is>
          <t>Not assessed</t>
        </is>
      </c>
      <c r="AS241" s="29" t="inlineStr">
        <is>
          <t>Fail</t>
        </is>
      </c>
      <c r="AT241" s="29" t="inlineStr">
        <is>
          <t>Not assessed</t>
        </is>
      </c>
      <c r="AU241" s="29" t="inlineStr">
        <is>
          <t>Not assessed</t>
        </is>
      </c>
      <c r="AV241" s="29" t="inlineStr">
        <is>
          <t>Not assessed</t>
        </is>
      </c>
      <c r="AW241" s="29" t="inlineStr">
        <is>
          <t>Not assessed</t>
        </is>
      </c>
      <c r="AX241" s="29" t="inlineStr">
        <is>
          <t>Not assessed</t>
        </is>
      </c>
      <c r="AY241" s="29" t="inlineStr">
        <is>
          <t>Not assessed</t>
        </is>
      </c>
      <c r="AZ241" s="29" t="inlineStr">
        <is>
          <t>Not assessed</t>
        </is>
      </c>
      <c r="BA241" s="29" t="inlineStr">
        <is>
          <t>Not assessed</t>
        </is>
      </c>
      <c r="BB241" s="29" t="inlineStr">
        <is>
          <t>Not assessed</t>
        </is>
      </c>
      <c r="BC241" s="29" t="inlineStr">
        <is>
          <t>Not assessed</t>
        </is>
      </c>
      <c r="BD241" s="29" t="inlineStr">
        <is>
          <t>Not assessed</t>
        </is>
      </c>
      <c r="BE241" s="29" t="inlineStr">
        <is>
          <t>Development required</t>
        </is>
      </c>
      <c r="BF241" s="29" t="inlineStr">
        <is>
          <t>Physical implementation is not complete against the stated requirement.; Backend search API not implemented, uses mock data</t>
        </is>
      </c>
      <c r="BG241" s="29" t="inlineStr"/>
      <c r="BH241" s="29" t="inlineStr"/>
      <c r="BI241" s="29" t="inlineStr"/>
      <c r="BJ241" s="29" t="inlineStr"/>
      <c r="BK241" s="29" t="inlineStr">
        <is>
          <t>Evidence reconciled against the reviewed source revision. No production approval is inferred from implementation or file presence.</t>
        </is>
      </c>
      <c r="BL241" s="29" t="inlineStr">
        <is>
          <t>2026-08-02</t>
        </is>
      </c>
    </row>
    <row r="242" ht="42" customHeight="1">
      <c r="A242" s="29" t="inlineStr">
        <is>
          <t>BLYP-13-004</t>
        </is>
      </c>
      <c r="B242" s="29" t="inlineStr"/>
      <c r="C242" s="29" t="inlineStr">
        <is>
          <t>Unified Search and Explore</t>
        </is>
      </c>
      <c r="D242" s="29" t="n">
        <v>13</v>
      </c>
      <c r="E242" s="29" t="n">
        <v>4</v>
      </c>
      <c r="F242" s="29" t="inlineStr">
        <is>
          <t>Feature</t>
        </is>
      </c>
      <c r="G242" s="29" t="inlineStr">
        <is>
          <t>Search hashtags</t>
        </is>
      </c>
      <c r="H242" s="29" t="inlineStr">
        <is>
          <t>Search hashtags</t>
        </is>
      </c>
      <c r="I242" s="29" t="inlineStr">
        <is>
          <t>/home/ubuntu/blyp_product_requirements.md :: Section 13 — Unified Search and Explore</t>
        </is>
      </c>
      <c r="J242" s="29" t="inlineStr">
        <is>
          <t>/home/ubuntu/BLYP_COMPLETE_FEATURE_LIST.md:316</t>
        </is>
      </c>
      <c r="K242" s="29" t="inlineStr">
        <is>
          <t>Required</t>
        </is>
      </c>
      <c r="L242" s="29" t="inlineStr">
        <is>
          <t>Applicable BLYP member</t>
        </is>
      </c>
      <c r="M242" s="29" t="inlineStr">
        <is>
          <t>BLYP mobile application and supporting production services</t>
        </is>
      </c>
      <c r="N242" s="29" t="inlineStr">
        <is>
          <t>Search hashtags</t>
        </is>
      </c>
      <c r="O242" s="29" t="inlineStr">
        <is>
          <t>Not explicitly defined in the product source; requires accountable product approval before production sign-off.</t>
        </is>
      </c>
      <c r="P242" s="29" t="inlineStr">
        <is>
          <t>None</t>
        </is>
      </c>
      <c r="Q242" s="29" t="inlineStr">
        <is>
          <t>Yes</t>
        </is>
      </c>
      <c r="R242" s="29" t="inlineStr"/>
      <c r="S242" s="29" t="inlineStr">
        <is>
          <t>UI only</t>
        </is>
      </c>
      <c r="T242" s="29" t="inlineStr">
        <is>
          <t>SearchScreen</t>
        </is>
      </c>
      <c r="U242" s="29" t="inlineStr">
        <is>
          <t>SearchScreen, SearchResultsScreen</t>
        </is>
      </c>
      <c r="V242" s="29" t="inlineStr">
        <is>
          <t>searchService</t>
        </is>
      </c>
      <c r="W242" s="29" t="inlineStr">
        <is>
          <t>None</t>
        </is>
      </c>
      <c r="X242" s="29" t="inlineStr">
        <is>
          <t>None</t>
        </is>
      </c>
      <c r="Y242" s="29" t="inlineStr"/>
      <c r="Z242" s="29" t="inlineStr"/>
      <c r="AA242" s="29" t="inlineStr"/>
      <c r="AB242" s="29" t="inlineStr"/>
      <c r="AC242" s="29" t="inlineStr"/>
      <c r="AD242" s="29" t="inlineStr"/>
      <c r="AE242" s="29" t="inlineStr">
        <is>
          <t>User reachable</t>
        </is>
      </c>
      <c r="AF242" s="29" t="inlineStr">
        <is>
          <t>SearchScreen</t>
        </is>
      </c>
      <c r="AG242" s="29" t="inlineStr">
        <is>
          <t>Incomplete</t>
        </is>
      </c>
      <c r="AH242" s="29" t="inlineStr">
        <is>
          <t>No</t>
        </is>
      </c>
      <c r="AI242" s="29" t="inlineStr">
        <is>
          <t>Backend search API not implemented, uses mock data</t>
        </is>
      </c>
      <c r="AJ242" s="29" t="inlineStr">
        <is>
          <t>Source traced</t>
        </is>
      </c>
      <c r="AK242" s="29" t="inlineStr">
        <is>
          <t>EV-13-0007;EV-13-0008</t>
        </is>
      </c>
      <c r="AL242" s="29" t="inlineStr"/>
      <c r="AM242" s="29" t="inlineStr"/>
      <c r="AN242" s="29" t="inlineStr"/>
      <c r="AO242" s="29" t="inlineStr">
        <is>
          <t>8bc0dcb2a1da1b21368c5536aaeef829d587f316</t>
        </is>
      </c>
      <c r="AP242" s="29" t="inlineStr">
        <is>
          <t>High</t>
        </is>
      </c>
      <c r="AQ242" s="29" t="inlineStr">
        <is>
          <t>Not assessed</t>
        </is>
      </c>
      <c r="AR242" s="29" t="inlineStr">
        <is>
          <t>Not assessed</t>
        </is>
      </c>
      <c r="AS242" s="29" t="inlineStr">
        <is>
          <t>Fail</t>
        </is>
      </c>
      <c r="AT242" s="29" t="inlineStr">
        <is>
          <t>Not assessed</t>
        </is>
      </c>
      <c r="AU242" s="29" t="inlineStr">
        <is>
          <t>Not assessed</t>
        </is>
      </c>
      <c r="AV242" s="29" t="inlineStr">
        <is>
          <t>Not assessed</t>
        </is>
      </c>
      <c r="AW242" s="29" t="inlineStr">
        <is>
          <t>Not assessed</t>
        </is>
      </c>
      <c r="AX242" s="29" t="inlineStr">
        <is>
          <t>Not assessed</t>
        </is>
      </c>
      <c r="AY242" s="29" t="inlineStr">
        <is>
          <t>Not assessed</t>
        </is>
      </c>
      <c r="AZ242" s="29" t="inlineStr">
        <is>
          <t>Not assessed</t>
        </is>
      </c>
      <c r="BA242" s="29" t="inlineStr">
        <is>
          <t>Not assessed</t>
        </is>
      </c>
      <c r="BB242" s="29" t="inlineStr">
        <is>
          <t>Not assessed</t>
        </is>
      </c>
      <c r="BC242" s="29" t="inlineStr">
        <is>
          <t>Not assessed</t>
        </is>
      </c>
      <c r="BD242" s="29" t="inlineStr">
        <is>
          <t>Not assessed</t>
        </is>
      </c>
      <c r="BE242" s="29" t="inlineStr">
        <is>
          <t>Development required</t>
        </is>
      </c>
      <c r="BF242" s="29" t="inlineStr">
        <is>
          <t>Physical implementation is not complete against the stated requirement.; Backend search API not implemented, uses mock data</t>
        </is>
      </c>
      <c r="BG242" s="29" t="inlineStr"/>
      <c r="BH242" s="29" t="inlineStr"/>
      <c r="BI242" s="29" t="inlineStr"/>
      <c r="BJ242" s="29" t="inlineStr"/>
      <c r="BK242" s="29" t="inlineStr">
        <is>
          <t>Evidence reconciled against the reviewed source revision. No production approval is inferred from implementation or file presence.</t>
        </is>
      </c>
      <c r="BL242" s="29" t="inlineStr">
        <is>
          <t>2026-08-02</t>
        </is>
      </c>
    </row>
    <row r="243" ht="42" customHeight="1">
      <c r="A243" s="29" t="inlineStr">
        <is>
          <t>BLYP-13-005</t>
        </is>
      </c>
      <c r="B243" s="29" t="inlineStr"/>
      <c r="C243" s="29" t="inlineStr">
        <is>
          <t>Unified Search and Explore</t>
        </is>
      </c>
      <c r="D243" s="29" t="n">
        <v>13</v>
      </c>
      <c r="E243" s="29" t="n">
        <v>5</v>
      </c>
      <c r="F243" s="29" t="inlineStr">
        <is>
          <t>Feature</t>
        </is>
      </c>
      <c r="G243" s="29" t="inlineStr">
        <is>
          <t>Search Interests</t>
        </is>
      </c>
      <c r="H243" s="29" t="inlineStr">
        <is>
          <t>Search Interests</t>
        </is>
      </c>
      <c r="I243" s="29" t="inlineStr">
        <is>
          <t>/home/ubuntu/blyp_product_requirements.md :: Section 13 — Unified Search and Explore</t>
        </is>
      </c>
      <c r="J243" s="29" t="inlineStr">
        <is>
          <t>/home/ubuntu/BLYP_COMPLETE_FEATURE_LIST.md:317</t>
        </is>
      </c>
      <c r="K243" s="29" t="inlineStr">
        <is>
          <t>Required</t>
        </is>
      </c>
      <c r="L243" s="29" t="inlineStr">
        <is>
          <t>Applicable BLYP member</t>
        </is>
      </c>
      <c r="M243" s="29" t="inlineStr">
        <is>
          <t>BLYP mobile application and supporting production services</t>
        </is>
      </c>
      <c r="N243" s="29" t="inlineStr">
        <is>
          <t>Search Interests</t>
        </is>
      </c>
      <c r="O243" s="29" t="inlineStr">
        <is>
          <t>Not explicitly defined in the product source; requires accountable product approval before production sign-off.</t>
        </is>
      </c>
      <c r="P243" s="29" t="inlineStr"/>
      <c r="Q243" s="29" t="inlineStr">
        <is>
          <t>Partial</t>
        </is>
      </c>
      <c r="R243" s="29" t="inlineStr"/>
      <c r="S243" s="29" t="inlineStr">
        <is>
          <t>Not found</t>
        </is>
      </c>
      <c r="T243" s="29" t="inlineStr"/>
      <c r="U243" s="29" t="inlineStr"/>
      <c r="V243" s="29" t="inlineStr"/>
      <c r="W243" s="29" t="inlineStr"/>
      <c r="X243" s="29" t="inlineStr"/>
      <c r="Y243" s="29" t="inlineStr"/>
      <c r="Z243" s="29" t="inlineStr"/>
      <c r="AA243" s="29" t="inlineStr"/>
      <c r="AB243" s="29" t="inlineStr"/>
      <c r="AC243" s="29" t="inlineStr"/>
      <c r="AD243" s="29" t="inlineStr"/>
      <c r="AE243" s="29" t="inlineStr">
        <is>
          <t>Unknown</t>
        </is>
      </c>
      <c r="AF243" s="29" t="inlineStr"/>
      <c r="AG243" s="29" t="inlineStr">
        <is>
          <t>Unknown</t>
        </is>
      </c>
      <c r="AH243" s="29" t="inlineStr">
        <is>
          <t>Unknown</t>
        </is>
      </c>
      <c r="AI243" s="29" t="inlineStr">
        <is>
          <t>Searched for 'interest' in search files, no evidence found</t>
        </is>
      </c>
      <c r="AJ243" s="29" t="inlineStr">
        <is>
          <t>Not verified</t>
        </is>
      </c>
      <c r="AK243" s="29" t="inlineStr"/>
      <c r="AL243" s="29" t="inlineStr"/>
      <c r="AM243" s="29" t="inlineStr"/>
      <c r="AN243" s="29" t="inlineStr"/>
      <c r="AO243" s="29" t="inlineStr">
        <is>
          <t>8bc0dcb2a1da1b21368c5536aaeef829d587f316</t>
        </is>
      </c>
      <c r="AP243" s="29" t="inlineStr">
        <is>
          <t>Unrated</t>
        </is>
      </c>
      <c r="AQ243" s="29" t="inlineStr">
        <is>
          <t>Not assessed</t>
        </is>
      </c>
      <c r="AR243" s="29" t="inlineStr">
        <is>
          <t>Not assessed</t>
        </is>
      </c>
      <c r="AS243" s="29" t="inlineStr">
        <is>
          <t>Not assessed</t>
        </is>
      </c>
      <c r="AT243" s="29" t="inlineStr">
        <is>
          <t>Not assessed</t>
        </is>
      </c>
      <c r="AU243" s="29" t="inlineStr">
        <is>
          <t>Not assessed</t>
        </is>
      </c>
      <c r="AV243" s="29" t="inlineStr">
        <is>
          <t>Not assessed</t>
        </is>
      </c>
      <c r="AW243" s="29" t="inlineStr">
        <is>
          <t>Not assessed</t>
        </is>
      </c>
      <c r="AX243" s="29" t="inlineStr">
        <is>
          <t>Not assessed</t>
        </is>
      </c>
      <c r="AY243" s="29" t="inlineStr">
        <is>
          <t>Not assessed</t>
        </is>
      </c>
      <c r="AZ243" s="29" t="inlineStr">
        <is>
          <t>Not assessed</t>
        </is>
      </c>
      <c r="BA243" s="29" t="inlineStr">
        <is>
          <t>Not assessed</t>
        </is>
      </c>
      <c r="BB243" s="29" t="inlineStr">
        <is>
          <t>Not assessed</t>
        </is>
      </c>
      <c r="BC243" s="29" t="inlineStr">
        <is>
          <t>Not assessed</t>
        </is>
      </c>
      <c r="BD243" s="29" t="inlineStr">
        <is>
          <t>Not assessed</t>
        </is>
      </c>
      <c r="BE243" s="29" t="inlineStr">
        <is>
          <t>Development required</t>
        </is>
      </c>
      <c r="BF243" s="29" t="inlineStr">
        <is>
          <t>Physical implementation is not complete against the stated requirement.; Searched for 'interest' in search files, no evidence found</t>
        </is>
      </c>
      <c r="BG243" s="29" t="inlineStr"/>
      <c r="BH243" s="29" t="inlineStr"/>
      <c r="BI243" s="29" t="inlineStr"/>
      <c r="BJ243" s="29" t="inlineStr"/>
      <c r="BK243" s="29" t="inlineStr">
        <is>
          <t>Evidence reconciled against the reviewed source revision. No production approval is inferred from implementation or file presence.</t>
        </is>
      </c>
      <c r="BL243" s="29" t="inlineStr">
        <is>
          <t>2026-08-02</t>
        </is>
      </c>
    </row>
    <row r="244" ht="42" customHeight="1">
      <c r="A244" s="29" t="inlineStr">
        <is>
          <t>BLYP-13-006</t>
        </is>
      </c>
      <c r="B244" s="29" t="inlineStr"/>
      <c r="C244" s="29" t="inlineStr">
        <is>
          <t>Unified Search and Explore</t>
        </is>
      </c>
      <c r="D244" s="29" t="n">
        <v>13</v>
      </c>
      <c r="E244" s="29" t="n">
        <v>6</v>
      </c>
      <c r="F244" s="29" t="inlineStr">
        <is>
          <t>Feature</t>
        </is>
      </c>
      <c r="G244" s="29" t="inlineStr">
        <is>
          <t>Search Teams</t>
        </is>
      </c>
      <c r="H244" s="29" t="inlineStr">
        <is>
          <t>Search Teams</t>
        </is>
      </c>
      <c r="I244" s="29" t="inlineStr">
        <is>
          <t>/home/ubuntu/blyp_product_requirements.md :: Section 13 — Unified Search and Explore</t>
        </is>
      </c>
      <c r="J244" s="29" t="inlineStr">
        <is>
          <t>/home/ubuntu/BLYP_COMPLETE_FEATURE_LIST.md:318</t>
        </is>
      </c>
      <c r="K244" s="29" t="inlineStr">
        <is>
          <t>Required</t>
        </is>
      </c>
      <c r="L244" s="29" t="inlineStr">
        <is>
          <t>Applicable BLYP member</t>
        </is>
      </c>
      <c r="M244" s="29" t="inlineStr">
        <is>
          <t>BLYP mobile application and supporting production services</t>
        </is>
      </c>
      <c r="N244" s="29" t="inlineStr">
        <is>
          <t>Search Teams</t>
        </is>
      </c>
      <c r="O244" s="29" t="inlineStr">
        <is>
          <t>Not explicitly defined in the product source; requires accountable product approval before production sign-off.</t>
        </is>
      </c>
      <c r="P244" s="29" t="inlineStr"/>
      <c r="Q244" s="29" t="inlineStr">
        <is>
          <t>Scaffold only</t>
        </is>
      </c>
      <c r="R244" s="29" t="inlineStr"/>
      <c r="S244" s="29" t="inlineStr">
        <is>
          <t>Not found</t>
        </is>
      </c>
      <c r="T244" s="29" t="inlineStr"/>
      <c r="U244" s="29" t="inlineStr"/>
      <c r="V244" s="29" t="inlineStr"/>
      <c r="W244" s="29" t="inlineStr"/>
      <c r="X244" s="29" t="inlineStr"/>
      <c r="Y244" s="29" t="inlineStr"/>
      <c r="Z244" s="29" t="inlineStr"/>
      <c r="AA244" s="29" t="inlineStr"/>
      <c r="AB244" s="29" t="inlineStr"/>
      <c r="AC244" s="29" t="inlineStr"/>
      <c r="AD244" s="29" t="inlineStr"/>
      <c r="AE244" s="29" t="inlineStr">
        <is>
          <t>Unknown</t>
        </is>
      </c>
      <c r="AF244" s="29" t="inlineStr"/>
      <c r="AG244" s="29" t="inlineStr">
        <is>
          <t>Unknown</t>
        </is>
      </c>
      <c r="AH244" s="29" t="inlineStr">
        <is>
          <t>Unknown</t>
        </is>
      </c>
      <c r="AI244" s="29" t="inlineStr">
        <is>
          <t>Searched for 'team' in search files, no evidence found</t>
        </is>
      </c>
      <c r="AJ244" s="29" t="inlineStr">
        <is>
          <t>Not verified</t>
        </is>
      </c>
      <c r="AK244" s="29" t="inlineStr"/>
      <c r="AL244" s="29" t="inlineStr"/>
      <c r="AM244" s="29" t="inlineStr"/>
      <c r="AN244" s="29" t="inlineStr"/>
      <c r="AO244" s="29" t="inlineStr">
        <is>
          <t>8bc0dcb2a1da1b21368c5536aaeef829d587f316</t>
        </is>
      </c>
      <c r="AP244" s="29" t="inlineStr">
        <is>
          <t>Unrated</t>
        </is>
      </c>
      <c r="AQ244" s="29" t="inlineStr">
        <is>
          <t>Not assessed</t>
        </is>
      </c>
      <c r="AR244" s="29" t="inlineStr">
        <is>
          <t>Not assessed</t>
        </is>
      </c>
      <c r="AS244" s="29" t="inlineStr">
        <is>
          <t>Not assessed</t>
        </is>
      </c>
      <c r="AT244" s="29" t="inlineStr">
        <is>
          <t>Not assessed</t>
        </is>
      </c>
      <c r="AU244" s="29" t="inlineStr">
        <is>
          <t>Not assessed</t>
        </is>
      </c>
      <c r="AV244" s="29" t="inlineStr">
        <is>
          <t>Not assessed</t>
        </is>
      </c>
      <c r="AW244" s="29" t="inlineStr">
        <is>
          <t>Not assessed</t>
        </is>
      </c>
      <c r="AX244" s="29" t="inlineStr">
        <is>
          <t>Not assessed</t>
        </is>
      </c>
      <c r="AY244" s="29" t="inlineStr">
        <is>
          <t>Not assessed</t>
        </is>
      </c>
      <c r="AZ244" s="29" t="inlineStr">
        <is>
          <t>Not assessed</t>
        </is>
      </c>
      <c r="BA244" s="29" t="inlineStr">
        <is>
          <t>Not assessed</t>
        </is>
      </c>
      <c r="BB244" s="29" t="inlineStr">
        <is>
          <t>Not assessed</t>
        </is>
      </c>
      <c r="BC244" s="29" t="inlineStr">
        <is>
          <t>Not assessed</t>
        </is>
      </c>
      <c r="BD244" s="29" t="inlineStr">
        <is>
          <t>Not assessed</t>
        </is>
      </c>
      <c r="BE244" s="29" t="inlineStr">
        <is>
          <t>Development required</t>
        </is>
      </c>
      <c r="BF244" s="29" t="inlineStr">
        <is>
          <t>Physical implementation is not complete against the stated requirement.; Searched for 'team' in search files, no evidence found</t>
        </is>
      </c>
      <c r="BG244" s="29" t="inlineStr"/>
      <c r="BH244" s="29" t="inlineStr"/>
      <c r="BI244" s="29" t="inlineStr"/>
      <c r="BJ244" s="29" t="inlineStr"/>
      <c r="BK244" s="29" t="inlineStr">
        <is>
          <t>Evidence reconciled against the reviewed source revision. No production approval is inferred from implementation or file presence.</t>
        </is>
      </c>
      <c r="BL244" s="29" t="inlineStr">
        <is>
          <t>2026-08-02</t>
        </is>
      </c>
    </row>
    <row r="245" ht="42" customHeight="1">
      <c r="A245" s="29" t="inlineStr">
        <is>
          <t>BLYP-13-007</t>
        </is>
      </c>
      <c r="B245" s="29" t="inlineStr"/>
      <c r="C245" s="29" t="inlineStr">
        <is>
          <t>Unified Search and Explore</t>
        </is>
      </c>
      <c r="D245" s="29" t="n">
        <v>13</v>
      </c>
      <c r="E245" s="29" t="n">
        <v>7</v>
      </c>
      <c r="F245" s="29" t="inlineStr">
        <is>
          <t>Feature</t>
        </is>
      </c>
      <c r="G245" s="29" t="inlineStr">
        <is>
          <t>Search Battles</t>
        </is>
      </c>
      <c r="H245" s="29" t="inlineStr">
        <is>
          <t>Search Battles</t>
        </is>
      </c>
      <c r="I245" s="29" t="inlineStr">
        <is>
          <t>/home/ubuntu/blyp_product_requirements.md :: Section 13 — Unified Search and Explore</t>
        </is>
      </c>
      <c r="J245" s="29" t="inlineStr">
        <is>
          <t>/home/ubuntu/BLYP_COMPLETE_FEATURE_LIST.md:319</t>
        </is>
      </c>
      <c r="K245" s="29" t="inlineStr">
        <is>
          <t>Required</t>
        </is>
      </c>
      <c r="L245" s="29" t="inlineStr">
        <is>
          <t>Applicable BLYP member</t>
        </is>
      </c>
      <c r="M245" s="29" t="inlineStr">
        <is>
          <t>BLYP mobile application and supporting production services</t>
        </is>
      </c>
      <c r="N245" s="29" t="inlineStr">
        <is>
          <t>Search Battles</t>
        </is>
      </c>
      <c r="O245" s="29" t="inlineStr">
        <is>
          <t>Not explicitly defined in the product source; requires accountable product approval before production sign-off.</t>
        </is>
      </c>
      <c r="P245" s="29" t="inlineStr"/>
      <c r="Q245" s="29" t="inlineStr">
        <is>
          <t>Scaffold only</t>
        </is>
      </c>
      <c r="R245" s="29" t="inlineStr"/>
      <c r="S245" s="29" t="inlineStr">
        <is>
          <t>Not found</t>
        </is>
      </c>
      <c r="T245" s="29" t="inlineStr"/>
      <c r="U245" s="29" t="inlineStr"/>
      <c r="V245" s="29" t="inlineStr"/>
      <c r="W245" s="29" t="inlineStr"/>
      <c r="X245" s="29" t="inlineStr"/>
      <c r="Y245" s="29" t="inlineStr"/>
      <c r="Z245" s="29" t="inlineStr"/>
      <c r="AA245" s="29" t="inlineStr"/>
      <c r="AB245" s="29" t="inlineStr"/>
      <c r="AC245" s="29" t="inlineStr"/>
      <c r="AD245" s="29" t="inlineStr"/>
      <c r="AE245" s="29" t="inlineStr">
        <is>
          <t>Unknown</t>
        </is>
      </c>
      <c r="AF245" s="29" t="inlineStr"/>
      <c r="AG245" s="29" t="inlineStr">
        <is>
          <t>Unknown</t>
        </is>
      </c>
      <c r="AH245" s="29" t="inlineStr">
        <is>
          <t>Unknown</t>
        </is>
      </c>
      <c r="AI245" s="29" t="inlineStr">
        <is>
          <t>Searched for 'battle' in search files, no evidence found</t>
        </is>
      </c>
      <c r="AJ245" s="29" t="inlineStr">
        <is>
          <t>Not verified</t>
        </is>
      </c>
      <c r="AK245" s="29" t="inlineStr"/>
      <c r="AL245" s="29" t="inlineStr"/>
      <c r="AM245" s="29" t="inlineStr"/>
      <c r="AN245" s="29" t="inlineStr"/>
      <c r="AO245" s="29" t="inlineStr">
        <is>
          <t>8bc0dcb2a1da1b21368c5536aaeef829d587f316</t>
        </is>
      </c>
      <c r="AP245" s="29" t="inlineStr">
        <is>
          <t>Unrated</t>
        </is>
      </c>
      <c r="AQ245" s="29" t="inlineStr">
        <is>
          <t>Not assessed</t>
        </is>
      </c>
      <c r="AR245" s="29" t="inlineStr">
        <is>
          <t>Not assessed</t>
        </is>
      </c>
      <c r="AS245" s="29" t="inlineStr">
        <is>
          <t>Not assessed</t>
        </is>
      </c>
      <c r="AT245" s="29" t="inlineStr">
        <is>
          <t>Not assessed</t>
        </is>
      </c>
      <c r="AU245" s="29" t="inlineStr">
        <is>
          <t>Not assessed</t>
        </is>
      </c>
      <c r="AV245" s="29" t="inlineStr">
        <is>
          <t>Not assessed</t>
        </is>
      </c>
      <c r="AW245" s="29" t="inlineStr">
        <is>
          <t>Not assessed</t>
        </is>
      </c>
      <c r="AX245" s="29" t="inlineStr">
        <is>
          <t>Not assessed</t>
        </is>
      </c>
      <c r="AY245" s="29" t="inlineStr">
        <is>
          <t>Not assessed</t>
        </is>
      </c>
      <c r="AZ245" s="29" t="inlineStr">
        <is>
          <t>Not assessed</t>
        </is>
      </c>
      <c r="BA245" s="29" t="inlineStr">
        <is>
          <t>Not assessed</t>
        </is>
      </c>
      <c r="BB245" s="29" t="inlineStr">
        <is>
          <t>Not assessed</t>
        </is>
      </c>
      <c r="BC245" s="29" t="inlineStr">
        <is>
          <t>Not assessed</t>
        </is>
      </c>
      <c r="BD245" s="29" t="inlineStr">
        <is>
          <t>Not assessed</t>
        </is>
      </c>
      <c r="BE245" s="29" t="inlineStr">
        <is>
          <t>Development required</t>
        </is>
      </c>
      <c r="BF245" s="29" t="inlineStr">
        <is>
          <t>Physical implementation is not complete against the stated requirement.; Searched for 'battle' in search files, no evidence found</t>
        </is>
      </c>
      <c r="BG245" s="29" t="inlineStr"/>
      <c r="BH245" s="29" t="inlineStr"/>
      <c r="BI245" s="29" t="inlineStr"/>
      <c r="BJ245" s="29" t="inlineStr"/>
      <c r="BK245" s="29" t="inlineStr">
        <is>
          <t>Evidence reconciled against the reviewed source revision. No production approval is inferred from implementation or file presence.</t>
        </is>
      </c>
      <c r="BL245" s="29" t="inlineStr">
        <is>
          <t>2026-08-02</t>
        </is>
      </c>
    </row>
    <row r="246" ht="42" customHeight="1">
      <c r="A246" s="29" t="inlineStr">
        <is>
          <t>BLYP-13-008</t>
        </is>
      </c>
      <c r="B246" s="29" t="inlineStr"/>
      <c r="C246" s="29" t="inlineStr">
        <is>
          <t>Unified Search and Explore</t>
        </is>
      </c>
      <c r="D246" s="29" t="n">
        <v>13</v>
      </c>
      <c r="E246" s="29" t="n">
        <v>8</v>
      </c>
      <c r="F246" s="29" t="inlineStr">
        <is>
          <t>Feature</t>
        </is>
      </c>
      <c r="G246" s="29" t="inlineStr">
        <is>
          <t>Search broadcasts</t>
        </is>
      </c>
      <c r="H246" s="29" t="inlineStr">
        <is>
          <t>Search broadcasts</t>
        </is>
      </c>
      <c r="I246" s="29" t="inlineStr">
        <is>
          <t>/home/ubuntu/blyp_product_requirements.md :: Section 13 — Unified Search and Explore</t>
        </is>
      </c>
      <c r="J246" s="29" t="inlineStr">
        <is>
          <t>/home/ubuntu/BLYP_COMPLETE_FEATURE_LIST.md:320</t>
        </is>
      </c>
      <c r="K246" s="29" t="inlineStr">
        <is>
          <t>Required</t>
        </is>
      </c>
      <c r="L246" s="29" t="inlineStr">
        <is>
          <t>Applicable BLYP member</t>
        </is>
      </c>
      <c r="M246" s="29" t="inlineStr">
        <is>
          <t>BLYP mobile application and supporting production services</t>
        </is>
      </c>
      <c r="N246" s="29" t="inlineStr">
        <is>
          <t>Search broadcasts</t>
        </is>
      </c>
      <c r="O246" s="29" t="inlineStr">
        <is>
          <t>Not explicitly defined in the product source; requires accountable product approval before production sign-off.</t>
        </is>
      </c>
      <c r="P246" s="29" t="inlineStr"/>
      <c r="Q246" s="29" t="inlineStr">
        <is>
          <t>Partial</t>
        </is>
      </c>
      <c r="R246" s="29" t="inlineStr"/>
      <c r="S246" s="29" t="inlineStr">
        <is>
          <t>Not found</t>
        </is>
      </c>
      <c r="T246" s="29" t="inlineStr"/>
      <c r="U246" s="29" t="inlineStr"/>
      <c r="V246" s="29" t="inlineStr"/>
      <c r="W246" s="29" t="inlineStr"/>
      <c r="X246" s="29" t="inlineStr"/>
      <c r="Y246" s="29" t="inlineStr"/>
      <c r="Z246" s="29" t="inlineStr"/>
      <c r="AA246" s="29" t="inlineStr"/>
      <c r="AB246" s="29" t="inlineStr"/>
      <c r="AC246" s="29" t="inlineStr"/>
      <c r="AD246" s="29" t="inlineStr"/>
      <c r="AE246" s="29" t="inlineStr">
        <is>
          <t>Unknown</t>
        </is>
      </c>
      <c r="AF246" s="29" t="inlineStr"/>
      <c r="AG246" s="29" t="inlineStr">
        <is>
          <t>Unknown</t>
        </is>
      </c>
      <c r="AH246" s="29" t="inlineStr">
        <is>
          <t>Unknown</t>
        </is>
      </c>
      <c r="AI246" s="29" t="inlineStr">
        <is>
          <t>Searched for 'broadcast' in search files, no evidence found</t>
        </is>
      </c>
      <c r="AJ246" s="29" t="inlineStr">
        <is>
          <t>Not verified</t>
        </is>
      </c>
      <c r="AK246" s="29" t="inlineStr"/>
      <c r="AL246" s="29" t="inlineStr"/>
      <c r="AM246" s="29" t="inlineStr"/>
      <c r="AN246" s="29" t="inlineStr"/>
      <c r="AO246" s="29" t="inlineStr">
        <is>
          <t>8bc0dcb2a1da1b21368c5536aaeef829d587f316</t>
        </is>
      </c>
      <c r="AP246" s="29" t="inlineStr">
        <is>
          <t>Unrated</t>
        </is>
      </c>
      <c r="AQ246" s="29" t="inlineStr">
        <is>
          <t>Not assessed</t>
        </is>
      </c>
      <c r="AR246" s="29" t="inlineStr">
        <is>
          <t>Not assessed</t>
        </is>
      </c>
      <c r="AS246" s="29" t="inlineStr">
        <is>
          <t>Not assessed</t>
        </is>
      </c>
      <c r="AT246" s="29" t="inlineStr">
        <is>
          <t>Not assessed</t>
        </is>
      </c>
      <c r="AU246" s="29" t="inlineStr">
        <is>
          <t>Not assessed</t>
        </is>
      </c>
      <c r="AV246" s="29" t="inlineStr">
        <is>
          <t>Not assessed</t>
        </is>
      </c>
      <c r="AW246" s="29" t="inlineStr">
        <is>
          <t>Not assessed</t>
        </is>
      </c>
      <c r="AX246" s="29" t="inlineStr">
        <is>
          <t>Not assessed</t>
        </is>
      </c>
      <c r="AY246" s="29" t="inlineStr">
        <is>
          <t>Not assessed</t>
        </is>
      </c>
      <c r="AZ246" s="29" t="inlineStr">
        <is>
          <t>Not assessed</t>
        </is>
      </c>
      <c r="BA246" s="29" t="inlineStr">
        <is>
          <t>Not assessed</t>
        </is>
      </c>
      <c r="BB246" s="29" t="inlineStr">
        <is>
          <t>Not assessed</t>
        </is>
      </c>
      <c r="BC246" s="29" t="inlineStr">
        <is>
          <t>Not assessed</t>
        </is>
      </c>
      <c r="BD246" s="29" t="inlineStr">
        <is>
          <t>Not assessed</t>
        </is>
      </c>
      <c r="BE246" s="29" t="inlineStr">
        <is>
          <t>Development required</t>
        </is>
      </c>
      <c r="BF246" s="29" t="inlineStr">
        <is>
          <t>Physical implementation is not complete against the stated requirement.; Searched for 'broadcast' in search files, no evidence found</t>
        </is>
      </c>
      <c r="BG246" s="29" t="inlineStr"/>
      <c r="BH246" s="29" t="inlineStr"/>
      <c r="BI246" s="29" t="inlineStr"/>
      <c r="BJ246" s="29" t="inlineStr"/>
      <c r="BK246" s="29" t="inlineStr">
        <is>
          <t>Evidence reconciled against the reviewed source revision. No production approval is inferred from implementation or file presence.</t>
        </is>
      </c>
      <c r="BL246" s="29" t="inlineStr">
        <is>
          <t>2026-08-02</t>
        </is>
      </c>
    </row>
    <row r="247" ht="42" customHeight="1">
      <c r="A247" s="29" t="inlineStr">
        <is>
          <t>BLYP-13-009</t>
        </is>
      </c>
      <c r="B247" s="29" t="inlineStr"/>
      <c r="C247" s="29" t="inlineStr">
        <is>
          <t>Unified Search and Explore</t>
        </is>
      </c>
      <c r="D247" s="29" t="n">
        <v>13</v>
      </c>
      <c r="E247" s="29" t="n">
        <v>9</v>
      </c>
      <c r="F247" s="29" t="inlineStr">
        <is>
          <t>Feature</t>
        </is>
      </c>
      <c r="G247" s="29" t="inlineStr">
        <is>
          <t>Search communal rooms</t>
        </is>
      </c>
      <c r="H247" s="29" t="inlineStr">
        <is>
          <t>Search communal rooms</t>
        </is>
      </c>
      <c r="I247" s="29" t="inlineStr">
        <is>
          <t>/home/ubuntu/blyp_product_requirements.md :: Section 13 — Unified Search and Explore</t>
        </is>
      </c>
      <c r="J247" s="29" t="inlineStr">
        <is>
          <t>/home/ubuntu/BLYP_COMPLETE_FEATURE_LIST.md:321</t>
        </is>
      </c>
      <c r="K247" s="29" t="inlineStr">
        <is>
          <t>Required</t>
        </is>
      </c>
      <c r="L247" s="29" t="inlineStr">
        <is>
          <t>Applicable BLYP member</t>
        </is>
      </c>
      <c r="M247" s="29" t="inlineStr">
        <is>
          <t>BLYP mobile application and supporting production services</t>
        </is>
      </c>
      <c r="N247" s="29" t="inlineStr">
        <is>
          <t>Search communal rooms</t>
        </is>
      </c>
      <c r="O247" s="29" t="inlineStr">
        <is>
          <t>Not explicitly defined in the product source; requires accountable product approval before production sign-off.</t>
        </is>
      </c>
      <c r="P247" s="29" t="inlineStr"/>
      <c r="Q247" s="29" t="inlineStr">
        <is>
          <t>Partial</t>
        </is>
      </c>
      <c r="R247" s="29" t="inlineStr">
        <is>
          <t>text rooms exist; communal live rooms do not.</t>
        </is>
      </c>
      <c r="S247" s="29" t="inlineStr">
        <is>
          <t>Not found</t>
        </is>
      </c>
      <c r="T247" s="29" t="inlineStr"/>
      <c r="U247" s="29" t="inlineStr"/>
      <c r="V247" s="29" t="inlineStr"/>
      <c r="W247" s="29" t="inlineStr"/>
      <c r="X247" s="29" t="inlineStr"/>
      <c r="Y247" s="29" t="inlineStr"/>
      <c r="Z247" s="29" t="inlineStr"/>
      <c r="AA247" s="29" t="inlineStr"/>
      <c r="AB247" s="29" t="inlineStr"/>
      <c r="AC247" s="29" t="inlineStr"/>
      <c r="AD247" s="29" t="inlineStr"/>
      <c r="AE247" s="29" t="inlineStr">
        <is>
          <t>Unknown</t>
        </is>
      </c>
      <c r="AF247" s="29" t="inlineStr"/>
      <c r="AG247" s="29" t="inlineStr">
        <is>
          <t>Unknown</t>
        </is>
      </c>
      <c r="AH247" s="29" t="inlineStr">
        <is>
          <t>Unknown</t>
        </is>
      </c>
      <c r="AI247" s="29" t="inlineStr">
        <is>
          <t>Searched for 'communal' in search files, no evidence found</t>
        </is>
      </c>
      <c r="AJ247" s="29" t="inlineStr">
        <is>
          <t>Not verified</t>
        </is>
      </c>
      <c r="AK247" s="29" t="inlineStr"/>
      <c r="AL247" s="29" t="inlineStr"/>
      <c r="AM247" s="29" t="inlineStr"/>
      <c r="AN247" s="29" t="inlineStr"/>
      <c r="AO247" s="29" t="inlineStr">
        <is>
          <t>8bc0dcb2a1da1b21368c5536aaeef829d587f316</t>
        </is>
      </c>
      <c r="AP247" s="29" t="inlineStr">
        <is>
          <t>Unrated</t>
        </is>
      </c>
      <c r="AQ247" s="29" t="inlineStr">
        <is>
          <t>Not assessed</t>
        </is>
      </c>
      <c r="AR247" s="29" t="inlineStr">
        <is>
          <t>Not assessed</t>
        </is>
      </c>
      <c r="AS247" s="29" t="inlineStr">
        <is>
          <t>Not assessed</t>
        </is>
      </c>
      <c r="AT247" s="29" t="inlineStr">
        <is>
          <t>Not assessed</t>
        </is>
      </c>
      <c r="AU247" s="29" t="inlineStr">
        <is>
          <t>Not assessed</t>
        </is>
      </c>
      <c r="AV247" s="29" t="inlineStr">
        <is>
          <t>Not assessed</t>
        </is>
      </c>
      <c r="AW247" s="29" t="inlineStr">
        <is>
          <t>Not assessed</t>
        </is>
      </c>
      <c r="AX247" s="29" t="inlineStr">
        <is>
          <t>Not assessed</t>
        </is>
      </c>
      <c r="AY247" s="29" t="inlineStr">
        <is>
          <t>Not assessed</t>
        </is>
      </c>
      <c r="AZ247" s="29" t="inlineStr">
        <is>
          <t>Not assessed</t>
        </is>
      </c>
      <c r="BA247" s="29" t="inlineStr">
        <is>
          <t>Not assessed</t>
        </is>
      </c>
      <c r="BB247" s="29" t="inlineStr">
        <is>
          <t>Not assessed</t>
        </is>
      </c>
      <c r="BC247" s="29" t="inlineStr">
        <is>
          <t>Not assessed</t>
        </is>
      </c>
      <c r="BD247" s="29" t="inlineStr">
        <is>
          <t>Not assessed</t>
        </is>
      </c>
      <c r="BE247" s="29" t="inlineStr">
        <is>
          <t>Development required</t>
        </is>
      </c>
      <c r="BF247" s="29" t="inlineStr">
        <is>
          <t>Physical implementation is not complete against the stated requirement.; Searched for 'communal' in search files, no evidence found</t>
        </is>
      </c>
      <c r="BG247" s="29" t="inlineStr"/>
      <c r="BH247" s="29" t="inlineStr"/>
      <c r="BI247" s="29" t="inlineStr"/>
      <c r="BJ247" s="29" t="inlineStr"/>
      <c r="BK247" s="29" t="inlineStr">
        <is>
          <t>Evidence reconciled against the reviewed source revision. No production approval is inferred from implementation or file presence.</t>
        </is>
      </c>
      <c r="BL247" s="29" t="inlineStr">
        <is>
          <t>2026-08-02</t>
        </is>
      </c>
    </row>
    <row r="248" ht="42" customHeight="1">
      <c r="A248" s="29" t="inlineStr">
        <is>
          <t>BLYP-13-010</t>
        </is>
      </c>
      <c r="B248" s="29" t="inlineStr"/>
      <c r="C248" s="29" t="inlineStr">
        <is>
          <t>Unified Search and Explore</t>
        </is>
      </c>
      <c r="D248" s="29" t="n">
        <v>13</v>
      </c>
      <c r="E248" s="29" t="n">
        <v>10</v>
      </c>
      <c r="F248" s="29" t="inlineStr">
        <is>
          <t>Feature</t>
        </is>
      </c>
      <c r="G248" s="29" t="inlineStr">
        <is>
          <t>Grouped search results</t>
        </is>
      </c>
      <c r="H248" s="29" t="inlineStr">
        <is>
          <t>Grouped search results</t>
        </is>
      </c>
      <c r="I248" s="29" t="inlineStr">
        <is>
          <t>/home/ubuntu/blyp_product_requirements.md :: Section 13 — Unified Search and Explore</t>
        </is>
      </c>
      <c r="J248" s="29" t="inlineStr">
        <is>
          <t>/home/ubuntu/BLYP_COMPLETE_FEATURE_LIST.md:322</t>
        </is>
      </c>
      <c r="K248" s="29" t="inlineStr">
        <is>
          <t>Required</t>
        </is>
      </c>
      <c r="L248" s="29" t="inlineStr">
        <is>
          <t>Applicable BLYP member</t>
        </is>
      </c>
      <c r="M248" s="29" t="inlineStr">
        <is>
          <t>BLYP mobile application and supporting production services</t>
        </is>
      </c>
      <c r="N248" s="29" t="inlineStr">
        <is>
          <t>Grouped search results</t>
        </is>
      </c>
      <c r="O248" s="29" t="inlineStr">
        <is>
          <t>Not explicitly defined in the product source; requires accountable product approval before production sign-off.</t>
        </is>
      </c>
      <c r="P248" s="29" t="inlineStr">
        <is>
          <t>None</t>
        </is>
      </c>
      <c r="Q248" s="29" t="inlineStr">
        <is>
          <t>Partial</t>
        </is>
      </c>
      <c r="R248" s="29" t="inlineStr"/>
      <c r="S248" s="29" t="inlineStr">
        <is>
          <t>UI only</t>
        </is>
      </c>
      <c r="T248" s="29" t="inlineStr">
        <is>
          <t>SearchScreen</t>
        </is>
      </c>
      <c r="U248" s="29" t="inlineStr">
        <is>
          <t>SearchScreen</t>
        </is>
      </c>
      <c r="V248" s="29" t="inlineStr">
        <is>
          <t>searchService</t>
        </is>
      </c>
      <c r="W248" s="29" t="inlineStr">
        <is>
          <t>None</t>
        </is>
      </c>
      <c r="X248" s="29" t="inlineStr">
        <is>
          <t>None</t>
        </is>
      </c>
      <c r="Y248" s="29" t="inlineStr"/>
      <c r="Z248" s="29" t="inlineStr"/>
      <c r="AA248" s="29" t="inlineStr"/>
      <c r="AB248" s="29" t="inlineStr"/>
      <c r="AC248" s="29" t="inlineStr"/>
      <c r="AD248" s="29" t="inlineStr"/>
      <c r="AE248" s="29" t="inlineStr">
        <is>
          <t>User reachable</t>
        </is>
      </c>
      <c r="AF248" s="29" t="inlineStr">
        <is>
          <t>SearchScreen</t>
        </is>
      </c>
      <c r="AG248" s="29" t="inlineStr">
        <is>
          <t>Incomplete</t>
        </is>
      </c>
      <c r="AH248" s="29" t="inlineStr">
        <is>
          <t>No</t>
        </is>
      </c>
      <c r="AI248" s="29" t="inlineStr">
        <is>
          <t>Backend search API not implemented, uses mock data</t>
        </is>
      </c>
      <c r="AJ248" s="29" t="inlineStr">
        <is>
          <t>Source traced</t>
        </is>
      </c>
      <c r="AK248" s="29" t="inlineStr">
        <is>
          <t>EV-13-0009</t>
        </is>
      </c>
      <c r="AL248" s="29" t="inlineStr"/>
      <c r="AM248" s="29" t="inlineStr"/>
      <c r="AN248" s="29" t="inlineStr"/>
      <c r="AO248" s="29" t="inlineStr">
        <is>
          <t>8bc0dcb2a1da1b21368c5536aaeef829d587f316</t>
        </is>
      </c>
      <c r="AP248" s="29" t="inlineStr">
        <is>
          <t>High</t>
        </is>
      </c>
      <c r="AQ248" s="29" t="inlineStr">
        <is>
          <t>Not assessed</t>
        </is>
      </c>
      <c r="AR248" s="29" t="inlineStr">
        <is>
          <t>Not assessed</t>
        </is>
      </c>
      <c r="AS248" s="29" t="inlineStr">
        <is>
          <t>Fail</t>
        </is>
      </c>
      <c r="AT248" s="29" t="inlineStr">
        <is>
          <t>Not assessed</t>
        </is>
      </c>
      <c r="AU248" s="29" t="inlineStr">
        <is>
          <t>Not assessed</t>
        </is>
      </c>
      <c r="AV248" s="29" t="inlineStr">
        <is>
          <t>Not assessed</t>
        </is>
      </c>
      <c r="AW248" s="29" t="inlineStr">
        <is>
          <t>Not assessed</t>
        </is>
      </c>
      <c r="AX248" s="29" t="inlineStr">
        <is>
          <t>Not assessed</t>
        </is>
      </c>
      <c r="AY248" s="29" t="inlineStr">
        <is>
          <t>Not assessed</t>
        </is>
      </c>
      <c r="AZ248" s="29" t="inlineStr">
        <is>
          <t>Not assessed</t>
        </is>
      </c>
      <c r="BA248" s="29" t="inlineStr">
        <is>
          <t>Not assessed</t>
        </is>
      </c>
      <c r="BB248" s="29" t="inlineStr">
        <is>
          <t>Not assessed</t>
        </is>
      </c>
      <c r="BC248" s="29" t="inlineStr">
        <is>
          <t>Not assessed</t>
        </is>
      </c>
      <c r="BD248" s="29" t="inlineStr">
        <is>
          <t>Not assessed</t>
        </is>
      </c>
      <c r="BE248" s="29" t="inlineStr">
        <is>
          <t>Development required</t>
        </is>
      </c>
      <c r="BF248" s="29" t="inlineStr">
        <is>
          <t>Physical implementation is not complete against the stated requirement.; Backend search API not implemented, uses mock data</t>
        </is>
      </c>
      <c r="BG248" s="29" t="inlineStr"/>
      <c r="BH248" s="29" t="inlineStr"/>
      <c r="BI248" s="29" t="inlineStr"/>
      <c r="BJ248" s="29" t="inlineStr"/>
      <c r="BK248" s="29" t="inlineStr">
        <is>
          <t>Evidence reconciled against the reviewed source revision. No production approval is inferred from implementation or file presence.</t>
        </is>
      </c>
      <c r="BL248" s="29" t="inlineStr">
        <is>
          <t>2026-08-02</t>
        </is>
      </c>
    </row>
    <row r="249" ht="42" customHeight="1">
      <c r="A249" s="29" t="inlineStr">
        <is>
          <t>BLYP-13-011</t>
        </is>
      </c>
      <c r="B249" s="29" t="inlineStr"/>
      <c r="C249" s="29" t="inlineStr">
        <is>
          <t>Unified Search and Explore</t>
        </is>
      </c>
      <c r="D249" s="29" t="n">
        <v>13</v>
      </c>
      <c r="E249" s="29" t="n">
        <v>11</v>
      </c>
      <c r="F249" s="29" t="inlineStr">
        <is>
          <t>Feature</t>
        </is>
      </c>
      <c r="G249" s="29" t="inlineStr">
        <is>
          <t>Live search suggestions</t>
        </is>
      </c>
      <c r="H249" s="29" t="inlineStr">
        <is>
          <t>Live search suggestions</t>
        </is>
      </c>
      <c r="I249" s="29" t="inlineStr">
        <is>
          <t>/home/ubuntu/blyp_product_requirements.md :: Section 13 — Unified Search and Explore</t>
        </is>
      </c>
      <c r="J249" s="29" t="inlineStr">
        <is>
          <t>/home/ubuntu/BLYP_COMPLETE_FEATURE_LIST.md:323</t>
        </is>
      </c>
      <c r="K249" s="29" t="inlineStr">
        <is>
          <t>Required</t>
        </is>
      </c>
      <c r="L249" s="29" t="inlineStr">
        <is>
          <t>Applicable BLYP member</t>
        </is>
      </c>
      <c r="M249" s="29" t="inlineStr">
        <is>
          <t>BLYP mobile application and supporting production services</t>
        </is>
      </c>
      <c r="N249" s="29" t="inlineStr">
        <is>
          <t>Live search suggestions</t>
        </is>
      </c>
      <c r="O249" s="29" t="inlineStr">
        <is>
          <t>Not explicitly defined in the product source; requires accountable product approval before production sign-off.</t>
        </is>
      </c>
      <c r="P249" s="29" t="inlineStr">
        <is>
          <t>None</t>
        </is>
      </c>
      <c r="Q249" s="29" t="inlineStr">
        <is>
          <t>Scaffold only</t>
        </is>
      </c>
      <c r="R249" s="29" t="inlineStr"/>
      <c r="S249" s="29" t="inlineStr">
        <is>
          <t>UI only</t>
        </is>
      </c>
      <c r="T249" s="29" t="inlineStr">
        <is>
          <t>SearchScreen</t>
        </is>
      </c>
      <c r="U249" s="29" t="inlineStr">
        <is>
          <t>SearchScreen</t>
        </is>
      </c>
      <c r="V249" s="29" t="inlineStr">
        <is>
          <t>searchService</t>
        </is>
      </c>
      <c r="W249" s="29" t="inlineStr">
        <is>
          <t>None</t>
        </is>
      </c>
      <c r="X249" s="29" t="inlineStr">
        <is>
          <t>None</t>
        </is>
      </c>
      <c r="Y249" s="29" t="inlineStr"/>
      <c r="Z249" s="29" t="inlineStr"/>
      <c r="AA249" s="29" t="inlineStr"/>
      <c r="AB249" s="29" t="inlineStr"/>
      <c r="AC249" s="29" t="inlineStr"/>
      <c r="AD249" s="29" t="inlineStr"/>
      <c r="AE249" s="29" t="inlineStr">
        <is>
          <t>User reachable</t>
        </is>
      </c>
      <c r="AF249" s="29" t="inlineStr">
        <is>
          <t>SearchScreen</t>
        </is>
      </c>
      <c r="AG249" s="29" t="inlineStr">
        <is>
          <t>Incomplete</t>
        </is>
      </c>
      <c r="AH249" s="29" t="inlineStr">
        <is>
          <t>No</t>
        </is>
      </c>
      <c r="AI249" s="29" t="inlineStr">
        <is>
          <t>Backend search API not implemented, uses mock data</t>
        </is>
      </c>
      <c r="AJ249" s="29" t="inlineStr">
        <is>
          <t>Source traced</t>
        </is>
      </c>
      <c r="AK249" s="29" t="inlineStr">
        <is>
          <t>EV-13-0010;EV-13-0011</t>
        </is>
      </c>
      <c r="AL249" s="29" t="inlineStr"/>
      <c r="AM249" s="29" t="inlineStr"/>
      <c r="AN249" s="29" t="inlineStr"/>
      <c r="AO249" s="29" t="inlineStr">
        <is>
          <t>8bc0dcb2a1da1b21368c5536aaeef829d587f316</t>
        </is>
      </c>
      <c r="AP249" s="29" t="inlineStr">
        <is>
          <t>High</t>
        </is>
      </c>
      <c r="AQ249" s="29" t="inlineStr">
        <is>
          <t>Not assessed</t>
        </is>
      </c>
      <c r="AR249" s="29" t="inlineStr">
        <is>
          <t>Not assessed</t>
        </is>
      </c>
      <c r="AS249" s="29" t="inlineStr">
        <is>
          <t>Fail</t>
        </is>
      </c>
      <c r="AT249" s="29" t="inlineStr">
        <is>
          <t>Not assessed</t>
        </is>
      </c>
      <c r="AU249" s="29" t="inlineStr">
        <is>
          <t>Not assessed</t>
        </is>
      </c>
      <c r="AV249" s="29" t="inlineStr">
        <is>
          <t>Not assessed</t>
        </is>
      </c>
      <c r="AW249" s="29" t="inlineStr">
        <is>
          <t>Not assessed</t>
        </is>
      </c>
      <c r="AX249" s="29" t="inlineStr">
        <is>
          <t>Not assessed</t>
        </is>
      </c>
      <c r="AY249" s="29" t="inlineStr">
        <is>
          <t>Not assessed</t>
        </is>
      </c>
      <c r="AZ249" s="29" t="inlineStr">
        <is>
          <t>Not assessed</t>
        </is>
      </c>
      <c r="BA249" s="29" t="inlineStr">
        <is>
          <t>Not assessed</t>
        </is>
      </c>
      <c r="BB249" s="29" t="inlineStr">
        <is>
          <t>Not assessed</t>
        </is>
      </c>
      <c r="BC249" s="29" t="inlineStr">
        <is>
          <t>Not assessed</t>
        </is>
      </c>
      <c r="BD249" s="29" t="inlineStr">
        <is>
          <t>Not assessed</t>
        </is>
      </c>
      <c r="BE249" s="29" t="inlineStr">
        <is>
          <t>Development required</t>
        </is>
      </c>
      <c r="BF249" s="29" t="inlineStr">
        <is>
          <t>Physical implementation is not complete against the stated requirement.; Backend search API not implemented, uses mock data</t>
        </is>
      </c>
      <c r="BG249" s="29" t="inlineStr"/>
      <c r="BH249" s="29" t="inlineStr"/>
      <c r="BI249" s="29" t="inlineStr"/>
      <c r="BJ249" s="29" t="inlineStr"/>
      <c r="BK249" s="29" t="inlineStr">
        <is>
          <t>Evidence reconciled against the reviewed source revision. No production approval is inferred from implementation or file presence.</t>
        </is>
      </c>
      <c r="BL249" s="29" t="inlineStr">
        <is>
          <t>2026-08-02</t>
        </is>
      </c>
    </row>
    <row r="250" ht="42" customHeight="1">
      <c r="A250" s="29" t="inlineStr">
        <is>
          <t>BLYP-13-012</t>
        </is>
      </c>
      <c r="B250" s="29" t="inlineStr"/>
      <c r="C250" s="29" t="inlineStr">
        <is>
          <t>Unified Search and Explore</t>
        </is>
      </c>
      <c r="D250" s="29" t="n">
        <v>13</v>
      </c>
      <c r="E250" s="29" t="n">
        <v>12</v>
      </c>
      <c r="F250" s="29" t="inlineStr">
        <is>
          <t>Feature</t>
        </is>
      </c>
      <c r="G250" s="29" t="inlineStr">
        <is>
          <t>Recent searches</t>
        </is>
      </c>
      <c r="H250" s="29" t="inlineStr">
        <is>
          <t>Recent searches</t>
        </is>
      </c>
      <c r="I250" s="29" t="inlineStr">
        <is>
          <t>/home/ubuntu/blyp_product_requirements.md :: Section 13 — Unified Search and Explore</t>
        </is>
      </c>
      <c r="J250" s="29" t="inlineStr">
        <is>
          <t>/home/ubuntu/BLYP_COMPLETE_FEATURE_LIST.md:324</t>
        </is>
      </c>
      <c r="K250" s="29" t="inlineStr">
        <is>
          <t>Required</t>
        </is>
      </c>
      <c r="L250" s="29" t="inlineStr">
        <is>
          <t>Applicable BLYP member</t>
        </is>
      </c>
      <c r="M250" s="29" t="inlineStr">
        <is>
          <t>BLYP mobile application and supporting production services</t>
        </is>
      </c>
      <c r="N250" s="29" t="inlineStr">
        <is>
          <t>Recent searches</t>
        </is>
      </c>
      <c r="O250" s="29" t="inlineStr">
        <is>
          <t>Not explicitly defined in the product source; requires accountable product approval before production sign-off.</t>
        </is>
      </c>
      <c r="P250" s="29" t="inlineStr">
        <is>
          <t>None</t>
        </is>
      </c>
      <c r="Q250" s="29" t="inlineStr">
        <is>
          <t>Scaffold only</t>
        </is>
      </c>
      <c r="R250" s="29" t="inlineStr"/>
      <c r="S250" s="29" t="inlineStr">
        <is>
          <t>UI only</t>
        </is>
      </c>
      <c r="T250" s="29" t="inlineStr">
        <is>
          <t>SearchScreen</t>
        </is>
      </c>
      <c r="U250" s="29" t="inlineStr">
        <is>
          <t>SearchScreen</t>
        </is>
      </c>
      <c r="V250" s="29" t="inlineStr">
        <is>
          <t>searchService</t>
        </is>
      </c>
      <c r="W250" s="29" t="inlineStr">
        <is>
          <t>None</t>
        </is>
      </c>
      <c r="X250" s="29" t="inlineStr">
        <is>
          <t>None</t>
        </is>
      </c>
      <c r="Y250" s="29" t="inlineStr"/>
      <c r="Z250" s="29" t="inlineStr"/>
      <c r="AA250" s="29" t="inlineStr"/>
      <c r="AB250" s="29" t="inlineStr"/>
      <c r="AC250" s="29" t="inlineStr"/>
      <c r="AD250" s="29" t="inlineStr"/>
      <c r="AE250" s="29" t="inlineStr">
        <is>
          <t>User reachable</t>
        </is>
      </c>
      <c r="AF250" s="29" t="inlineStr">
        <is>
          <t>SearchScreen</t>
        </is>
      </c>
      <c r="AG250" s="29" t="inlineStr">
        <is>
          <t>Incomplete</t>
        </is>
      </c>
      <c r="AH250" s="29" t="inlineStr">
        <is>
          <t>No</t>
        </is>
      </c>
      <c r="AI250" s="29" t="inlineStr">
        <is>
          <t>Backend search API not implemented, uses mock data</t>
        </is>
      </c>
      <c r="AJ250" s="29" t="inlineStr">
        <is>
          <t>Source traced</t>
        </is>
      </c>
      <c r="AK250" s="29" t="inlineStr">
        <is>
          <t>EV-13-0012;EV-13-0013</t>
        </is>
      </c>
      <c r="AL250" s="29" t="inlineStr"/>
      <c r="AM250" s="29" t="inlineStr"/>
      <c r="AN250" s="29" t="inlineStr"/>
      <c r="AO250" s="29" t="inlineStr">
        <is>
          <t>8bc0dcb2a1da1b21368c5536aaeef829d587f316</t>
        </is>
      </c>
      <c r="AP250" s="29" t="inlineStr">
        <is>
          <t>High</t>
        </is>
      </c>
      <c r="AQ250" s="29" t="inlineStr">
        <is>
          <t>Not assessed</t>
        </is>
      </c>
      <c r="AR250" s="29" t="inlineStr">
        <is>
          <t>Not assessed</t>
        </is>
      </c>
      <c r="AS250" s="29" t="inlineStr">
        <is>
          <t>Fail</t>
        </is>
      </c>
      <c r="AT250" s="29" t="inlineStr">
        <is>
          <t>Not assessed</t>
        </is>
      </c>
      <c r="AU250" s="29" t="inlineStr">
        <is>
          <t>Not assessed</t>
        </is>
      </c>
      <c r="AV250" s="29" t="inlineStr">
        <is>
          <t>Not assessed</t>
        </is>
      </c>
      <c r="AW250" s="29" t="inlineStr">
        <is>
          <t>Not assessed</t>
        </is>
      </c>
      <c r="AX250" s="29" t="inlineStr">
        <is>
          <t>Not assessed</t>
        </is>
      </c>
      <c r="AY250" s="29" t="inlineStr">
        <is>
          <t>Not assessed</t>
        </is>
      </c>
      <c r="AZ250" s="29" t="inlineStr">
        <is>
          <t>Not assessed</t>
        </is>
      </c>
      <c r="BA250" s="29" t="inlineStr">
        <is>
          <t>Not assessed</t>
        </is>
      </c>
      <c r="BB250" s="29" t="inlineStr">
        <is>
          <t>Not assessed</t>
        </is>
      </c>
      <c r="BC250" s="29" t="inlineStr">
        <is>
          <t>Not assessed</t>
        </is>
      </c>
      <c r="BD250" s="29" t="inlineStr">
        <is>
          <t>Not assessed</t>
        </is>
      </c>
      <c r="BE250" s="29" t="inlineStr">
        <is>
          <t>Development required</t>
        </is>
      </c>
      <c r="BF250" s="29" t="inlineStr">
        <is>
          <t>Physical implementation is not complete against the stated requirement.; Backend search API not implemented, uses mock data</t>
        </is>
      </c>
      <c r="BG250" s="29" t="inlineStr"/>
      <c r="BH250" s="29" t="inlineStr"/>
      <c r="BI250" s="29" t="inlineStr"/>
      <c r="BJ250" s="29" t="inlineStr"/>
      <c r="BK250" s="29" t="inlineStr">
        <is>
          <t>Evidence reconciled against the reviewed source revision. No production approval is inferred from implementation or file presence.</t>
        </is>
      </c>
      <c r="BL250" s="29" t="inlineStr">
        <is>
          <t>2026-08-02</t>
        </is>
      </c>
    </row>
    <row r="251" ht="42" customHeight="1">
      <c r="A251" s="29" t="inlineStr">
        <is>
          <t>BLYP-13-013</t>
        </is>
      </c>
      <c r="B251" s="29" t="inlineStr"/>
      <c r="C251" s="29" t="inlineStr">
        <is>
          <t>Unified Search and Explore</t>
        </is>
      </c>
      <c r="D251" s="29" t="n">
        <v>13</v>
      </c>
      <c r="E251" s="29" t="n">
        <v>13</v>
      </c>
      <c r="F251" s="29" t="inlineStr">
        <is>
          <t>Feature</t>
        </is>
      </c>
      <c r="G251" s="29" t="inlineStr">
        <is>
          <t>Search filters</t>
        </is>
      </c>
      <c r="H251" s="29" t="inlineStr">
        <is>
          <t>Search filters</t>
        </is>
      </c>
      <c r="I251" s="29" t="inlineStr">
        <is>
          <t>/home/ubuntu/blyp_product_requirements.md :: Section 13 — Unified Search and Explore</t>
        </is>
      </c>
      <c r="J251" s="29" t="inlineStr">
        <is>
          <t>/home/ubuntu/BLYP_COMPLETE_FEATURE_LIST.md:325</t>
        </is>
      </c>
      <c r="K251" s="29" t="inlineStr">
        <is>
          <t>Required</t>
        </is>
      </c>
      <c r="L251" s="29" t="inlineStr">
        <is>
          <t>Applicable BLYP member</t>
        </is>
      </c>
      <c r="M251" s="29" t="inlineStr">
        <is>
          <t>BLYP mobile application and supporting production services</t>
        </is>
      </c>
      <c r="N251" s="29" t="inlineStr">
        <is>
          <t>Search filters</t>
        </is>
      </c>
      <c r="O251" s="29" t="inlineStr">
        <is>
          <t>Not explicitly defined in the product source; requires accountable product approval before production sign-off.</t>
        </is>
      </c>
      <c r="P251" s="29" t="inlineStr">
        <is>
          <t>None</t>
        </is>
      </c>
      <c r="Q251" s="29" t="inlineStr">
        <is>
          <t>Partial</t>
        </is>
      </c>
      <c r="R251" s="29" t="inlineStr"/>
      <c r="S251" s="29" t="inlineStr">
        <is>
          <t>UI only</t>
        </is>
      </c>
      <c r="T251" s="29" t="inlineStr">
        <is>
          <t>SearchScreen</t>
        </is>
      </c>
      <c r="U251" s="29" t="inlineStr">
        <is>
          <t>SearchScreen</t>
        </is>
      </c>
      <c r="V251" s="29" t="inlineStr">
        <is>
          <t>searchService</t>
        </is>
      </c>
      <c r="W251" s="29" t="inlineStr">
        <is>
          <t>None</t>
        </is>
      </c>
      <c r="X251" s="29" t="inlineStr">
        <is>
          <t>None</t>
        </is>
      </c>
      <c r="Y251" s="29" t="inlineStr"/>
      <c r="Z251" s="29" t="inlineStr"/>
      <c r="AA251" s="29" t="inlineStr"/>
      <c r="AB251" s="29" t="inlineStr"/>
      <c r="AC251" s="29" t="inlineStr"/>
      <c r="AD251" s="29" t="inlineStr"/>
      <c r="AE251" s="29" t="inlineStr">
        <is>
          <t>User reachable</t>
        </is>
      </c>
      <c r="AF251" s="29" t="inlineStr">
        <is>
          <t>SearchScreen</t>
        </is>
      </c>
      <c r="AG251" s="29" t="inlineStr">
        <is>
          <t>Incomplete</t>
        </is>
      </c>
      <c r="AH251" s="29" t="inlineStr">
        <is>
          <t>No</t>
        </is>
      </c>
      <c r="AI251" s="29" t="inlineStr">
        <is>
          <t>Backend search API not implemented, uses mock data</t>
        </is>
      </c>
      <c r="AJ251" s="29" t="inlineStr">
        <is>
          <t>Source traced</t>
        </is>
      </c>
      <c r="AK251" s="29" t="inlineStr">
        <is>
          <t>EV-13-0014;EV-13-0015</t>
        </is>
      </c>
      <c r="AL251" s="29" t="inlineStr"/>
      <c r="AM251" s="29" t="inlineStr"/>
      <c r="AN251" s="29" t="inlineStr"/>
      <c r="AO251" s="29" t="inlineStr">
        <is>
          <t>8bc0dcb2a1da1b21368c5536aaeef829d587f316</t>
        </is>
      </c>
      <c r="AP251" s="29" t="inlineStr">
        <is>
          <t>High</t>
        </is>
      </c>
      <c r="AQ251" s="29" t="inlineStr">
        <is>
          <t>Not assessed</t>
        </is>
      </c>
      <c r="AR251" s="29" t="inlineStr">
        <is>
          <t>Not assessed</t>
        </is>
      </c>
      <c r="AS251" s="29" t="inlineStr">
        <is>
          <t>Fail</t>
        </is>
      </c>
      <c r="AT251" s="29" t="inlineStr">
        <is>
          <t>Not assessed</t>
        </is>
      </c>
      <c r="AU251" s="29" t="inlineStr">
        <is>
          <t>Not assessed</t>
        </is>
      </c>
      <c r="AV251" s="29" t="inlineStr">
        <is>
          <t>Not assessed</t>
        </is>
      </c>
      <c r="AW251" s="29" t="inlineStr">
        <is>
          <t>Not assessed</t>
        </is>
      </c>
      <c r="AX251" s="29" t="inlineStr">
        <is>
          <t>Not assessed</t>
        </is>
      </c>
      <c r="AY251" s="29" t="inlineStr">
        <is>
          <t>Not assessed</t>
        </is>
      </c>
      <c r="AZ251" s="29" t="inlineStr">
        <is>
          <t>Not assessed</t>
        </is>
      </c>
      <c r="BA251" s="29" t="inlineStr">
        <is>
          <t>Not assessed</t>
        </is>
      </c>
      <c r="BB251" s="29" t="inlineStr">
        <is>
          <t>Not assessed</t>
        </is>
      </c>
      <c r="BC251" s="29" t="inlineStr">
        <is>
          <t>Not assessed</t>
        </is>
      </c>
      <c r="BD251" s="29" t="inlineStr">
        <is>
          <t>Not assessed</t>
        </is>
      </c>
      <c r="BE251" s="29" t="inlineStr">
        <is>
          <t>Development required</t>
        </is>
      </c>
      <c r="BF251" s="29" t="inlineStr">
        <is>
          <t>Physical implementation is not complete against the stated requirement.; Backend search API not implemented, uses mock data</t>
        </is>
      </c>
      <c r="BG251" s="29" t="inlineStr"/>
      <c r="BH251" s="29" t="inlineStr"/>
      <c r="BI251" s="29" t="inlineStr"/>
      <c r="BJ251" s="29" t="inlineStr"/>
      <c r="BK251" s="29" t="inlineStr">
        <is>
          <t>Evidence reconciled against the reviewed source revision. No production approval is inferred from implementation or file presence.</t>
        </is>
      </c>
      <c r="BL251" s="29" t="inlineStr">
        <is>
          <t>2026-08-02</t>
        </is>
      </c>
    </row>
    <row r="252" ht="42" customHeight="1">
      <c r="A252" s="29" t="inlineStr">
        <is>
          <t>BLYP-13-014</t>
        </is>
      </c>
      <c r="B252" s="29" t="inlineStr"/>
      <c r="C252" s="29" t="inlineStr">
        <is>
          <t>Unified Search and Explore</t>
        </is>
      </c>
      <c r="D252" s="29" t="n">
        <v>13</v>
      </c>
      <c r="E252" s="29" t="n">
        <v>14</v>
      </c>
      <c r="F252" s="29" t="inlineStr">
        <is>
          <t>Feature</t>
        </is>
      </c>
      <c r="G252" s="29" t="inlineStr">
        <is>
          <t>Explore emerging creators</t>
        </is>
      </c>
      <c r="H252" s="29" t="inlineStr">
        <is>
          <t>Explore emerging creators</t>
        </is>
      </c>
      <c r="I252" s="29" t="inlineStr">
        <is>
          <t>/home/ubuntu/blyp_product_requirements.md :: Section 13 — Unified Search and Explore</t>
        </is>
      </c>
      <c r="J252" s="29" t="inlineStr">
        <is>
          <t>/home/ubuntu/BLYP_COMPLETE_FEATURE_LIST.md:326</t>
        </is>
      </c>
      <c r="K252" s="29" t="inlineStr">
        <is>
          <t>Required</t>
        </is>
      </c>
      <c r="L252" s="29" t="inlineStr">
        <is>
          <t>Authenticated creator or host</t>
        </is>
      </c>
      <c r="M252" s="29" t="inlineStr">
        <is>
          <t>BLYP mobile application and supporting production services</t>
        </is>
      </c>
      <c r="N252" s="29" t="inlineStr">
        <is>
          <t>Explore emerging creators</t>
        </is>
      </c>
      <c r="O252" s="29" t="inlineStr">
        <is>
          <t>Not explicitly defined in the product source; requires accountable product approval before production sign-off.</t>
        </is>
      </c>
      <c r="P252" s="29" t="inlineStr"/>
      <c r="Q252" s="29" t="inlineStr">
        <is>
          <t>Partial</t>
        </is>
      </c>
      <c r="R252" s="29" t="inlineStr"/>
      <c r="S252" s="29" t="inlineStr">
        <is>
          <t>Not found</t>
        </is>
      </c>
      <c r="T252" s="29" t="inlineStr"/>
      <c r="U252" s="29" t="inlineStr"/>
      <c r="V252" s="29" t="inlineStr"/>
      <c r="W252" s="29" t="inlineStr"/>
      <c r="X252" s="29" t="inlineStr"/>
      <c r="Y252" s="29" t="inlineStr"/>
      <c r="Z252" s="29" t="inlineStr"/>
      <c r="AA252" s="29" t="inlineStr"/>
      <c r="AB252" s="29" t="inlineStr"/>
      <c r="AC252" s="29" t="inlineStr"/>
      <c r="AD252" s="29" t="inlineStr"/>
      <c r="AE252" s="29" t="inlineStr">
        <is>
          <t>Unknown</t>
        </is>
      </c>
      <c r="AF252" s="29" t="inlineStr"/>
      <c r="AG252" s="29" t="inlineStr">
        <is>
          <t>Unknown</t>
        </is>
      </c>
      <c r="AH252" s="29" t="inlineStr">
        <is>
          <t>Unknown</t>
        </is>
      </c>
      <c r="AI252" s="29" t="inlineStr">
        <is>
          <t>Searched for 'explore' and 'emerging' in source, no evidence found</t>
        </is>
      </c>
      <c r="AJ252" s="29" t="inlineStr">
        <is>
          <t>Not verified</t>
        </is>
      </c>
      <c r="AK252" s="29" t="inlineStr"/>
      <c r="AL252" s="29" t="inlineStr"/>
      <c r="AM252" s="29" t="inlineStr"/>
      <c r="AN252" s="29" t="inlineStr"/>
      <c r="AO252" s="29" t="inlineStr">
        <is>
          <t>8bc0dcb2a1da1b21368c5536aaeef829d587f316</t>
        </is>
      </c>
      <c r="AP252" s="29" t="inlineStr">
        <is>
          <t>Unrated</t>
        </is>
      </c>
      <c r="AQ252" s="29" t="inlineStr">
        <is>
          <t>Not assessed</t>
        </is>
      </c>
      <c r="AR252" s="29" t="inlineStr">
        <is>
          <t>Not assessed</t>
        </is>
      </c>
      <c r="AS252" s="29" t="inlineStr">
        <is>
          <t>Not assessed</t>
        </is>
      </c>
      <c r="AT252" s="29" t="inlineStr">
        <is>
          <t>Not assessed</t>
        </is>
      </c>
      <c r="AU252" s="29" t="inlineStr">
        <is>
          <t>Not assessed</t>
        </is>
      </c>
      <c r="AV252" s="29" t="inlineStr">
        <is>
          <t>Not assessed</t>
        </is>
      </c>
      <c r="AW252" s="29" t="inlineStr">
        <is>
          <t>Not assessed</t>
        </is>
      </c>
      <c r="AX252" s="29" t="inlineStr">
        <is>
          <t>Not assessed</t>
        </is>
      </c>
      <c r="AY252" s="29" t="inlineStr">
        <is>
          <t>Not assessed</t>
        </is>
      </c>
      <c r="AZ252" s="29" t="inlineStr">
        <is>
          <t>Not assessed</t>
        </is>
      </c>
      <c r="BA252" s="29" t="inlineStr">
        <is>
          <t>Not assessed</t>
        </is>
      </c>
      <c r="BB252" s="29" t="inlineStr">
        <is>
          <t>Not assessed</t>
        </is>
      </c>
      <c r="BC252" s="29" t="inlineStr">
        <is>
          <t>Not assessed</t>
        </is>
      </c>
      <c r="BD252" s="29" t="inlineStr">
        <is>
          <t>Not assessed</t>
        </is>
      </c>
      <c r="BE252" s="29" t="inlineStr">
        <is>
          <t>Development required</t>
        </is>
      </c>
      <c r="BF252" s="29" t="inlineStr">
        <is>
          <t>Physical implementation is not complete against the stated requirement.; Searched for 'explore' and 'emerging' in source, no evidence found</t>
        </is>
      </c>
      <c r="BG252" s="29" t="inlineStr"/>
      <c r="BH252" s="29" t="inlineStr"/>
      <c r="BI252" s="29" t="inlineStr"/>
      <c r="BJ252" s="29" t="inlineStr"/>
      <c r="BK252" s="29" t="inlineStr">
        <is>
          <t>Evidence reconciled against the reviewed source revision. No production approval is inferred from implementation or file presence.</t>
        </is>
      </c>
      <c r="BL252" s="29" t="inlineStr">
        <is>
          <t>2026-08-02</t>
        </is>
      </c>
    </row>
    <row r="253" ht="42" customHeight="1">
      <c r="A253" s="29" t="inlineStr">
        <is>
          <t>BLYP-13-015</t>
        </is>
      </c>
      <c r="B253" s="29" t="inlineStr"/>
      <c r="C253" s="29" t="inlineStr">
        <is>
          <t>Unified Search and Explore</t>
        </is>
      </c>
      <c r="D253" s="29" t="n">
        <v>13</v>
      </c>
      <c r="E253" s="29" t="n">
        <v>15</v>
      </c>
      <c r="F253" s="29" t="inlineStr">
        <is>
          <t>Feature</t>
        </is>
      </c>
      <c r="G253" s="29" t="inlineStr">
        <is>
          <t>Explore active rooms</t>
        </is>
      </c>
      <c r="H253" s="29" t="inlineStr">
        <is>
          <t>Explore active rooms</t>
        </is>
      </c>
      <c r="I253" s="29" t="inlineStr">
        <is>
          <t>/home/ubuntu/blyp_product_requirements.md :: Section 13 — Unified Search and Explore</t>
        </is>
      </c>
      <c r="J253" s="29" t="inlineStr">
        <is>
          <t>/home/ubuntu/BLYP_COMPLETE_FEATURE_LIST.md:327</t>
        </is>
      </c>
      <c r="K253" s="29" t="inlineStr">
        <is>
          <t>Required</t>
        </is>
      </c>
      <c r="L253" s="29" t="inlineStr">
        <is>
          <t>Applicable BLYP member</t>
        </is>
      </c>
      <c r="M253" s="29" t="inlineStr">
        <is>
          <t>BLYP mobile application and supporting production services</t>
        </is>
      </c>
      <c r="N253" s="29" t="inlineStr">
        <is>
          <t>Explore active rooms</t>
        </is>
      </c>
      <c r="O253" s="29" t="inlineStr">
        <is>
          <t>Not explicitly defined in the product source; requires accountable product approval before production sign-off.</t>
        </is>
      </c>
      <c r="P253" s="29" t="inlineStr"/>
      <c r="Q253" s="29" t="inlineStr">
        <is>
          <t>Partial</t>
        </is>
      </c>
      <c r="R253" s="29" t="inlineStr"/>
      <c r="S253" s="29" t="inlineStr">
        <is>
          <t>Not found</t>
        </is>
      </c>
      <c r="T253" s="29" t="inlineStr"/>
      <c r="U253" s="29" t="inlineStr"/>
      <c r="V253" s="29" t="inlineStr"/>
      <c r="W253" s="29" t="inlineStr"/>
      <c r="X253" s="29" t="inlineStr"/>
      <c r="Y253" s="29" t="inlineStr"/>
      <c r="Z253" s="29" t="inlineStr"/>
      <c r="AA253" s="29" t="inlineStr"/>
      <c r="AB253" s="29" t="inlineStr"/>
      <c r="AC253" s="29" t="inlineStr"/>
      <c r="AD253" s="29" t="inlineStr"/>
      <c r="AE253" s="29" t="inlineStr">
        <is>
          <t>Unknown</t>
        </is>
      </c>
      <c r="AF253" s="29" t="inlineStr"/>
      <c r="AG253" s="29" t="inlineStr">
        <is>
          <t>Unknown</t>
        </is>
      </c>
      <c r="AH253" s="29" t="inlineStr">
        <is>
          <t>Unknown</t>
        </is>
      </c>
      <c r="AI253" s="29" t="inlineStr">
        <is>
          <t>Searched for 'explore' and 'active' in source, no evidence found</t>
        </is>
      </c>
      <c r="AJ253" s="29" t="inlineStr">
        <is>
          <t>Not verified</t>
        </is>
      </c>
      <c r="AK253" s="29" t="inlineStr"/>
      <c r="AL253" s="29" t="inlineStr"/>
      <c r="AM253" s="29" t="inlineStr"/>
      <c r="AN253" s="29" t="inlineStr"/>
      <c r="AO253" s="29" t="inlineStr">
        <is>
          <t>8bc0dcb2a1da1b21368c5536aaeef829d587f316</t>
        </is>
      </c>
      <c r="AP253" s="29" t="inlineStr">
        <is>
          <t>Unrated</t>
        </is>
      </c>
      <c r="AQ253" s="29" t="inlineStr">
        <is>
          <t>Not assessed</t>
        </is>
      </c>
      <c r="AR253" s="29" t="inlineStr">
        <is>
          <t>Not assessed</t>
        </is>
      </c>
      <c r="AS253" s="29" t="inlineStr">
        <is>
          <t>Not assessed</t>
        </is>
      </c>
      <c r="AT253" s="29" t="inlineStr">
        <is>
          <t>Not assessed</t>
        </is>
      </c>
      <c r="AU253" s="29" t="inlineStr">
        <is>
          <t>Not assessed</t>
        </is>
      </c>
      <c r="AV253" s="29" t="inlineStr">
        <is>
          <t>Not assessed</t>
        </is>
      </c>
      <c r="AW253" s="29" t="inlineStr">
        <is>
          <t>Not assessed</t>
        </is>
      </c>
      <c r="AX253" s="29" t="inlineStr">
        <is>
          <t>Not assessed</t>
        </is>
      </c>
      <c r="AY253" s="29" t="inlineStr">
        <is>
          <t>Not assessed</t>
        </is>
      </c>
      <c r="AZ253" s="29" t="inlineStr">
        <is>
          <t>Not assessed</t>
        </is>
      </c>
      <c r="BA253" s="29" t="inlineStr">
        <is>
          <t>Not assessed</t>
        </is>
      </c>
      <c r="BB253" s="29" t="inlineStr">
        <is>
          <t>Not assessed</t>
        </is>
      </c>
      <c r="BC253" s="29" t="inlineStr">
        <is>
          <t>Not assessed</t>
        </is>
      </c>
      <c r="BD253" s="29" t="inlineStr">
        <is>
          <t>Not assessed</t>
        </is>
      </c>
      <c r="BE253" s="29" t="inlineStr">
        <is>
          <t>Development required</t>
        </is>
      </c>
      <c r="BF253" s="29" t="inlineStr">
        <is>
          <t>Physical implementation is not complete against the stated requirement.; Searched for 'explore' and 'active' in source, no evidence found</t>
        </is>
      </c>
      <c r="BG253" s="29" t="inlineStr"/>
      <c r="BH253" s="29" t="inlineStr"/>
      <c r="BI253" s="29" t="inlineStr"/>
      <c r="BJ253" s="29" t="inlineStr"/>
      <c r="BK253" s="29" t="inlineStr">
        <is>
          <t>Evidence reconciled against the reviewed source revision. No production approval is inferred from implementation or file presence.</t>
        </is>
      </c>
      <c r="BL253" s="29" t="inlineStr">
        <is>
          <t>2026-08-02</t>
        </is>
      </c>
    </row>
    <row r="254" ht="42" customHeight="1">
      <c r="A254" s="29" t="inlineStr">
        <is>
          <t>BLYP-13-016</t>
        </is>
      </c>
      <c r="B254" s="29" t="inlineStr"/>
      <c r="C254" s="29" t="inlineStr">
        <is>
          <t>Unified Search and Explore</t>
        </is>
      </c>
      <c r="D254" s="29" t="n">
        <v>13</v>
      </c>
      <c r="E254" s="29" t="n">
        <v>16</v>
      </c>
      <c r="F254" s="29" t="inlineStr">
        <is>
          <t>Feature</t>
        </is>
      </c>
      <c r="G254" s="29" t="inlineStr">
        <is>
          <t>Explore upcoming lives</t>
        </is>
      </c>
      <c r="H254" s="29" t="inlineStr">
        <is>
          <t>Explore upcoming lives</t>
        </is>
      </c>
      <c r="I254" s="29" t="inlineStr">
        <is>
          <t>/home/ubuntu/blyp_product_requirements.md :: Section 13 — Unified Search and Explore</t>
        </is>
      </c>
      <c r="J254" s="29" t="inlineStr">
        <is>
          <t>/home/ubuntu/BLYP_COMPLETE_FEATURE_LIST.md:328</t>
        </is>
      </c>
      <c r="K254" s="29" t="inlineStr">
        <is>
          <t>Required</t>
        </is>
      </c>
      <c r="L254" s="29" t="inlineStr">
        <is>
          <t>Applicable BLYP member</t>
        </is>
      </c>
      <c r="M254" s="29" t="inlineStr">
        <is>
          <t>BLYP mobile application and supporting production services</t>
        </is>
      </c>
      <c r="N254" s="29" t="inlineStr">
        <is>
          <t>Explore upcoming lives</t>
        </is>
      </c>
      <c r="O254" s="29" t="inlineStr">
        <is>
          <t>Not explicitly defined in the product source; requires accountable product approval before production sign-off.</t>
        </is>
      </c>
      <c r="P254" s="29" t="inlineStr"/>
      <c r="Q254" s="29" t="inlineStr">
        <is>
          <t>Partial</t>
        </is>
      </c>
      <c r="R254" s="29" t="inlineStr"/>
      <c r="S254" s="29" t="inlineStr">
        <is>
          <t>Not found</t>
        </is>
      </c>
      <c r="T254" s="29" t="inlineStr"/>
      <c r="U254" s="29" t="inlineStr"/>
      <c r="V254" s="29" t="inlineStr"/>
      <c r="W254" s="29" t="inlineStr"/>
      <c r="X254" s="29" t="inlineStr"/>
      <c r="Y254" s="29" t="inlineStr"/>
      <c r="Z254" s="29" t="inlineStr"/>
      <c r="AA254" s="29" t="inlineStr"/>
      <c r="AB254" s="29" t="inlineStr"/>
      <c r="AC254" s="29" t="inlineStr"/>
      <c r="AD254" s="29" t="inlineStr"/>
      <c r="AE254" s="29" t="inlineStr">
        <is>
          <t>Unknown</t>
        </is>
      </c>
      <c r="AF254" s="29" t="inlineStr"/>
      <c r="AG254" s="29" t="inlineStr">
        <is>
          <t>Unknown</t>
        </is>
      </c>
      <c r="AH254" s="29" t="inlineStr">
        <is>
          <t>Unknown</t>
        </is>
      </c>
      <c r="AI254" s="29" t="inlineStr">
        <is>
          <t>Searched for 'explore' and 'upcoming' in source, no evidence found</t>
        </is>
      </c>
      <c r="AJ254" s="29" t="inlineStr">
        <is>
          <t>Not verified</t>
        </is>
      </c>
      <c r="AK254" s="29" t="inlineStr"/>
      <c r="AL254" s="29" t="inlineStr"/>
      <c r="AM254" s="29" t="inlineStr"/>
      <c r="AN254" s="29" t="inlineStr"/>
      <c r="AO254" s="29" t="inlineStr">
        <is>
          <t>8bc0dcb2a1da1b21368c5536aaeef829d587f316</t>
        </is>
      </c>
      <c r="AP254" s="29" t="inlineStr">
        <is>
          <t>Unrated</t>
        </is>
      </c>
      <c r="AQ254" s="29" t="inlineStr">
        <is>
          <t>Not assessed</t>
        </is>
      </c>
      <c r="AR254" s="29" t="inlineStr">
        <is>
          <t>Not assessed</t>
        </is>
      </c>
      <c r="AS254" s="29" t="inlineStr">
        <is>
          <t>Not assessed</t>
        </is>
      </c>
      <c r="AT254" s="29" t="inlineStr">
        <is>
          <t>Not assessed</t>
        </is>
      </c>
      <c r="AU254" s="29" t="inlineStr">
        <is>
          <t>Not assessed</t>
        </is>
      </c>
      <c r="AV254" s="29" t="inlineStr">
        <is>
          <t>Not assessed</t>
        </is>
      </c>
      <c r="AW254" s="29" t="inlineStr">
        <is>
          <t>Not assessed</t>
        </is>
      </c>
      <c r="AX254" s="29" t="inlineStr">
        <is>
          <t>Not assessed</t>
        </is>
      </c>
      <c r="AY254" s="29" t="inlineStr">
        <is>
          <t>Not assessed</t>
        </is>
      </c>
      <c r="AZ254" s="29" t="inlineStr">
        <is>
          <t>Not assessed</t>
        </is>
      </c>
      <c r="BA254" s="29" t="inlineStr">
        <is>
          <t>Not assessed</t>
        </is>
      </c>
      <c r="BB254" s="29" t="inlineStr">
        <is>
          <t>Not assessed</t>
        </is>
      </c>
      <c r="BC254" s="29" t="inlineStr">
        <is>
          <t>Not assessed</t>
        </is>
      </c>
      <c r="BD254" s="29" t="inlineStr">
        <is>
          <t>Not assessed</t>
        </is>
      </c>
      <c r="BE254" s="29" t="inlineStr">
        <is>
          <t>Development required</t>
        </is>
      </c>
      <c r="BF254" s="29" t="inlineStr">
        <is>
          <t>Physical implementation is not complete against the stated requirement.; Searched for 'explore' and 'upcoming' in source, no evidence found</t>
        </is>
      </c>
      <c r="BG254" s="29" t="inlineStr"/>
      <c r="BH254" s="29" t="inlineStr"/>
      <c r="BI254" s="29" t="inlineStr"/>
      <c r="BJ254" s="29" t="inlineStr"/>
      <c r="BK254" s="29" t="inlineStr">
        <is>
          <t>Evidence reconciled against the reviewed source revision. No production approval is inferred from implementation or file presence.</t>
        </is>
      </c>
      <c r="BL254" s="29" t="inlineStr">
        <is>
          <t>2026-08-02</t>
        </is>
      </c>
    </row>
    <row r="255" ht="42" customHeight="1">
      <c r="A255" s="29" t="inlineStr">
        <is>
          <t>BLYP-13-017</t>
        </is>
      </c>
      <c r="B255" s="29" t="inlineStr"/>
      <c r="C255" s="29" t="inlineStr">
        <is>
          <t>Unified Search and Explore</t>
        </is>
      </c>
      <c r="D255" s="29" t="n">
        <v>13</v>
      </c>
      <c r="E255" s="29" t="n">
        <v>17</v>
      </c>
      <c r="F255" s="29" t="inlineStr">
        <is>
          <t>Feature</t>
        </is>
      </c>
      <c r="G255" s="29" t="inlineStr">
        <is>
          <t>Explore relevant Teams</t>
        </is>
      </c>
      <c r="H255" s="29" t="inlineStr">
        <is>
          <t>Explore relevant Teams</t>
        </is>
      </c>
      <c r="I255" s="29" t="inlineStr">
        <is>
          <t>/home/ubuntu/blyp_product_requirements.md :: Section 13 — Unified Search and Explore</t>
        </is>
      </c>
      <c r="J255" s="29" t="inlineStr">
        <is>
          <t>/home/ubuntu/BLYP_COMPLETE_FEATURE_LIST.md:329</t>
        </is>
      </c>
      <c r="K255" s="29" t="inlineStr">
        <is>
          <t>Required</t>
        </is>
      </c>
      <c r="L255" s="29" t="inlineStr">
        <is>
          <t>Applicable BLYP member</t>
        </is>
      </c>
      <c r="M255" s="29" t="inlineStr">
        <is>
          <t>BLYP mobile application and supporting production services</t>
        </is>
      </c>
      <c r="N255" s="29" t="inlineStr">
        <is>
          <t>Explore relevant Teams</t>
        </is>
      </c>
      <c r="O255" s="29" t="inlineStr">
        <is>
          <t>Not explicitly defined in the product source; requires accountable product approval before production sign-off.</t>
        </is>
      </c>
      <c r="P255" s="29" t="inlineStr"/>
      <c r="Q255" s="29" t="inlineStr">
        <is>
          <t>No evidence</t>
        </is>
      </c>
      <c r="R255" s="29" t="inlineStr"/>
      <c r="S255" s="29" t="inlineStr">
        <is>
          <t>Not found</t>
        </is>
      </c>
      <c r="T255" s="29" t="inlineStr"/>
      <c r="U255" s="29" t="inlineStr"/>
      <c r="V255" s="29" t="inlineStr"/>
      <c r="W255" s="29" t="inlineStr"/>
      <c r="X255" s="29" t="inlineStr"/>
      <c r="Y255" s="29" t="inlineStr"/>
      <c r="Z255" s="29" t="inlineStr"/>
      <c r="AA255" s="29" t="inlineStr"/>
      <c r="AB255" s="29" t="inlineStr"/>
      <c r="AC255" s="29" t="inlineStr"/>
      <c r="AD255" s="29" t="inlineStr"/>
      <c r="AE255" s="29" t="inlineStr">
        <is>
          <t>Unknown</t>
        </is>
      </c>
      <c r="AF255" s="29" t="inlineStr"/>
      <c r="AG255" s="29" t="inlineStr">
        <is>
          <t>Unknown</t>
        </is>
      </c>
      <c r="AH255" s="29" t="inlineStr">
        <is>
          <t>Unknown</t>
        </is>
      </c>
      <c r="AI255" s="29" t="inlineStr">
        <is>
          <t>Searched for 'explore' and 'team' in source, no evidence found</t>
        </is>
      </c>
      <c r="AJ255" s="29" t="inlineStr">
        <is>
          <t>Not verified</t>
        </is>
      </c>
      <c r="AK255" s="29" t="inlineStr"/>
      <c r="AL255" s="29" t="inlineStr"/>
      <c r="AM255" s="29" t="inlineStr"/>
      <c r="AN255" s="29" t="inlineStr"/>
      <c r="AO255" s="29" t="inlineStr">
        <is>
          <t>8bc0dcb2a1da1b21368c5536aaeef829d587f316</t>
        </is>
      </c>
      <c r="AP255" s="29" t="inlineStr">
        <is>
          <t>Unrated</t>
        </is>
      </c>
      <c r="AQ255" s="29" t="inlineStr">
        <is>
          <t>Not assessed</t>
        </is>
      </c>
      <c r="AR255" s="29" t="inlineStr">
        <is>
          <t>Not assessed</t>
        </is>
      </c>
      <c r="AS255" s="29" t="inlineStr">
        <is>
          <t>Not assessed</t>
        </is>
      </c>
      <c r="AT255" s="29" t="inlineStr">
        <is>
          <t>Not assessed</t>
        </is>
      </c>
      <c r="AU255" s="29" t="inlineStr">
        <is>
          <t>Not assessed</t>
        </is>
      </c>
      <c r="AV255" s="29" t="inlineStr">
        <is>
          <t>Not assessed</t>
        </is>
      </c>
      <c r="AW255" s="29" t="inlineStr">
        <is>
          <t>Not assessed</t>
        </is>
      </c>
      <c r="AX255" s="29" t="inlineStr">
        <is>
          <t>Not assessed</t>
        </is>
      </c>
      <c r="AY255" s="29" t="inlineStr">
        <is>
          <t>Not assessed</t>
        </is>
      </c>
      <c r="AZ255" s="29" t="inlineStr">
        <is>
          <t>Not assessed</t>
        </is>
      </c>
      <c r="BA255" s="29" t="inlineStr">
        <is>
          <t>Not assessed</t>
        </is>
      </c>
      <c r="BB255" s="29" t="inlineStr">
        <is>
          <t>Not assessed</t>
        </is>
      </c>
      <c r="BC255" s="29" t="inlineStr">
        <is>
          <t>Not assessed</t>
        </is>
      </c>
      <c r="BD255" s="29" t="inlineStr">
        <is>
          <t>Not assessed</t>
        </is>
      </c>
      <c r="BE255" s="29" t="inlineStr">
        <is>
          <t>Development required</t>
        </is>
      </c>
      <c r="BF255" s="29" t="inlineStr">
        <is>
          <t>Physical implementation is not complete against the stated requirement.; Searched for 'explore' and 'team' in source, no evidence found</t>
        </is>
      </c>
      <c r="BG255" s="29" t="inlineStr"/>
      <c r="BH255" s="29" t="inlineStr"/>
      <c r="BI255" s="29" t="inlineStr"/>
      <c r="BJ255" s="29" t="inlineStr"/>
      <c r="BK255" s="29" t="inlineStr">
        <is>
          <t>Evidence reconciled against the reviewed source revision. No production approval is inferred from implementation or file presence.</t>
        </is>
      </c>
      <c r="BL255" s="29" t="inlineStr">
        <is>
          <t>2026-08-02</t>
        </is>
      </c>
    </row>
    <row r="256" ht="42" customHeight="1">
      <c r="A256" s="29" t="inlineStr">
        <is>
          <t>BLYP-13-018</t>
        </is>
      </c>
      <c r="B256" s="29" t="inlineStr"/>
      <c r="C256" s="29" t="inlineStr">
        <is>
          <t>Unified Search and Explore</t>
        </is>
      </c>
      <c r="D256" s="29" t="n">
        <v>13</v>
      </c>
      <c r="E256" s="29" t="n">
        <v>18</v>
      </c>
      <c r="F256" s="29" t="inlineStr">
        <is>
          <t>Feature</t>
        </is>
      </c>
      <c r="G256" s="29" t="inlineStr">
        <is>
          <t>Explore trending subjects</t>
        </is>
      </c>
      <c r="H256" s="29" t="inlineStr">
        <is>
          <t>Explore trending subjects</t>
        </is>
      </c>
      <c r="I256" s="29" t="inlineStr">
        <is>
          <t>/home/ubuntu/blyp_product_requirements.md :: Section 13 — Unified Search and Explore</t>
        </is>
      </c>
      <c r="J256" s="29" t="inlineStr">
        <is>
          <t>/home/ubuntu/BLYP_COMPLETE_FEATURE_LIST.md:330</t>
        </is>
      </c>
      <c r="K256" s="29" t="inlineStr">
        <is>
          <t>Required</t>
        </is>
      </c>
      <c r="L256" s="29" t="inlineStr">
        <is>
          <t>Applicable BLYP member</t>
        </is>
      </c>
      <c r="M256" s="29" t="inlineStr">
        <is>
          <t>BLYP mobile application and supporting production services</t>
        </is>
      </c>
      <c r="N256" s="29" t="inlineStr">
        <is>
          <t>Explore trending subjects</t>
        </is>
      </c>
      <c r="O256" s="29" t="inlineStr">
        <is>
          <t>Not explicitly defined in the product source; requires accountable product approval before production sign-off.</t>
        </is>
      </c>
      <c r="P256" s="29" t="inlineStr">
        <is>
          <t>None</t>
        </is>
      </c>
      <c r="Q256" s="29" t="inlineStr">
        <is>
          <t>Partial</t>
        </is>
      </c>
      <c r="R256" s="29" t="inlineStr"/>
      <c r="S256" s="29" t="inlineStr">
        <is>
          <t>UI only</t>
        </is>
      </c>
      <c r="T256" s="29" t="inlineStr">
        <is>
          <t>SearchScreen</t>
        </is>
      </c>
      <c r="U256" s="29" t="inlineStr">
        <is>
          <t>SearchScreen</t>
        </is>
      </c>
      <c r="V256" s="29" t="inlineStr">
        <is>
          <t>searchService</t>
        </is>
      </c>
      <c r="W256" s="29" t="inlineStr">
        <is>
          <t>None</t>
        </is>
      </c>
      <c r="X256" s="29" t="inlineStr">
        <is>
          <t>None</t>
        </is>
      </c>
      <c r="Y256" s="29" t="inlineStr"/>
      <c r="Z256" s="29" t="inlineStr"/>
      <c r="AA256" s="29" t="inlineStr"/>
      <c r="AB256" s="29" t="inlineStr"/>
      <c r="AC256" s="29" t="inlineStr"/>
      <c r="AD256" s="29" t="inlineStr"/>
      <c r="AE256" s="29" t="inlineStr">
        <is>
          <t>User reachable</t>
        </is>
      </c>
      <c r="AF256" s="29" t="inlineStr">
        <is>
          <t>SearchScreen</t>
        </is>
      </c>
      <c r="AG256" s="29" t="inlineStr">
        <is>
          <t>Incomplete</t>
        </is>
      </c>
      <c r="AH256" s="29" t="inlineStr">
        <is>
          <t>No</t>
        </is>
      </c>
      <c r="AI256" s="29" t="inlineStr">
        <is>
          <t>Backend search API not implemented, uses mock data</t>
        </is>
      </c>
      <c r="AJ256" s="29" t="inlineStr">
        <is>
          <t>Source traced</t>
        </is>
      </c>
      <c r="AK256" s="29" t="inlineStr">
        <is>
          <t>EV-13-0016;EV-13-0017</t>
        </is>
      </c>
      <c r="AL256" s="29" t="inlineStr"/>
      <c r="AM256" s="29" t="inlineStr"/>
      <c r="AN256" s="29" t="inlineStr"/>
      <c r="AO256" s="29" t="inlineStr">
        <is>
          <t>8bc0dcb2a1da1b21368c5536aaeef829d587f316</t>
        </is>
      </c>
      <c r="AP256" s="29" t="inlineStr">
        <is>
          <t>High</t>
        </is>
      </c>
      <c r="AQ256" s="29" t="inlineStr">
        <is>
          <t>Not assessed</t>
        </is>
      </c>
      <c r="AR256" s="29" t="inlineStr">
        <is>
          <t>Not assessed</t>
        </is>
      </c>
      <c r="AS256" s="29" t="inlineStr">
        <is>
          <t>Fail</t>
        </is>
      </c>
      <c r="AT256" s="29" t="inlineStr">
        <is>
          <t>Not assessed</t>
        </is>
      </c>
      <c r="AU256" s="29" t="inlineStr">
        <is>
          <t>Not assessed</t>
        </is>
      </c>
      <c r="AV256" s="29" t="inlineStr">
        <is>
          <t>Not assessed</t>
        </is>
      </c>
      <c r="AW256" s="29" t="inlineStr">
        <is>
          <t>Not assessed</t>
        </is>
      </c>
      <c r="AX256" s="29" t="inlineStr">
        <is>
          <t>Not assessed</t>
        </is>
      </c>
      <c r="AY256" s="29" t="inlineStr">
        <is>
          <t>Not assessed</t>
        </is>
      </c>
      <c r="AZ256" s="29" t="inlineStr">
        <is>
          <t>Not assessed</t>
        </is>
      </c>
      <c r="BA256" s="29" t="inlineStr">
        <is>
          <t>Not assessed</t>
        </is>
      </c>
      <c r="BB256" s="29" t="inlineStr">
        <is>
          <t>Not assessed</t>
        </is>
      </c>
      <c r="BC256" s="29" t="inlineStr">
        <is>
          <t>Not assessed</t>
        </is>
      </c>
      <c r="BD256" s="29" t="inlineStr">
        <is>
          <t>Not assessed</t>
        </is>
      </c>
      <c r="BE256" s="29" t="inlineStr">
        <is>
          <t>Development required</t>
        </is>
      </c>
      <c r="BF256" s="29" t="inlineStr">
        <is>
          <t>Physical implementation is not complete against the stated requirement.; Backend search API not implemented, uses mock data</t>
        </is>
      </c>
      <c r="BG256" s="29" t="inlineStr"/>
      <c r="BH256" s="29" t="inlineStr"/>
      <c r="BI256" s="29" t="inlineStr"/>
      <c r="BJ256" s="29" t="inlineStr"/>
      <c r="BK256" s="29" t="inlineStr">
        <is>
          <t>Evidence reconciled against the reviewed source revision. No production approval is inferred from implementation or file presence.</t>
        </is>
      </c>
      <c r="BL256" s="29" t="inlineStr">
        <is>
          <t>2026-08-02</t>
        </is>
      </c>
    </row>
    <row r="257" ht="42" customHeight="1">
      <c r="A257" s="29" t="inlineStr">
        <is>
          <t>BLYP-13-019</t>
        </is>
      </c>
      <c r="B257" s="29" t="inlineStr"/>
      <c r="C257" s="29" t="inlineStr">
        <is>
          <t>Unified Search and Explore</t>
        </is>
      </c>
      <c r="D257" s="29" t="n">
        <v>13</v>
      </c>
      <c r="E257" s="29" t="n">
        <v>19</v>
      </c>
      <c r="F257" s="29" t="inlineStr">
        <is>
          <t>Feature</t>
        </is>
      </c>
      <c r="G257" s="29" t="inlineStr">
        <is>
          <t>One F1 search returning hub, room, creators, posts, Teams, and scheduled experiences</t>
        </is>
      </c>
      <c r="H257" s="29" t="inlineStr">
        <is>
          <t>One F1 search returning hub, room, creators, posts, Teams, and scheduled experiences</t>
        </is>
      </c>
      <c r="I257" s="29" t="inlineStr">
        <is>
          <t>/home/ubuntu/blyp_product_requirements.md :: Section 13 — Unified Search and Explore</t>
        </is>
      </c>
      <c r="J257" s="29" t="inlineStr">
        <is>
          <t>/home/ubuntu/BLYP_COMPLETE_FEATURE_LIST.md:331</t>
        </is>
      </c>
      <c r="K257" s="29" t="inlineStr">
        <is>
          <t>Required</t>
        </is>
      </c>
      <c r="L257" s="29" t="inlineStr">
        <is>
          <t>Authenticated creator or host</t>
        </is>
      </c>
      <c r="M257" s="29" t="inlineStr">
        <is>
          <t>BLYP mobile application and supporting production services</t>
        </is>
      </c>
      <c r="N257" s="29" t="inlineStr">
        <is>
          <t>One F1 search returning hub, room, creators, posts, Teams, and scheduled experiences</t>
        </is>
      </c>
      <c r="O257" s="29" t="inlineStr">
        <is>
          <t>Not explicitly defined in the product source; requires accountable product approval before production sign-off.</t>
        </is>
      </c>
      <c r="P257" s="29" t="inlineStr"/>
      <c r="Q257" s="29" t="inlineStr">
        <is>
          <t>No evidence</t>
        </is>
      </c>
      <c r="R257" s="29" t="inlineStr"/>
      <c r="S257" s="29" t="inlineStr">
        <is>
          <t>Not found</t>
        </is>
      </c>
      <c r="T257" s="29" t="inlineStr"/>
      <c r="U257" s="29" t="inlineStr"/>
      <c r="V257" s="29" t="inlineStr"/>
      <c r="W257" s="29" t="inlineStr"/>
      <c r="X257" s="29" t="inlineStr"/>
      <c r="Y257" s="29" t="inlineStr"/>
      <c r="Z257" s="29" t="inlineStr"/>
      <c r="AA257" s="29" t="inlineStr"/>
      <c r="AB257" s="29" t="inlineStr"/>
      <c r="AC257" s="29" t="inlineStr"/>
      <c r="AD257" s="29" t="inlineStr"/>
      <c r="AE257" s="29" t="inlineStr">
        <is>
          <t>Unknown</t>
        </is>
      </c>
      <c r="AF257" s="29" t="inlineStr"/>
      <c r="AG257" s="29" t="inlineStr">
        <is>
          <t>Unknown</t>
        </is>
      </c>
      <c r="AH257" s="29" t="inlineStr">
        <is>
          <t>Unknown</t>
        </is>
      </c>
      <c r="AI257" s="29" t="inlineStr">
        <is>
          <t>Searched for 'F1 search' and 'hub' in source, no evidence found</t>
        </is>
      </c>
      <c r="AJ257" s="29" t="inlineStr">
        <is>
          <t>Not verified</t>
        </is>
      </c>
      <c r="AK257" s="29" t="inlineStr"/>
      <c r="AL257" s="29" t="inlineStr"/>
      <c r="AM257" s="29" t="inlineStr"/>
      <c r="AN257" s="29" t="inlineStr"/>
      <c r="AO257" s="29" t="inlineStr">
        <is>
          <t>8bc0dcb2a1da1b21368c5536aaeef829d587f316</t>
        </is>
      </c>
      <c r="AP257" s="29" t="inlineStr">
        <is>
          <t>Unrated</t>
        </is>
      </c>
      <c r="AQ257" s="29" t="inlineStr">
        <is>
          <t>Not assessed</t>
        </is>
      </c>
      <c r="AR257" s="29" t="inlineStr">
        <is>
          <t>Not assessed</t>
        </is>
      </c>
      <c r="AS257" s="29" t="inlineStr">
        <is>
          <t>Not assessed</t>
        </is>
      </c>
      <c r="AT257" s="29" t="inlineStr">
        <is>
          <t>Not assessed</t>
        </is>
      </c>
      <c r="AU257" s="29" t="inlineStr">
        <is>
          <t>Not assessed</t>
        </is>
      </c>
      <c r="AV257" s="29" t="inlineStr">
        <is>
          <t>Not assessed</t>
        </is>
      </c>
      <c r="AW257" s="29" t="inlineStr">
        <is>
          <t>Not assessed</t>
        </is>
      </c>
      <c r="AX257" s="29" t="inlineStr">
        <is>
          <t>Not assessed</t>
        </is>
      </c>
      <c r="AY257" s="29" t="inlineStr">
        <is>
          <t>Not assessed</t>
        </is>
      </c>
      <c r="AZ257" s="29" t="inlineStr">
        <is>
          <t>Not assessed</t>
        </is>
      </c>
      <c r="BA257" s="29" t="inlineStr">
        <is>
          <t>Not assessed</t>
        </is>
      </c>
      <c r="BB257" s="29" t="inlineStr">
        <is>
          <t>Not assessed</t>
        </is>
      </c>
      <c r="BC257" s="29" t="inlineStr">
        <is>
          <t>Not assessed</t>
        </is>
      </c>
      <c r="BD257" s="29" t="inlineStr">
        <is>
          <t>Not assessed</t>
        </is>
      </c>
      <c r="BE257" s="29" t="inlineStr">
        <is>
          <t>Development required</t>
        </is>
      </c>
      <c r="BF257" s="29" t="inlineStr">
        <is>
          <t>Physical implementation is not complete against the stated requirement.; Searched for 'F1 search' and 'hub' in source, no evidence found</t>
        </is>
      </c>
      <c r="BG257" s="29" t="inlineStr"/>
      <c r="BH257" s="29" t="inlineStr"/>
      <c r="BI257" s="29" t="inlineStr"/>
      <c r="BJ257" s="29" t="inlineStr"/>
      <c r="BK257" s="29" t="inlineStr">
        <is>
          <t>Evidence reconciled against the reviewed source revision. No production approval is inferred from implementation or file presence.</t>
        </is>
      </c>
      <c r="BL257" s="29" t="inlineStr">
        <is>
          <t>2026-08-02</t>
        </is>
      </c>
    </row>
    <row r="258" ht="42" customHeight="1">
      <c r="A258" s="29" t="inlineStr">
        <is>
          <t>BLYP-14-001</t>
        </is>
      </c>
      <c r="B258" s="29" t="inlineStr"/>
      <c r="C258" s="29" t="inlineStr">
        <is>
          <t>Wallet, gifts, and earnings</t>
        </is>
      </c>
      <c r="D258" s="29" t="n">
        <v>14</v>
      </c>
      <c r="E258" s="29" t="n">
        <v>1</v>
      </c>
      <c r="F258" s="29" t="inlineStr">
        <is>
          <t>Feature</t>
        </is>
      </c>
      <c r="G258" s="29" t="inlineStr">
        <is>
          <t>BLYP Coin wallet</t>
        </is>
      </c>
      <c r="H258" s="29" t="inlineStr">
        <is>
          <t>BLYP Coin wallet</t>
        </is>
      </c>
      <c r="I258" s="29" t="inlineStr">
        <is>
          <t>/home/ubuntu/blyp_product_requirements.md :: Section 14 — Wallet, gifts, and earnings</t>
        </is>
      </c>
      <c r="J258" s="29" t="inlineStr">
        <is>
          <t>/home/ubuntu/BLYP_COMPLETE_FEATURE_LIST.md:337</t>
        </is>
      </c>
      <c r="K258" s="29" t="inlineStr">
        <is>
          <t>Required</t>
        </is>
      </c>
      <c r="L258" s="29" t="inlineStr">
        <is>
          <t>Authenticated creator or host</t>
        </is>
      </c>
      <c r="M258" s="29" t="inlineStr">
        <is>
          <t>BLYP mobile application and supporting production services</t>
        </is>
      </c>
      <c r="N258" s="29" t="inlineStr">
        <is>
          <t>BLYP Coin wallet</t>
        </is>
      </c>
      <c r="O258" s="29" t="inlineStr">
        <is>
          <t>Not explicitly defined in the product source; requires accountable product approval before production sign-off.</t>
        </is>
      </c>
      <c r="P258" s="29" t="inlineStr"/>
      <c r="Q258" s="29" t="inlineStr">
        <is>
          <t>Yes</t>
        </is>
      </c>
      <c r="R258" s="29" t="inlineStr"/>
      <c r="S258" s="29" t="inlineStr">
        <is>
          <t>Conflicting implementations</t>
        </is>
      </c>
      <c r="T258" s="29" t="inlineStr">
        <is>
          <t>BlypCoinWallet and related mobile economy surfaces</t>
        </is>
      </c>
      <c r="U258" s="29" t="inlineStr">
        <is>
          <t>src/components/BlypCoinWallet.js; src/screens/CoinStoreScreen.js</t>
        </is>
      </c>
      <c r="V258" s="29" t="inlineStr">
        <is>
          <t>src/services/BlypCoinService.js</t>
        </is>
      </c>
      <c r="W258" s="29" t="inlineStr">
        <is>
          <t>GET /wallet; GET /ledger and hosted economy domain service exist separately from the current mobile Firestore calls</t>
        </is>
      </c>
      <c r="X258" s="29" t="inlineStr">
        <is>
          <t>Current mobile: Firestore wallets, transactions and users; hosted backend: PostgreSQL wallets and ledger</t>
        </is>
      </c>
      <c r="Y258" s="29" t="inlineStr">
        <is>
          <t>Firestore balance snapshots; separate hosted Redis idempotency and throttling</t>
        </is>
      </c>
      <c r="Z258" s="29" t="inlineStr">
        <is>
          <t>Firebase Firestore in the current mobile path; PostgreSQL, Redis, Cognito and Google Play verification in the separate hosted backend</t>
        </is>
      </c>
      <c r="AA258" s="29" t="inlineStr">
        <is>
          <t>Firebase mode and Firestore rules; hosted economy environment and app-version policy</t>
        </is>
      </c>
      <c r="AB258" s="29" t="inlineStr">
        <is>
          <t>Expo mobile client, Firebase managed services and separate blyp-live-service backend</t>
        </is>
      </c>
      <c r="AC258" s="30" t="inlineStr">
        <is>
          <t>RP-017;RP-010</t>
        </is>
      </c>
      <c r="AD258" s="29" t="inlineStr">
        <is>
          <t>The mobile wallet balance path reads or mutates Firestore through BlypCoinService, while a separate authenticated hosted wallet and ledger contract exists but is not confirmed as the mobile caller.</t>
        </is>
      </c>
      <c r="AE258" s="29" t="inlineStr">
        <is>
          <t>User reachable</t>
        </is>
      </c>
      <c r="AF258" s="29" t="inlineStr">
        <is>
          <t>Wallet card, history, daily reward and store actions are present in the user-facing mobile interface.</t>
        </is>
      </c>
      <c r="AG258" s="29" t="inlineStr">
        <is>
          <t>Incomplete</t>
        </is>
      </c>
      <c r="AH258" s="29" t="inlineStr">
        <is>
          <t>No</t>
        </is>
      </c>
      <c r="AI258" s="29" t="inlineStr">
        <is>
          <t>No current data-convergence proof between Firestore and PostgreSQL; client-authoritative mutations remain reachable.</t>
        </is>
      </c>
      <c r="AJ258" s="29" t="inlineStr">
        <is>
          <t>Source traced</t>
        </is>
      </c>
      <c r="AK258" s="29" t="inlineStr">
        <is>
          <t>EV-14-0001;EV-RUN-0009;EV-RUN-0010;EV-TGT-ECON-001;EV-TGT-ECON-004;EV-TGT-ECON-006</t>
        </is>
      </c>
      <c r="AL258" s="29" t="inlineStr"/>
      <c r="AM258" s="29" t="inlineStr"/>
      <c r="AN258" s="29" t="inlineStr">
        <is>
          <t>2026-03-15</t>
        </is>
      </c>
      <c r="AO258" s="29" t="inlineStr">
        <is>
          <t>Historical artefacts dated 2026-02-23 | Historical source cutover packet dated 2026-03-15</t>
        </is>
      </c>
      <c r="AP258" s="29" t="inlineStr">
        <is>
          <t>High</t>
        </is>
      </c>
      <c r="AQ258" s="29" t="inlineStr">
        <is>
          <t>Not assessed</t>
        </is>
      </c>
      <c r="AR258" s="29" t="inlineStr">
        <is>
          <t>Fail</t>
        </is>
      </c>
      <c r="AS258" s="29" t="inlineStr">
        <is>
          <t>Not assessed</t>
        </is>
      </c>
      <c r="AT258" s="29" t="inlineStr">
        <is>
          <t>Not assessed</t>
        </is>
      </c>
      <c r="AU258" s="29" t="inlineStr">
        <is>
          <t>Not assessed</t>
        </is>
      </c>
      <c r="AV258" s="29" t="inlineStr">
        <is>
          <t>Not assessed</t>
        </is>
      </c>
      <c r="AW258" s="29" t="inlineStr">
        <is>
          <t>Not assessed</t>
        </is>
      </c>
      <c r="AX258" s="29" t="inlineStr">
        <is>
          <t>Fail</t>
        </is>
      </c>
      <c r="AY258" s="29" t="inlineStr">
        <is>
          <t>Not assessed</t>
        </is>
      </c>
      <c r="AZ258" s="29" t="inlineStr">
        <is>
          <t>Not assessed</t>
        </is>
      </c>
      <c r="BA258" s="29" t="inlineStr">
        <is>
          <t>Not assessed</t>
        </is>
      </c>
      <c r="BB258" s="29" t="inlineStr">
        <is>
          <t>Not assessed</t>
        </is>
      </c>
      <c r="BC258" s="29" t="inlineStr">
        <is>
          <t>Not assessed</t>
        </is>
      </c>
      <c r="BD258" s="29" t="inlineStr">
        <is>
          <t>Fail</t>
        </is>
      </c>
      <c r="BE258" s="29" t="inlineStr">
        <is>
          <t>Blocked</t>
        </is>
      </c>
      <c r="BF258" s="29" t="inlineStr">
        <is>
          <t>The feature is physically implemented, but the mobile Firestore economy and hosted PostgreSQL economy are conflicting authorities. Current executed transaction, store-verification, entitlement and reconciliation evidence is absent.</t>
        </is>
      </c>
      <c r="BG258" s="29" t="inlineStr">
        <is>
          <t>Wire the mobile UI exclusively to the selected server authority; remove client balance mutation; run provider-sandbox purchase, gift, idempotency, ledger, refund, reconciliation and recovery tests on the exact release candidate.</t>
        </is>
      </c>
      <c r="BH258" s="29" t="inlineStr"/>
      <c r="BI258" s="29" t="inlineStr"/>
      <c r="BJ258" s="29" t="inlineStr"/>
      <c r="BK258" s="29" t="inlineStr">
        <is>
          <t>Evidence reconciled against the reviewed source revision. No production approval is inferred from implementation or file presence.</t>
        </is>
      </c>
      <c r="BL258" s="29" t="inlineStr">
        <is>
          <t>2026-08-02</t>
        </is>
      </c>
    </row>
    <row r="259" ht="42" customHeight="1">
      <c r="A259" s="29" t="inlineStr">
        <is>
          <t>BLYP-14-002</t>
        </is>
      </c>
      <c r="B259" s="29" t="inlineStr"/>
      <c r="C259" s="29" t="inlineStr">
        <is>
          <t>Wallet, gifts, and earnings</t>
        </is>
      </c>
      <c r="D259" s="29" t="n">
        <v>14</v>
      </c>
      <c r="E259" s="29" t="n">
        <v>2</v>
      </c>
      <c r="F259" s="29" t="inlineStr">
        <is>
          <t>Feature</t>
        </is>
      </c>
      <c r="G259" s="29" t="inlineStr">
        <is>
          <t>Coin balance</t>
        </is>
      </c>
      <c r="H259" s="29" t="inlineStr">
        <is>
          <t>Coin balance</t>
        </is>
      </c>
      <c r="I259" s="29" t="inlineStr">
        <is>
          <t>/home/ubuntu/blyp_product_requirements.md :: Section 14 — Wallet, gifts, and earnings</t>
        </is>
      </c>
      <c r="J259" s="29" t="inlineStr">
        <is>
          <t>/home/ubuntu/BLYP_COMPLETE_FEATURE_LIST.md:338</t>
        </is>
      </c>
      <c r="K259" s="29" t="inlineStr">
        <is>
          <t>Required</t>
        </is>
      </c>
      <c r="L259" s="29" t="inlineStr">
        <is>
          <t>Authenticated creator or host</t>
        </is>
      </c>
      <c r="M259" s="29" t="inlineStr">
        <is>
          <t>BLYP mobile application and supporting production services</t>
        </is>
      </c>
      <c r="N259" s="29" t="inlineStr">
        <is>
          <t>Coin balance</t>
        </is>
      </c>
      <c r="O259" s="29" t="inlineStr">
        <is>
          <t>Not explicitly defined in the product source; requires accountable product approval before production sign-off.</t>
        </is>
      </c>
      <c r="P259" s="29" t="inlineStr"/>
      <c r="Q259" s="29" t="inlineStr">
        <is>
          <t>Yes</t>
        </is>
      </c>
      <c r="R259" s="29" t="inlineStr"/>
      <c r="S259" s="29" t="inlineStr">
        <is>
          <t>Conflicting implementations</t>
        </is>
      </c>
      <c r="T259" s="29" t="inlineStr">
        <is>
          <t>BlypCoinWallet and related mobile economy surfaces</t>
        </is>
      </c>
      <c r="U259" s="29" t="inlineStr">
        <is>
          <t>src/components/BlypCoinWallet.js; src/screens/CoinStoreScreen.js</t>
        </is>
      </c>
      <c r="V259" s="29" t="inlineStr">
        <is>
          <t>src/services/BlypCoinService.js</t>
        </is>
      </c>
      <c r="W259" s="29" t="inlineStr">
        <is>
          <t>GET /wallet; GET /ledger and hosted economy domain service exist separately from the current mobile Firestore calls</t>
        </is>
      </c>
      <c r="X259" s="29" t="inlineStr">
        <is>
          <t>Current mobile: Firestore wallets, transactions and users; hosted backend: PostgreSQL wallets and ledger</t>
        </is>
      </c>
      <c r="Y259" s="29" t="inlineStr">
        <is>
          <t>Firestore balance snapshots; separate hosted Redis idempotency and throttling</t>
        </is>
      </c>
      <c r="Z259" s="29" t="inlineStr">
        <is>
          <t>Firebase Firestore in the current mobile path; PostgreSQL, Redis, Cognito and Google Play verification in the separate hosted backend</t>
        </is>
      </c>
      <c r="AA259" s="29" t="inlineStr">
        <is>
          <t>Firebase mode and Firestore rules; hosted economy environment and app-version policy</t>
        </is>
      </c>
      <c r="AB259" s="29" t="inlineStr">
        <is>
          <t>Expo mobile client, Firebase managed services and separate blyp-live-service backend</t>
        </is>
      </c>
      <c r="AC259" s="30" t="inlineStr">
        <is>
          <t>RP-017;RP-010</t>
        </is>
      </c>
      <c r="AD259" s="29" t="inlineStr">
        <is>
          <t>The mobile real-time wallet balance path reads or mutates Firestore through BlypCoinService, while a separate authenticated hosted wallet and ledger contract exists but is not confirmed as the mobile caller.</t>
        </is>
      </c>
      <c r="AE259" s="29" t="inlineStr">
        <is>
          <t>User reachable</t>
        </is>
      </c>
      <c r="AF259" s="29" t="inlineStr">
        <is>
          <t>Wallet card, history, daily reward and store actions are present in the user-facing mobile interface.</t>
        </is>
      </c>
      <c r="AG259" s="29" t="inlineStr">
        <is>
          <t>Incomplete</t>
        </is>
      </c>
      <c r="AH259" s="29" t="inlineStr">
        <is>
          <t>No</t>
        </is>
      </c>
      <c r="AI259" s="29" t="inlineStr">
        <is>
          <t>No current data-convergence proof between Firestore and PostgreSQL; client-authoritative mutations remain reachable.</t>
        </is>
      </c>
      <c r="AJ259" s="29" t="inlineStr">
        <is>
          <t>Source traced</t>
        </is>
      </c>
      <c r="AK259" s="29" t="inlineStr">
        <is>
          <t>EV-14-0001;EV-RUN-0009;EV-RUN-0010;EV-TGT-ECON-001;EV-TGT-ECON-004;EV-TGT-ECON-006</t>
        </is>
      </c>
      <c r="AL259" s="29" t="inlineStr"/>
      <c r="AM259" s="29" t="inlineStr"/>
      <c r="AN259" s="29" t="inlineStr">
        <is>
          <t>2026-03-15</t>
        </is>
      </c>
      <c r="AO259" s="29" t="inlineStr">
        <is>
          <t>Historical artefacts dated 2026-02-23 | Historical source cutover packet dated 2026-03-15</t>
        </is>
      </c>
      <c r="AP259" s="29" t="inlineStr">
        <is>
          <t>High</t>
        </is>
      </c>
      <c r="AQ259" s="29" t="inlineStr">
        <is>
          <t>Not assessed</t>
        </is>
      </c>
      <c r="AR259" s="29" t="inlineStr">
        <is>
          <t>Fail</t>
        </is>
      </c>
      <c r="AS259" s="29" t="inlineStr">
        <is>
          <t>Not assessed</t>
        </is>
      </c>
      <c r="AT259" s="29" t="inlineStr">
        <is>
          <t>Not assessed</t>
        </is>
      </c>
      <c r="AU259" s="29" t="inlineStr">
        <is>
          <t>Not assessed</t>
        </is>
      </c>
      <c r="AV259" s="29" t="inlineStr">
        <is>
          <t>Not assessed</t>
        </is>
      </c>
      <c r="AW259" s="29" t="inlineStr">
        <is>
          <t>Not assessed</t>
        </is>
      </c>
      <c r="AX259" s="29" t="inlineStr">
        <is>
          <t>Fail</t>
        </is>
      </c>
      <c r="AY259" s="29" t="inlineStr">
        <is>
          <t>Not assessed</t>
        </is>
      </c>
      <c r="AZ259" s="29" t="inlineStr">
        <is>
          <t>Not assessed</t>
        </is>
      </c>
      <c r="BA259" s="29" t="inlineStr">
        <is>
          <t>Not assessed</t>
        </is>
      </c>
      <c r="BB259" s="29" t="inlineStr">
        <is>
          <t>Not assessed</t>
        </is>
      </c>
      <c r="BC259" s="29" t="inlineStr">
        <is>
          <t>Not assessed</t>
        </is>
      </c>
      <c r="BD259" s="29" t="inlineStr">
        <is>
          <t>Fail</t>
        </is>
      </c>
      <c r="BE259" s="29" t="inlineStr">
        <is>
          <t>Blocked</t>
        </is>
      </c>
      <c r="BF259" s="29" t="inlineStr">
        <is>
          <t>The feature is physically implemented, but the mobile Firestore economy and hosted PostgreSQL economy are conflicting authorities. Current executed transaction, store-verification, entitlement and reconciliation evidence is absent.</t>
        </is>
      </c>
      <c r="BG259" s="29" t="inlineStr">
        <is>
          <t>Wire the mobile UI exclusively to the selected server authority; remove client balance mutation; run provider-sandbox purchase, gift, idempotency, ledger, refund, reconciliation and recovery tests on the exact release candidate.</t>
        </is>
      </c>
      <c r="BH259" s="29" t="inlineStr"/>
      <c r="BI259" s="29" t="inlineStr"/>
      <c r="BJ259" s="29" t="inlineStr"/>
      <c r="BK259" s="29" t="inlineStr">
        <is>
          <t>Evidence reconciled against the reviewed source revision. No production approval is inferred from implementation or file presence.</t>
        </is>
      </c>
      <c r="BL259" s="29" t="inlineStr">
        <is>
          <t>2026-08-02</t>
        </is>
      </c>
    </row>
    <row r="260" ht="42" customHeight="1">
      <c r="A260" s="29" t="inlineStr">
        <is>
          <t>BLYP-14-003</t>
        </is>
      </c>
      <c r="B260" s="29" t="inlineStr"/>
      <c r="C260" s="29" t="inlineStr">
        <is>
          <t>Wallet, gifts, and earnings</t>
        </is>
      </c>
      <c r="D260" s="29" t="n">
        <v>14</v>
      </c>
      <c r="E260" s="29" t="n">
        <v>3</v>
      </c>
      <c r="F260" s="29" t="inlineStr">
        <is>
          <t>Feature</t>
        </is>
      </c>
      <c r="G260" s="29" t="inlineStr">
        <is>
          <t>Transaction history</t>
        </is>
      </c>
      <c r="H260" s="29" t="inlineStr">
        <is>
          <t>Transaction history</t>
        </is>
      </c>
      <c r="I260" s="29" t="inlineStr">
        <is>
          <t>/home/ubuntu/blyp_product_requirements.md :: Section 14 — Wallet, gifts, and earnings</t>
        </is>
      </c>
      <c r="J260" s="29" t="inlineStr">
        <is>
          <t>/home/ubuntu/BLYP_COMPLETE_FEATURE_LIST.md:339</t>
        </is>
      </c>
      <c r="K260" s="29" t="inlineStr">
        <is>
          <t>Required</t>
        </is>
      </c>
      <c r="L260" s="29" t="inlineStr">
        <is>
          <t>Authenticated creator or host</t>
        </is>
      </c>
      <c r="M260" s="29" t="inlineStr">
        <is>
          <t>BLYP mobile application and supporting production services</t>
        </is>
      </c>
      <c r="N260" s="29" t="inlineStr">
        <is>
          <t>Transaction history</t>
        </is>
      </c>
      <c r="O260" s="29" t="inlineStr">
        <is>
          <t>Not explicitly defined in the product source; requires accountable product approval before production sign-off.</t>
        </is>
      </c>
      <c r="P260" s="29" t="inlineStr"/>
      <c r="Q260" s="29" t="inlineStr">
        <is>
          <t>Yes</t>
        </is>
      </c>
      <c r="R260" s="29" t="inlineStr"/>
      <c r="S260" s="29" t="inlineStr">
        <is>
          <t>Unknown</t>
        </is>
      </c>
      <c r="T260" s="29" t="inlineStr"/>
      <c r="U260" s="29" t="inlineStr"/>
      <c r="V260" s="29" t="inlineStr"/>
      <c r="W260" s="29" t="inlineStr"/>
      <c r="X260" s="29" t="inlineStr"/>
      <c r="Y260" s="29" t="inlineStr"/>
      <c r="Z260" s="29" t="inlineStr"/>
      <c r="AA260" s="29" t="inlineStr"/>
      <c r="AB260" s="29" t="inlineStr"/>
      <c r="AC260" s="29" t="inlineStr"/>
      <c r="AD260" s="29" t="inlineStr"/>
      <c r="AE260" s="29" t="inlineStr">
        <is>
          <t>Unknown</t>
        </is>
      </c>
      <c r="AF260" s="29" t="inlineStr"/>
      <c r="AG260" s="29" t="inlineStr">
        <is>
          <t>Unknown</t>
        </is>
      </c>
      <c r="AH260" s="29" t="inlineStr">
        <is>
          <t>Unknown</t>
        </is>
      </c>
      <c r="AI260" s="29" t="inlineStr"/>
      <c r="AJ260" s="29" t="inlineStr">
        <is>
          <t>Not verified</t>
        </is>
      </c>
      <c r="AK260" s="29" t="inlineStr">
        <is>
          <t>EV-14-0002</t>
        </is>
      </c>
      <c r="AL260" s="29" t="inlineStr"/>
      <c r="AM260" s="29" t="inlineStr"/>
      <c r="AN260" s="29" t="inlineStr"/>
      <c r="AO260" s="29" t="inlineStr">
        <is>
          <t>8bc0dcb2a1da1b21368c5536aaeef829d587f316</t>
        </is>
      </c>
      <c r="AP260" s="29" t="inlineStr">
        <is>
          <t>Unrated</t>
        </is>
      </c>
      <c r="AQ260" s="29" t="inlineStr">
        <is>
          <t>Not assessed</t>
        </is>
      </c>
      <c r="AR260" s="29" t="inlineStr">
        <is>
          <t>Not assessed</t>
        </is>
      </c>
      <c r="AS260" s="29" t="inlineStr">
        <is>
          <t>Not assessed</t>
        </is>
      </c>
      <c r="AT260" s="29" t="inlineStr">
        <is>
          <t>Not assessed</t>
        </is>
      </c>
      <c r="AU260" s="29" t="inlineStr">
        <is>
          <t>Not assessed</t>
        </is>
      </c>
      <c r="AV260" s="29" t="inlineStr">
        <is>
          <t>Not assessed</t>
        </is>
      </c>
      <c r="AW260" s="29" t="inlineStr">
        <is>
          <t>Not assessed</t>
        </is>
      </c>
      <c r="AX260" s="29" t="inlineStr">
        <is>
          <t>Not assessed</t>
        </is>
      </c>
      <c r="AY260" s="29" t="inlineStr">
        <is>
          <t>Not assessed</t>
        </is>
      </c>
      <c r="AZ260" s="29" t="inlineStr">
        <is>
          <t>Not assessed</t>
        </is>
      </c>
      <c r="BA260" s="29" t="inlineStr">
        <is>
          <t>Not assessed</t>
        </is>
      </c>
      <c r="BB260" s="29" t="inlineStr">
        <is>
          <t>Not assessed</t>
        </is>
      </c>
      <c r="BC260" s="29" t="inlineStr">
        <is>
          <t>Not assessed</t>
        </is>
      </c>
      <c r="BD260" s="29" t="inlineStr">
        <is>
          <t>Not assessed</t>
        </is>
      </c>
      <c r="BE260" s="29" t="inlineStr">
        <is>
          <t>Not assessed</t>
        </is>
      </c>
      <c r="BF260" s="29" t="inlineStr">
        <is>
          <t>Insufficient evidence to issue a production-readiness conclusion.</t>
        </is>
      </c>
      <c r="BG260" s="29" t="inlineStr"/>
      <c r="BH260" s="29" t="inlineStr"/>
      <c r="BI260" s="29" t="inlineStr"/>
      <c r="BJ260" s="29" t="inlineStr"/>
      <c r="BK260" s="29" t="inlineStr">
        <is>
          <t>Evidence reconciled against the reviewed source revision. No production approval is inferred from implementation or file presence.</t>
        </is>
      </c>
      <c r="BL260" s="29" t="inlineStr">
        <is>
          <t>2026-08-02</t>
        </is>
      </c>
    </row>
    <row r="261" ht="42" customHeight="1">
      <c r="A261" s="29" t="inlineStr">
        <is>
          <t>BLYP-14-004</t>
        </is>
      </c>
      <c r="B261" s="29" t="inlineStr"/>
      <c r="C261" s="29" t="inlineStr">
        <is>
          <t>Wallet, gifts, and earnings</t>
        </is>
      </c>
      <c r="D261" s="29" t="n">
        <v>14</v>
      </c>
      <c r="E261" s="29" t="n">
        <v>4</v>
      </c>
      <c r="F261" s="29" t="inlineStr">
        <is>
          <t>Feature</t>
        </is>
      </c>
      <c r="G261" s="29" t="inlineStr">
        <is>
          <t>Daily rewards</t>
        </is>
      </c>
      <c r="H261" s="29" t="inlineStr">
        <is>
          <t>Daily rewards</t>
        </is>
      </c>
      <c r="I261" s="29" t="inlineStr">
        <is>
          <t>/home/ubuntu/blyp_product_requirements.md :: Section 14 — Wallet, gifts, and earnings</t>
        </is>
      </c>
      <c r="J261" s="29" t="inlineStr">
        <is>
          <t>/home/ubuntu/BLYP_COMPLETE_FEATURE_LIST.md:340</t>
        </is>
      </c>
      <c r="K261" s="29" t="inlineStr">
        <is>
          <t>Required</t>
        </is>
      </c>
      <c r="L261" s="29" t="inlineStr">
        <is>
          <t>Authenticated creator or host</t>
        </is>
      </c>
      <c r="M261" s="29" t="inlineStr">
        <is>
          <t>BLYP mobile application and supporting production services</t>
        </is>
      </c>
      <c r="N261" s="29" t="inlineStr">
        <is>
          <t>Daily rewards</t>
        </is>
      </c>
      <c r="O261" s="29" t="inlineStr">
        <is>
          <t>Not explicitly defined in the product source; requires accountable product approval before production sign-off.</t>
        </is>
      </c>
      <c r="P261" s="29" t="inlineStr"/>
      <c r="Q261" s="29" t="inlineStr">
        <is>
          <t>Yes</t>
        </is>
      </c>
      <c r="R261" s="29" t="inlineStr"/>
      <c r="S261" s="29" t="inlineStr">
        <is>
          <t>Conflicting implementations</t>
        </is>
      </c>
      <c r="T261" s="29" t="inlineStr">
        <is>
          <t>BlypCoinWallet and related mobile economy surfaces</t>
        </is>
      </c>
      <c r="U261" s="29" t="inlineStr">
        <is>
          <t>src/components/BlypCoinWallet.js; src/screens/CoinStoreScreen.js</t>
        </is>
      </c>
      <c r="V261" s="29" t="inlineStr">
        <is>
          <t>src/services/BlypCoinService.js</t>
        </is>
      </c>
      <c r="W261" s="29" t="inlineStr">
        <is>
          <t>GET /wallet; GET /ledger and hosted economy domain service exist separately from the current mobile Firestore calls</t>
        </is>
      </c>
      <c r="X261" s="29" t="inlineStr">
        <is>
          <t>Current mobile: Firestore wallets, transactions and users; hosted backend: PostgreSQL wallets and ledger</t>
        </is>
      </c>
      <c r="Y261" s="29" t="inlineStr">
        <is>
          <t>Firestore balance snapshots; separate hosted Redis idempotency and throttling</t>
        </is>
      </c>
      <c r="Z261" s="29" t="inlineStr">
        <is>
          <t>Firebase Firestore in the current mobile path; PostgreSQL, Redis, Cognito and Google Play verification in the separate hosted backend</t>
        </is>
      </c>
      <c r="AA261" s="29" t="inlineStr">
        <is>
          <t>Firebase mode and Firestore rules; hosted economy environment and app-version policy</t>
        </is>
      </c>
      <c r="AB261" s="29" t="inlineStr">
        <is>
          <t>Expo mobile client, Firebase managed services and separate blyp-live-service backend</t>
        </is>
      </c>
      <c r="AC261" s="30" t="inlineStr">
        <is>
          <t>RP-017;RP-010</t>
        </is>
      </c>
      <c r="AD261" s="29" t="inlineStr">
        <is>
          <t>The mobile daily reward path reads or mutates Firestore through BlypCoinService, while a separate authenticated hosted wallet and ledger contract exists but is not confirmed as the mobile caller.</t>
        </is>
      </c>
      <c r="AE261" s="29" t="inlineStr">
        <is>
          <t>User reachable</t>
        </is>
      </c>
      <c r="AF261" s="29" t="inlineStr">
        <is>
          <t>Wallet card, history, daily reward and store actions are present in the user-facing mobile interface.</t>
        </is>
      </c>
      <c r="AG261" s="29" t="inlineStr">
        <is>
          <t>Incomplete</t>
        </is>
      </c>
      <c r="AH261" s="29" t="inlineStr">
        <is>
          <t>No</t>
        </is>
      </c>
      <c r="AI261" s="29" t="inlineStr">
        <is>
          <t>No current data-convergence proof between Firestore and PostgreSQL; client-authoritative mutations remain reachable.</t>
        </is>
      </c>
      <c r="AJ261" s="29" t="inlineStr">
        <is>
          <t>Source traced</t>
        </is>
      </c>
      <c r="AK261" s="29" t="inlineStr">
        <is>
          <t>EV-14-0003;EV-TGT-ECON-001;EV-TGT-ECON-004;EV-TGT-ECON-006</t>
        </is>
      </c>
      <c r="AL261" s="29" t="inlineStr"/>
      <c r="AM261" s="29" t="inlineStr"/>
      <c r="AN261" s="29" t="inlineStr"/>
      <c r="AO261" s="29" t="inlineStr">
        <is>
          <t>8bc0dcb2a1da1b21368c5536aaeef829d587f316</t>
        </is>
      </c>
      <c r="AP261" s="29" t="inlineStr">
        <is>
          <t>High</t>
        </is>
      </c>
      <c r="AQ261" s="29" t="inlineStr">
        <is>
          <t>Not assessed</t>
        </is>
      </c>
      <c r="AR261" s="29" t="inlineStr">
        <is>
          <t>Fail</t>
        </is>
      </c>
      <c r="AS261" s="29" t="inlineStr">
        <is>
          <t>Not assessed</t>
        </is>
      </c>
      <c r="AT261" s="29" t="inlineStr">
        <is>
          <t>Not assessed</t>
        </is>
      </c>
      <c r="AU261" s="29" t="inlineStr">
        <is>
          <t>Not assessed</t>
        </is>
      </c>
      <c r="AV261" s="29" t="inlineStr">
        <is>
          <t>Not assessed</t>
        </is>
      </c>
      <c r="AW261" s="29" t="inlineStr">
        <is>
          <t>Not assessed</t>
        </is>
      </c>
      <c r="AX261" s="29" t="inlineStr">
        <is>
          <t>Fail</t>
        </is>
      </c>
      <c r="AY261" s="29" t="inlineStr">
        <is>
          <t>Not assessed</t>
        </is>
      </c>
      <c r="AZ261" s="29" t="inlineStr">
        <is>
          <t>Not assessed</t>
        </is>
      </c>
      <c r="BA261" s="29" t="inlineStr">
        <is>
          <t>Not assessed</t>
        </is>
      </c>
      <c r="BB261" s="29" t="inlineStr">
        <is>
          <t>Not assessed</t>
        </is>
      </c>
      <c r="BC261" s="29" t="inlineStr">
        <is>
          <t>Not assessed</t>
        </is>
      </c>
      <c r="BD261" s="29" t="inlineStr">
        <is>
          <t>Fail</t>
        </is>
      </c>
      <c r="BE261" s="29" t="inlineStr">
        <is>
          <t>Blocked</t>
        </is>
      </c>
      <c r="BF261" s="29" t="inlineStr">
        <is>
          <t>The feature is physically implemented, but the mobile Firestore economy and hosted PostgreSQL economy are conflicting authorities. Current executed transaction, store-verification, entitlement and reconciliation evidence is absent.</t>
        </is>
      </c>
      <c r="BG261" s="29" t="inlineStr">
        <is>
          <t>Wire the mobile UI exclusively to the selected server authority; remove client balance mutation; run provider-sandbox purchase, gift, idempotency, ledger, refund, reconciliation and recovery tests on the exact release candidate.</t>
        </is>
      </c>
      <c r="BH261" s="29" t="inlineStr"/>
      <c r="BI261" s="29" t="inlineStr"/>
      <c r="BJ261" s="29" t="inlineStr"/>
      <c r="BK261" s="29" t="inlineStr">
        <is>
          <t>Evidence reconciled against the reviewed source revision. No production approval is inferred from implementation or file presence.</t>
        </is>
      </c>
      <c r="BL261" s="29" t="inlineStr">
        <is>
          <t>2026-08-02</t>
        </is>
      </c>
    </row>
    <row r="262" ht="42" customHeight="1">
      <c r="A262" s="29" t="inlineStr">
        <is>
          <t>BLYP-14-005</t>
        </is>
      </c>
      <c r="B262" s="29" t="inlineStr"/>
      <c r="C262" s="29" t="inlineStr">
        <is>
          <t>Wallet, gifts, and earnings</t>
        </is>
      </c>
      <c r="D262" s="29" t="n">
        <v>14</v>
      </c>
      <c r="E262" s="29" t="n">
        <v>5</v>
      </c>
      <c r="F262" s="29" t="inlineStr">
        <is>
          <t>Feature</t>
        </is>
      </c>
      <c r="G262" s="29" t="inlineStr">
        <is>
          <t>Coin store UI</t>
        </is>
      </c>
      <c r="H262" s="29" t="inlineStr">
        <is>
          <t>Coin store UI</t>
        </is>
      </c>
      <c r="I262" s="29" t="inlineStr">
        <is>
          <t>/home/ubuntu/blyp_product_requirements.md :: Section 14 — Wallet, gifts, and earnings</t>
        </is>
      </c>
      <c r="J262" s="29" t="inlineStr">
        <is>
          <t>/home/ubuntu/BLYP_COMPLETE_FEATURE_LIST.md:341</t>
        </is>
      </c>
      <c r="K262" s="29" t="inlineStr">
        <is>
          <t>Required</t>
        </is>
      </c>
      <c r="L262" s="29" t="inlineStr">
        <is>
          <t>Authenticated creator or host</t>
        </is>
      </c>
      <c r="M262" s="29" t="inlineStr">
        <is>
          <t>BLYP mobile application and supporting production services</t>
        </is>
      </c>
      <c r="N262" s="29" t="inlineStr">
        <is>
          <t>Coin store UI</t>
        </is>
      </c>
      <c r="O262" s="29" t="inlineStr">
        <is>
          <t>Not explicitly defined in the product source; requires accountable product approval before production sign-off.</t>
        </is>
      </c>
      <c r="P262" s="29" t="inlineStr"/>
      <c r="Q262" s="29" t="inlineStr">
        <is>
          <t>Yes</t>
        </is>
      </c>
      <c r="R262" s="29" t="inlineStr"/>
      <c r="S262" s="29" t="inlineStr">
        <is>
          <t>Conflicting implementations</t>
        </is>
      </c>
      <c r="T262" s="29" t="inlineStr">
        <is>
          <t>Currency Store route -&gt; src/screens/CoinStoreScreen.js</t>
        </is>
      </c>
      <c r="U262" s="29" t="inlineStr">
        <is>
          <t>src/screens/CoinStoreScreen.js</t>
        </is>
      </c>
      <c r="V262" s="29" t="inlineStr">
        <is>
          <t>BlypCoinService.addCoins; hard-coded packages; simulated purchase confirmation</t>
        </is>
      </c>
      <c r="W262" s="29" t="inlineStr">
        <is>
          <t>POST /iap/verify and economyService.verifyIapPurchaseAndGrant exist separately from the current screen</t>
        </is>
      </c>
      <c r="X262" s="29" t="inlineStr">
        <is>
          <t>Current mobile: Firestore wallets and transactions; hosted backend: PostgreSQL wallet, ledger and purchase records</t>
        </is>
      </c>
      <c r="Y262" s="29" t="inlineStr">
        <is>
          <t>Firestore transaction; hosted Redis replay protection</t>
        </is>
      </c>
      <c r="Z262" s="29" t="inlineStr">
        <is>
          <t>Firebase Firestore in the current mobile path; PostgreSQL, Redis, Cognito and Google Play verification in the separate hosted backend</t>
        </is>
      </c>
      <c r="AA262" s="29" t="inlineStr">
        <is>
          <t>Firebase mode and Firestore rules; hosted economy environment and app-version policy</t>
        </is>
      </c>
      <c r="AB262" s="29" t="inlineStr">
        <is>
          <t>Expo mobile client, Firebase managed services and separate blyp-live-service backend</t>
        </is>
      </c>
      <c r="AC262" s="30" t="inlineStr">
        <is>
          <t>RP-018;RP-009</t>
        </is>
      </c>
      <c r="AD262" s="29" t="inlineStr">
        <is>
          <t>The current store screen displays packages and directly grants Firestore balance after a simulated confirmation. A separate hosted Google Play verification path exists but is not wired from the reviewed screen.</t>
        </is>
      </c>
      <c r="AE262" s="29" t="inlineStr">
        <is>
          <t>User reachable</t>
        </is>
      </c>
      <c r="AF262" s="29" t="inlineStr">
        <is>
          <t>The Currency Store screen and package controls are rendered for members.</t>
        </is>
      </c>
      <c r="AG262" s="29" t="inlineStr">
        <is>
          <t>Incomplete</t>
        </is>
      </c>
      <c r="AH262" s="29" t="inlineStr">
        <is>
          <t>No</t>
        </is>
      </c>
      <c r="AI262" s="29" t="inlineStr">
        <is>
          <t>The current purchase action is simulated; app-store transaction, receipt verification, replay, refund and entitlement behaviour are not demonstrated end to end.</t>
        </is>
      </c>
      <c r="AJ262" s="29" t="inlineStr">
        <is>
          <t>Conflicting evidence</t>
        </is>
      </c>
      <c r="AK262" s="29" t="inlineStr">
        <is>
          <t>EV-RUN-0011;EV-TGT-ECON-003;EV-TGT-ECON-004;EV-TGT-ECON-006</t>
        </is>
      </c>
      <c r="AL262" s="29" t="inlineStr"/>
      <c r="AM262" s="29" t="inlineStr"/>
      <c r="AN262" s="29" t="inlineStr">
        <is>
          <t>2026-03-24</t>
        </is>
      </c>
      <c r="AO262" s="29" t="inlineStr">
        <is>
          <t>Build 2026032308; report dated 2026-03-24</t>
        </is>
      </c>
      <c r="AP262" s="29" t="inlineStr">
        <is>
          <t>High</t>
        </is>
      </c>
      <c r="AQ262" s="29" t="inlineStr">
        <is>
          <t>Not assessed</t>
        </is>
      </c>
      <c r="AR262" s="29" t="inlineStr">
        <is>
          <t>Fail</t>
        </is>
      </c>
      <c r="AS262" s="29" t="inlineStr">
        <is>
          <t>Not assessed</t>
        </is>
      </c>
      <c r="AT262" s="29" t="inlineStr">
        <is>
          <t>Not assessed</t>
        </is>
      </c>
      <c r="AU262" s="29" t="inlineStr">
        <is>
          <t>Not assessed</t>
        </is>
      </c>
      <c r="AV262" s="29" t="inlineStr">
        <is>
          <t>Not assessed</t>
        </is>
      </c>
      <c r="AW262" s="29" t="inlineStr">
        <is>
          <t>Not assessed</t>
        </is>
      </c>
      <c r="AX262" s="29" t="inlineStr">
        <is>
          <t>Fail</t>
        </is>
      </c>
      <c r="AY262" s="29" t="inlineStr">
        <is>
          <t>Not assessed</t>
        </is>
      </c>
      <c r="AZ262" s="29" t="inlineStr">
        <is>
          <t>Not assessed</t>
        </is>
      </c>
      <c r="BA262" s="29" t="inlineStr">
        <is>
          <t>Not assessed</t>
        </is>
      </c>
      <c r="BB262" s="29" t="inlineStr">
        <is>
          <t>Not assessed</t>
        </is>
      </c>
      <c r="BC262" s="29" t="inlineStr">
        <is>
          <t>Not assessed</t>
        </is>
      </c>
      <c r="BD262" s="29" t="inlineStr">
        <is>
          <t>Fail</t>
        </is>
      </c>
      <c r="BE262" s="29" t="inlineStr">
        <is>
          <t>Blocked</t>
        </is>
      </c>
      <c r="BF262" s="29" t="inlineStr">
        <is>
          <t>The feature is physically implemented, but the mobile Firestore economy and hosted PostgreSQL economy are conflicting authorities. Current executed transaction, store-verification, entitlement and reconciliation evidence is absent.</t>
        </is>
      </c>
      <c r="BG262" s="29" t="inlineStr">
        <is>
          <t>Wire the mobile UI exclusively to the selected server authority; remove client balance mutation; run provider-sandbox purchase, gift, idempotency, ledger, refund, reconciliation and recovery tests on the exact release candidate.</t>
        </is>
      </c>
      <c r="BH262" s="29" t="inlineStr"/>
      <c r="BI262" s="29" t="inlineStr"/>
      <c r="BJ262" s="29" t="inlineStr"/>
      <c r="BK262" s="29" t="inlineStr">
        <is>
          <t>Evidence reconciled against the reviewed source revision. No production approval is inferred from implementation or file presence.</t>
        </is>
      </c>
      <c r="BL262" s="29" t="inlineStr">
        <is>
          <t>2026-08-02</t>
        </is>
      </c>
    </row>
    <row r="263" ht="42" customHeight="1">
      <c r="A263" s="29" t="inlineStr">
        <is>
          <t>BLYP-14-006</t>
        </is>
      </c>
      <c r="B263" s="29" t="inlineStr"/>
      <c r="C263" s="29" t="inlineStr">
        <is>
          <t>Wallet, gifts, and earnings</t>
        </is>
      </c>
      <c r="D263" s="29" t="n">
        <v>14</v>
      </c>
      <c r="E263" s="29" t="n">
        <v>6</v>
      </c>
      <c r="F263" s="29" t="inlineStr">
        <is>
          <t>Feature</t>
        </is>
      </c>
      <c r="G263" s="29" t="inlineStr">
        <is>
          <t>Coin-purchase flow</t>
        </is>
      </c>
      <c r="H263" s="29" t="inlineStr">
        <is>
          <t>Coin-purchase flow</t>
        </is>
      </c>
      <c r="I263" s="29" t="inlineStr">
        <is>
          <t>/home/ubuntu/blyp_product_requirements.md :: Section 14 — Wallet, gifts, and earnings</t>
        </is>
      </c>
      <c r="J263" s="29" t="inlineStr">
        <is>
          <t>/home/ubuntu/BLYP_COMPLETE_FEATURE_LIST.md:342</t>
        </is>
      </c>
      <c r="K263" s="29" t="inlineStr">
        <is>
          <t>Required</t>
        </is>
      </c>
      <c r="L263" s="29" t="inlineStr">
        <is>
          <t>Authenticated creator or host</t>
        </is>
      </c>
      <c r="M263" s="29" t="inlineStr">
        <is>
          <t>BLYP mobile application and supporting production services</t>
        </is>
      </c>
      <c r="N263" s="29" t="inlineStr">
        <is>
          <t>Coin-purchase flow</t>
        </is>
      </c>
      <c r="O263" s="29" t="inlineStr">
        <is>
          <t>Not explicitly defined in the product source; requires accountable product approval before production sign-off.</t>
        </is>
      </c>
      <c r="P263" s="29" t="inlineStr"/>
      <c r="Q263" s="29" t="inlineStr">
        <is>
          <t>Partial</t>
        </is>
      </c>
      <c r="R263" s="29" t="inlineStr">
        <is>
          <t>simulated/mobile foundations and Android verification exist.</t>
        </is>
      </c>
      <c r="S263" s="29" t="inlineStr">
        <is>
          <t>Conflicting implementations</t>
        </is>
      </c>
      <c r="T263" s="29" t="inlineStr">
        <is>
          <t>Currency Store route -&gt; src/screens/CoinStoreScreen.js</t>
        </is>
      </c>
      <c r="U263" s="29" t="inlineStr">
        <is>
          <t>src/screens/CoinStoreScreen.js</t>
        </is>
      </c>
      <c r="V263" s="29" t="inlineStr">
        <is>
          <t>BlypCoinService.addCoins; hard-coded packages; simulated purchase confirmation</t>
        </is>
      </c>
      <c r="W263" s="29" t="inlineStr">
        <is>
          <t>POST /iap/verify and economyService.verifyIapPurchaseAndGrant exist separately from the current screen</t>
        </is>
      </c>
      <c r="X263" s="29" t="inlineStr">
        <is>
          <t>Current mobile: Firestore wallets and transactions; hosted backend: PostgreSQL wallet, ledger and purchase records</t>
        </is>
      </c>
      <c r="Y263" s="29" t="inlineStr">
        <is>
          <t>Firestore transaction; hosted Redis replay protection</t>
        </is>
      </c>
      <c r="Z263" s="29" t="inlineStr">
        <is>
          <t>Firebase Firestore in the current mobile path; PostgreSQL, Redis, Cognito and Google Play verification in the separate hosted backend</t>
        </is>
      </c>
      <c r="AA263" s="29" t="inlineStr">
        <is>
          <t>Firebase mode and Firestore rules; hosted economy environment and app-version policy</t>
        </is>
      </c>
      <c r="AB263" s="29" t="inlineStr">
        <is>
          <t>Expo mobile client, Firebase managed services and separate blyp-live-service backend</t>
        </is>
      </c>
      <c r="AC263" s="30" t="inlineStr">
        <is>
          <t>RP-018;RP-009</t>
        </is>
      </c>
      <c r="AD263" s="29" t="inlineStr">
        <is>
          <t>The current store screen displays packages and directly grants Firestore balance after a simulated confirmation. A separate hosted Google Play verification path exists but is not wired from the reviewed screen.</t>
        </is>
      </c>
      <c r="AE263" s="29" t="inlineStr">
        <is>
          <t>User reachable</t>
        </is>
      </c>
      <c r="AF263" s="29" t="inlineStr">
        <is>
          <t>The Currency Store screen and package controls are rendered for members.</t>
        </is>
      </c>
      <c r="AG263" s="29" t="inlineStr">
        <is>
          <t>Incomplete</t>
        </is>
      </c>
      <c r="AH263" s="29" t="inlineStr">
        <is>
          <t>No</t>
        </is>
      </c>
      <c r="AI263" s="29" t="inlineStr">
        <is>
          <t>The current purchase action is simulated; app-store transaction, receipt verification, replay, refund and entitlement behaviour are not demonstrated end to end.</t>
        </is>
      </c>
      <c r="AJ263" s="29" t="inlineStr">
        <is>
          <t>Conflicting evidence</t>
        </is>
      </c>
      <c r="AK263" s="29" t="inlineStr">
        <is>
          <t>EV-RUN-0011;EV-TGT-ECON-003;EV-TGT-ECON-004;EV-TGT-ECON-006</t>
        </is>
      </c>
      <c r="AL263" s="29" t="inlineStr"/>
      <c r="AM263" s="29" t="inlineStr"/>
      <c r="AN263" s="29" t="inlineStr">
        <is>
          <t>2026-03-24</t>
        </is>
      </c>
      <c r="AO263" s="29" t="inlineStr">
        <is>
          <t>Build 2026032308; report dated 2026-03-24</t>
        </is>
      </c>
      <c r="AP263" s="29" t="inlineStr">
        <is>
          <t>High</t>
        </is>
      </c>
      <c r="AQ263" s="29" t="inlineStr">
        <is>
          <t>Not assessed</t>
        </is>
      </c>
      <c r="AR263" s="29" t="inlineStr">
        <is>
          <t>Fail</t>
        </is>
      </c>
      <c r="AS263" s="29" t="inlineStr">
        <is>
          <t>Not assessed</t>
        </is>
      </c>
      <c r="AT263" s="29" t="inlineStr">
        <is>
          <t>Not assessed</t>
        </is>
      </c>
      <c r="AU263" s="29" t="inlineStr">
        <is>
          <t>Not assessed</t>
        </is>
      </c>
      <c r="AV263" s="29" t="inlineStr">
        <is>
          <t>Not assessed</t>
        </is>
      </c>
      <c r="AW263" s="29" t="inlineStr">
        <is>
          <t>Not assessed</t>
        </is>
      </c>
      <c r="AX263" s="29" t="inlineStr">
        <is>
          <t>Fail</t>
        </is>
      </c>
      <c r="AY263" s="29" t="inlineStr">
        <is>
          <t>Not assessed</t>
        </is>
      </c>
      <c r="AZ263" s="29" t="inlineStr">
        <is>
          <t>Not assessed</t>
        </is>
      </c>
      <c r="BA263" s="29" t="inlineStr">
        <is>
          <t>Not assessed</t>
        </is>
      </c>
      <c r="BB263" s="29" t="inlineStr">
        <is>
          <t>Not assessed</t>
        </is>
      </c>
      <c r="BC263" s="29" t="inlineStr">
        <is>
          <t>Not assessed</t>
        </is>
      </c>
      <c r="BD263" s="29" t="inlineStr">
        <is>
          <t>Fail</t>
        </is>
      </c>
      <c r="BE263" s="29" t="inlineStr">
        <is>
          <t>Blocked</t>
        </is>
      </c>
      <c r="BF263" s="29" t="inlineStr">
        <is>
          <t>The feature is physically implemented, but the mobile Firestore economy and hosted PostgreSQL economy are conflicting authorities. Current executed transaction, store-verification, entitlement and reconciliation evidence is absent.</t>
        </is>
      </c>
      <c r="BG263" s="29" t="inlineStr">
        <is>
          <t>Wire the mobile UI exclusively to the selected server authority; remove client balance mutation; run provider-sandbox purchase, gift, idempotency, ledger, refund, reconciliation and recovery tests on the exact release candidate.</t>
        </is>
      </c>
      <c r="BH263" s="29" t="inlineStr"/>
      <c r="BI263" s="29" t="inlineStr"/>
      <c r="BJ263" s="29" t="inlineStr"/>
      <c r="BK263" s="29" t="inlineStr">
        <is>
          <t>Evidence reconciled against the reviewed source revision. No production approval is inferred from implementation or file presence.</t>
        </is>
      </c>
      <c r="BL263" s="29" t="inlineStr">
        <is>
          <t>2026-08-02</t>
        </is>
      </c>
    </row>
    <row r="264" ht="42" customHeight="1">
      <c r="A264" s="29" t="inlineStr">
        <is>
          <t>BLYP-14-007</t>
        </is>
      </c>
      <c r="B264" s="29" t="inlineStr"/>
      <c r="C264" s="29" t="inlineStr">
        <is>
          <t>Wallet, gifts, and earnings</t>
        </is>
      </c>
      <c r="D264" s="29" t="n">
        <v>14</v>
      </c>
      <c r="E264" s="29" t="n">
        <v>7</v>
      </c>
      <c r="F264" s="29" t="inlineStr">
        <is>
          <t>Feature</t>
        </is>
      </c>
      <c r="G264" s="29" t="inlineStr">
        <is>
          <t>Google Play purchase verification</t>
        </is>
      </c>
      <c r="H264" s="29" t="inlineStr">
        <is>
          <t>Google Play purchase verification</t>
        </is>
      </c>
      <c r="I264" s="29" t="inlineStr">
        <is>
          <t>/home/ubuntu/blyp_product_requirements.md :: Section 14 — Wallet, gifts, and earnings</t>
        </is>
      </c>
      <c r="J264" s="29" t="inlineStr">
        <is>
          <t>/home/ubuntu/BLYP_COMPLETE_FEATURE_LIST.md:343</t>
        </is>
      </c>
      <c r="K264" s="29" t="inlineStr">
        <is>
          <t>Required</t>
        </is>
      </c>
      <c r="L264" s="29" t="inlineStr">
        <is>
          <t>Authenticated creator or host</t>
        </is>
      </c>
      <c r="M264" s="29" t="inlineStr">
        <is>
          <t>BLYP mobile application and supporting production services</t>
        </is>
      </c>
      <c r="N264" s="29" t="inlineStr">
        <is>
          <t>Google Play purchase verification</t>
        </is>
      </c>
      <c r="O264" s="29" t="inlineStr">
        <is>
          <t>Not explicitly defined in the product source; requires accountable product approval before production sign-off.</t>
        </is>
      </c>
      <c r="P264" s="29" t="inlineStr"/>
      <c r="Q264" s="29" t="inlineStr">
        <is>
          <t>Yes</t>
        </is>
      </c>
      <c r="R264" s="29" t="inlineStr">
        <is>
          <t>backend foundation exists.</t>
        </is>
      </c>
      <c r="S264" s="29" t="inlineStr">
        <is>
          <t>Conflicting implementations</t>
        </is>
      </c>
      <c r="T264" s="29" t="inlineStr">
        <is>
          <t>Currency Store route -&gt; src/screens/CoinStoreScreen.js</t>
        </is>
      </c>
      <c r="U264" s="29" t="inlineStr">
        <is>
          <t>src/screens/CoinStoreScreen.js</t>
        </is>
      </c>
      <c r="V264" s="29" t="inlineStr">
        <is>
          <t>BlypCoinService.addCoins; hard-coded packages; simulated purchase confirmation</t>
        </is>
      </c>
      <c r="W264" s="29" t="inlineStr">
        <is>
          <t>POST /iap/verify and economyService.verifyIapPurchaseAndGrant exist separately from the current screen</t>
        </is>
      </c>
      <c r="X264" s="29" t="inlineStr">
        <is>
          <t>Current mobile: Firestore wallets and transactions; hosted backend: PostgreSQL wallet, ledger and purchase records</t>
        </is>
      </c>
      <c r="Y264" s="29" t="inlineStr">
        <is>
          <t>Firestore transaction; hosted Redis replay protection</t>
        </is>
      </c>
      <c r="Z264" s="29" t="inlineStr">
        <is>
          <t>Firebase Firestore in the current mobile path; PostgreSQL, Redis, Cognito and Google Play verification in the separate hosted backend</t>
        </is>
      </c>
      <c r="AA264" s="29" t="inlineStr">
        <is>
          <t>Firebase mode and Firestore rules; hosted economy environment and app-version policy</t>
        </is>
      </c>
      <c r="AB264" s="29" t="inlineStr">
        <is>
          <t>Expo mobile client, Firebase managed services and separate blyp-live-service backend</t>
        </is>
      </c>
      <c r="AC264" s="30" t="inlineStr">
        <is>
          <t>RP-018;RP-009</t>
        </is>
      </c>
      <c r="AD264" s="29" t="inlineStr">
        <is>
          <t>The current store screen displays packages and directly grants Firestore balance after a simulated confirmation. A separate hosted Google Play verification path exists but is not wired from the reviewed screen.</t>
        </is>
      </c>
      <c r="AE264" s="29" t="inlineStr">
        <is>
          <t>User reachable</t>
        </is>
      </c>
      <c r="AF264" s="29" t="inlineStr">
        <is>
          <t>The Currency Store screen and package controls are rendered for members.</t>
        </is>
      </c>
      <c r="AG264" s="29" t="inlineStr">
        <is>
          <t>Incomplete</t>
        </is>
      </c>
      <c r="AH264" s="29" t="inlineStr">
        <is>
          <t>No</t>
        </is>
      </c>
      <c r="AI264" s="29" t="inlineStr">
        <is>
          <t>The current purchase action is simulated; app-store transaction, receipt verification, replay, refund and entitlement behaviour are not demonstrated end to end.</t>
        </is>
      </c>
      <c r="AJ264" s="29" t="inlineStr">
        <is>
          <t>Conflicting evidence</t>
        </is>
      </c>
      <c r="AK264" s="29" t="inlineStr">
        <is>
          <t>EV-RUN-0011;EV-TGT-ECON-003;EV-TGT-ECON-004;EV-TGT-ECON-006</t>
        </is>
      </c>
      <c r="AL264" s="29" t="inlineStr"/>
      <c r="AM264" s="29" t="inlineStr"/>
      <c r="AN264" s="29" t="inlineStr">
        <is>
          <t>2026-03-24</t>
        </is>
      </c>
      <c r="AO264" s="29" t="inlineStr">
        <is>
          <t>Build 2026032308; report dated 2026-03-24</t>
        </is>
      </c>
      <c r="AP264" s="29" t="inlineStr">
        <is>
          <t>High</t>
        </is>
      </c>
      <c r="AQ264" s="29" t="inlineStr">
        <is>
          <t>Not assessed</t>
        </is>
      </c>
      <c r="AR264" s="29" t="inlineStr">
        <is>
          <t>Fail</t>
        </is>
      </c>
      <c r="AS264" s="29" t="inlineStr">
        <is>
          <t>Not assessed</t>
        </is>
      </c>
      <c r="AT264" s="29" t="inlineStr">
        <is>
          <t>Not assessed</t>
        </is>
      </c>
      <c r="AU264" s="29" t="inlineStr">
        <is>
          <t>Not assessed</t>
        </is>
      </c>
      <c r="AV264" s="29" t="inlineStr">
        <is>
          <t>Not assessed</t>
        </is>
      </c>
      <c r="AW264" s="29" t="inlineStr">
        <is>
          <t>Not assessed</t>
        </is>
      </c>
      <c r="AX264" s="29" t="inlineStr">
        <is>
          <t>Fail</t>
        </is>
      </c>
      <c r="AY264" s="29" t="inlineStr">
        <is>
          <t>Not assessed</t>
        </is>
      </c>
      <c r="AZ264" s="29" t="inlineStr">
        <is>
          <t>Not assessed</t>
        </is>
      </c>
      <c r="BA264" s="29" t="inlineStr">
        <is>
          <t>Not assessed</t>
        </is>
      </c>
      <c r="BB264" s="29" t="inlineStr">
        <is>
          <t>Not assessed</t>
        </is>
      </c>
      <c r="BC264" s="29" t="inlineStr">
        <is>
          <t>Not assessed</t>
        </is>
      </c>
      <c r="BD264" s="29" t="inlineStr">
        <is>
          <t>Fail</t>
        </is>
      </c>
      <c r="BE264" s="29" t="inlineStr">
        <is>
          <t>Blocked</t>
        </is>
      </c>
      <c r="BF264" s="29" t="inlineStr">
        <is>
          <t>The feature is physically implemented, but the mobile Firestore economy and hosted PostgreSQL economy are conflicting authorities. Current executed transaction, store-verification, entitlement and reconciliation evidence is absent.</t>
        </is>
      </c>
      <c r="BG264" s="29" t="inlineStr">
        <is>
          <t>Wire the mobile UI exclusively to the selected server authority; remove client balance mutation; run provider-sandbox purchase, gift, idempotency, ledger, refund, reconciliation and recovery tests on the exact release candidate.</t>
        </is>
      </c>
      <c r="BH264" s="29" t="inlineStr"/>
      <c r="BI264" s="29" t="inlineStr"/>
      <c r="BJ264" s="29" t="inlineStr"/>
      <c r="BK264" s="29" t="inlineStr">
        <is>
          <t>Evidence reconciled against the reviewed source revision. No production approval is inferred from implementation or file presence.</t>
        </is>
      </c>
      <c r="BL264" s="29" t="inlineStr">
        <is>
          <t>2026-08-02</t>
        </is>
      </c>
    </row>
    <row r="265" ht="42" customHeight="1">
      <c r="A265" s="29" t="inlineStr">
        <is>
          <t>BLYP-14-008</t>
        </is>
      </c>
      <c r="B265" s="29" t="inlineStr"/>
      <c r="C265" s="29" t="inlineStr">
        <is>
          <t>Wallet, gifts, and earnings</t>
        </is>
      </c>
      <c r="D265" s="29" t="n">
        <v>14</v>
      </c>
      <c r="E265" s="29" t="n">
        <v>8</v>
      </c>
      <c r="F265" s="29" t="inlineStr">
        <is>
          <t>Feature</t>
        </is>
      </c>
      <c r="G265" s="29" t="inlineStr">
        <is>
          <t>Apple purchase verification</t>
        </is>
      </c>
      <c r="H265" s="29" t="inlineStr">
        <is>
          <t>Apple purchase verification</t>
        </is>
      </c>
      <c r="I265" s="29" t="inlineStr">
        <is>
          <t>/home/ubuntu/blyp_product_requirements.md :: Section 14 — Wallet, gifts, and earnings</t>
        </is>
      </c>
      <c r="J265" s="29" t="inlineStr">
        <is>
          <t>/home/ubuntu/BLYP_COMPLETE_FEATURE_LIST.md:344</t>
        </is>
      </c>
      <c r="K265" s="29" t="inlineStr">
        <is>
          <t>Required</t>
        </is>
      </c>
      <c r="L265" s="29" t="inlineStr">
        <is>
          <t>Authenticated creator or host</t>
        </is>
      </c>
      <c r="M265" s="29" t="inlineStr">
        <is>
          <t>BLYP mobile application and supporting production services</t>
        </is>
      </c>
      <c r="N265" s="29" t="inlineStr">
        <is>
          <t>Apple purchase verification</t>
        </is>
      </c>
      <c r="O265" s="29" t="inlineStr">
        <is>
          <t>Not explicitly defined in the product source; requires accountable product approval before production sign-off.</t>
        </is>
      </c>
      <c r="P265" s="29" t="inlineStr"/>
      <c r="Q265" s="29" t="inlineStr">
        <is>
          <t>No evidence</t>
        </is>
      </c>
      <c r="R265" s="29" t="inlineStr"/>
      <c r="S265" s="29" t="inlineStr">
        <is>
          <t>Conflicting implementations</t>
        </is>
      </c>
      <c r="T265" s="29" t="inlineStr">
        <is>
          <t>Currency Store route -&gt; src/screens/CoinStoreScreen.js</t>
        </is>
      </c>
      <c r="U265" s="29" t="inlineStr">
        <is>
          <t>src/screens/CoinStoreScreen.js</t>
        </is>
      </c>
      <c r="V265" s="29" t="inlineStr">
        <is>
          <t>BlypCoinService.addCoins; hard-coded packages; simulated purchase confirmation</t>
        </is>
      </c>
      <c r="W265" s="29" t="inlineStr">
        <is>
          <t>POST /iap/verify and economyService.verifyIapPurchaseAndGrant exist separately from the current screen</t>
        </is>
      </c>
      <c r="X265" s="29" t="inlineStr">
        <is>
          <t>Current mobile: Firestore wallets and transactions; hosted backend: PostgreSQL wallet, ledger and purchase records</t>
        </is>
      </c>
      <c r="Y265" s="29" t="inlineStr">
        <is>
          <t>Firestore transaction; hosted Redis replay protection</t>
        </is>
      </c>
      <c r="Z265" s="29" t="inlineStr">
        <is>
          <t>Firebase Firestore in the current mobile path; PostgreSQL, Redis, Cognito and Google Play verification in the separate hosted backend</t>
        </is>
      </c>
      <c r="AA265" s="29" t="inlineStr">
        <is>
          <t>Firebase mode and Firestore rules; hosted economy environment and app-version policy</t>
        </is>
      </c>
      <c r="AB265" s="29" t="inlineStr">
        <is>
          <t>Expo mobile client, Firebase managed services and separate blyp-live-service backend</t>
        </is>
      </c>
      <c r="AC265" s="30" t="inlineStr">
        <is>
          <t>RP-018;RP-009</t>
        </is>
      </c>
      <c r="AD265" s="29" t="inlineStr">
        <is>
          <t>The current store screen displays packages and directly grants Firestore balance after a simulated confirmation. A separate hosted Google Play verification path exists but is not wired from the reviewed screen.</t>
        </is>
      </c>
      <c r="AE265" s="29" t="inlineStr">
        <is>
          <t>User reachable</t>
        </is>
      </c>
      <c r="AF265" s="29" t="inlineStr">
        <is>
          <t>The Currency Store screen and package controls are rendered for members.</t>
        </is>
      </c>
      <c r="AG265" s="29" t="inlineStr">
        <is>
          <t>Incomplete</t>
        </is>
      </c>
      <c r="AH265" s="29" t="inlineStr">
        <is>
          <t>No</t>
        </is>
      </c>
      <c r="AI265" s="29" t="inlineStr">
        <is>
          <t>The current purchase action is simulated; app-store transaction, receipt verification, replay, refund and entitlement behaviour are not demonstrated end to end.</t>
        </is>
      </c>
      <c r="AJ265" s="29" t="inlineStr">
        <is>
          <t>Conflicting evidence</t>
        </is>
      </c>
      <c r="AK265" s="29" t="inlineStr">
        <is>
          <t>EV-TGT-ECON-003;EV-TGT-ECON-004;EV-TGT-ECON-006;EV-RUN-0011</t>
        </is>
      </c>
      <c r="AL265" s="29" t="inlineStr"/>
      <c r="AM265" s="29" t="inlineStr"/>
      <c r="AN265" s="29" t="inlineStr"/>
      <c r="AO265" s="29" t="inlineStr">
        <is>
          <t>8bc0dcb2a1da1b21368c5536aaeef829d587f316</t>
        </is>
      </c>
      <c r="AP265" s="29" t="inlineStr">
        <is>
          <t>High</t>
        </is>
      </c>
      <c r="AQ265" s="29" t="inlineStr">
        <is>
          <t>Not assessed</t>
        </is>
      </c>
      <c r="AR265" s="29" t="inlineStr">
        <is>
          <t>Fail</t>
        </is>
      </c>
      <c r="AS265" s="29" t="inlineStr">
        <is>
          <t>Not assessed</t>
        </is>
      </c>
      <c r="AT265" s="29" t="inlineStr">
        <is>
          <t>Not assessed</t>
        </is>
      </c>
      <c r="AU265" s="29" t="inlineStr">
        <is>
          <t>Not assessed</t>
        </is>
      </c>
      <c r="AV265" s="29" t="inlineStr">
        <is>
          <t>Not assessed</t>
        </is>
      </c>
      <c r="AW265" s="29" t="inlineStr">
        <is>
          <t>Not assessed</t>
        </is>
      </c>
      <c r="AX265" s="29" t="inlineStr">
        <is>
          <t>Fail</t>
        </is>
      </c>
      <c r="AY265" s="29" t="inlineStr">
        <is>
          <t>Not assessed</t>
        </is>
      </c>
      <c r="AZ265" s="29" t="inlineStr">
        <is>
          <t>Not assessed</t>
        </is>
      </c>
      <c r="BA265" s="29" t="inlineStr">
        <is>
          <t>Not assessed</t>
        </is>
      </c>
      <c r="BB265" s="29" t="inlineStr">
        <is>
          <t>Not assessed</t>
        </is>
      </c>
      <c r="BC265" s="29" t="inlineStr">
        <is>
          <t>Not assessed</t>
        </is>
      </c>
      <c r="BD265" s="29" t="inlineStr">
        <is>
          <t>Fail</t>
        </is>
      </c>
      <c r="BE265" s="29" t="inlineStr">
        <is>
          <t>Blocked</t>
        </is>
      </c>
      <c r="BF265" s="29" t="inlineStr">
        <is>
          <t>The feature is physically implemented, but the mobile Firestore economy and hosted PostgreSQL economy are conflicting authorities. Current executed transaction, store-verification, entitlement and reconciliation evidence is absent.</t>
        </is>
      </c>
      <c r="BG265" s="29" t="inlineStr">
        <is>
          <t>Wire the mobile UI exclusively to the selected server authority; remove client balance mutation; run provider-sandbox purchase, gift, idempotency, ledger, refund, reconciliation and recovery tests on the exact release candidate.</t>
        </is>
      </c>
      <c r="BH265" s="29" t="inlineStr"/>
      <c r="BI265" s="29" t="inlineStr"/>
      <c r="BJ265" s="29" t="inlineStr"/>
      <c r="BK265" s="29" t="inlineStr">
        <is>
          <t>Evidence reconciled against the reviewed source revision. No production approval is inferred from implementation or file presence.</t>
        </is>
      </c>
      <c r="BL265" s="29" t="inlineStr">
        <is>
          <t>2026-08-02</t>
        </is>
      </c>
    </row>
    <row r="266" ht="42" customHeight="1">
      <c r="A266" s="29" t="inlineStr">
        <is>
          <t>BLYP-14-009</t>
        </is>
      </c>
      <c r="B266" s="29" t="inlineStr"/>
      <c r="C266" s="29" t="inlineStr">
        <is>
          <t>Wallet, gifts, and earnings</t>
        </is>
      </c>
      <c r="D266" s="29" t="n">
        <v>14</v>
      </c>
      <c r="E266" s="29" t="n">
        <v>9</v>
      </c>
      <c r="F266" s="29" t="inlineStr">
        <is>
          <t>Feature</t>
        </is>
      </c>
      <c r="G266" s="29" t="inlineStr">
        <is>
          <t>Monthly membership coin allowance</t>
        </is>
      </c>
      <c r="H266" s="29" t="inlineStr">
        <is>
          <t>Monthly membership coin allowance</t>
        </is>
      </c>
      <c r="I266" s="29" t="inlineStr">
        <is>
          <t>/home/ubuntu/blyp_product_requirements.md :: Section 14 — Wallet, gifts, and earnings</t>
        </is>
      </c>
      <c r="J266" s="29" t="inlineStr">
        <is>
          <t>/home/ubuntu/BLYP_COMPLETE_FEATURE_LIST.md:345</t>
        </is>
      </c>
      <c r="K266" s="29" t="inlineStr">
        <is>
          <t>Required</t>
        </is>
      </c>
      <c r="L266" s="29" t="inlineStr">
        <is>
          <t>Authenticated creator or host</t>
        </is>
      </c>
      <c r="M266" s="29" t="inlineStr">
        <is>
          <t>BLYP mobile application and supporting production services</t>
        </is>
      </c>
      <c r="N266" s="29" t="inlineStr">
        <is>
          <t>Monthly membership coin allowance</t>
        </is>
      </c>
      <c r="O266" s="29" t="inlineStr">
        <is>
          <t>Not explicitly defined in the product source; requires accountable product approval before production sign-off.</t>
        </is>
      </c>
      <c r="P266" s="29" t="inlineStr"/>
      <c r="Q266" s="29" t="inlineStr">
        <is>
          <t>No evidence</t>
        </is>
      </c>
      <c r="R266" s="29" t="inlineStr"/>
      <c r="S266" s="29" t="inlineStr">
        <is>
          <t>Conflicting implementations</t>
        </is>
      </c>
      <c r="T266" s="29" t="inlineStr">
        <is>
          <t>Currency Store route -&gt; src/screens/CoinStoreScreen.js</t>
        </is>
      </c>
      <c r="U266" s="29" t="inlineStr">
        <is>
          <t>src/screens/CoinStoreScreen.js</t>
        </is>
      </c>
      <c r="V266" s="29" t="inlineStr">
        <is>
          <t>BlypCoinService.addCoins; hard-coded packages; simulated purchase confirmation</t>
        </is>
      </c>
      <c r="W266" s="29" t="inlineStr">
        <is>
          <t>POST /iap/verify and economyService.verifyIapPurchaseAndGrant exist separately from the current screen</t>
        </is>
      </c>
      <c r="X266" s="29" t="inlineStr">
        <is>
          <t>Current mobile: Firestore wallets and transactions; hosted backend: PostgreSQL wallet, ledger and purchase records</t>
        </is>
      </c>
      <c r="Y266" s="29" t="inlineStr">
        <is>
          <t>Firestore transaction; hosted Redis replay protection</t>
        </is>
      </c>
      <c r="Z266" s="29" t="inlineStr">
        <is>
          <t>Firebase Firestore in the current mobile path; PostgreSQL, Redis, Cognito and Google Play verification in the separate hosted backend</t>
        </is>
      </c>
      <c r="AA266" s="29" t="inlineStr">
        <is>
          <t>Firebase mode and Firestore rules; hosted economy environment and app-version policy</t>
        </is>
      </c>
      <c r="AB266" s="29" t="inlineStr">
        <is>
          <t>Expo mobile client, Firebase managed services and separate blyp-live-service backend</t>
        </is>
      </c>
      <c r="AC266" s="30" t="inlineStr">
        <is>
          <t>RP-018;RP-009</t>
        </is>
      </c>
      <c r="AD266" s="29" t="inlineStr">
        <is>
          <t>The current store screen displays packages and directly grants Firestore balance after a simulated confirmation. A separate hosted Google Play verification path exists but is not wired from the reviewed screen.</t>
        </is>
      </c>
      <c r="AE266" s="29" t="inlineStr">
        <is>
          <t>User reachable</t>
        </is>
      </c>
      <c r="AF266" s="29" t="inlineStr">
        <is>
          <t>The Currency Store screen and package controls are rendered for members.</t>
        </is>
      </c>
      <c r="AG266" s="29" t="inlineStr">
        <is>
          <t>Incomplete</t>
        </is>
      </c>
      <c r="AH266" s="29" t="inlineStr">
        <is>
          <t>No</t>
        </is>
      </c>
      <c r="AI266" s="29" t="inlineStr">
        <is>
          <t>The current purchase action is simulated; app-store transaction, receipt verification, replay, refund and entitlement behaviour are not demonstrated end to end.</t>
        </is>
      </c>
      <c r="AJ266" s="29" t="inlineStr">
        <is>
          <t>Conflicting evidence</t>
        </is>
      </c>
      <c r="AK266" s="29" t="inlineStr">
        <is>
          <t>EV-TGT-ECON-003;EV-TGT-ECON-004;EV-TGT-ECON-006;EV-RUN-0011</t>
        </is>
      </c>
      <c r="AL266" s="29" t="inlineStr"/>
      <c r="AM266" s="29" t="inlineStr"/>
      <c r="AN266" s="29" t="inlineStr"/>
      <c r="AO266" s="29" t="inlineStr">
        <is>
          <t>8bc0dcb2a1da1b21368c5536aaeef829d587f316</t>
        </is>
      </c>
      <c r="AP266" s="29" t="inlineStr">
        <is>
          <t>High</t>
        </is>
      </c>
      <c r="AQ266" s="29" t="inlineStr">
        <is>
          <t>Not assessed</t>
        </is>
      </c>
      <c r="AR266" s="29" t="inlineStr">
        <is>
          <t>Fail</t>
        </is>
      </c>
      <c r="AS266" s="29" t="inlineStr">
        <is>
          <t>Not assessed</t>
        </is>
      </c>
      <c r="AT266" s="29" t="inlineStr">
        <is>
          <t>Not assessed</t>
        </is>
      </c>
      <c r="AU266" s="29" t="inlineStr">
        <is>
          <t>Not assessed</t>
        </is>
      </c>
      <c r="AV266" s="29" t="inlineStr">
        <is>
          <t>Not assessed</t>
        </is>
      </c>
      <c r="AW266" s="29" t="inlineStr">
        <is>
          <t>Not assessed</t>
        </is>
      </c>
      <c r="AX266" s="29" t="inlineStr">
        <is>
          <t>Fail</t>
        </is>
      </c>
      <c r="AY266" s="29" t="inlineStr">
        <is>
          <t>Not assessed</t>
        </is>
      </c>
      <c r="AZ266" s="29" t="inlineStr">
        <is>
          <t>Not assessed</t>
        </is>
      </c>
      <c r="BA266" s="29" t="inlineStr">
        <is>
          <t>Not assessed</t>
        </is>
      </c>
      <c r="BB266" s="29" t="inlineStr">
        <is>
          <t>Not assessed</t>
        </is>
      </c>
      <c r="BC266" s="29" t="inlineStr">
        <is>
          <t>Not assessed</t>
        </is>
      </c>
      <c r="BD266" s="29" t="inlineStr">
        <is>
          <t>Fail</t>
        </is>
      </c>
      <c r="BE266" s="29" t="inlineStr">
        <is>
          <t>Blocked</t>
        </is>
      </c>
      <c r="BF266" s="29" t="inlineStr">
        <is>
          <t>The feature is physically implemented, but the mobile Firestore economy and hosted PostgreSQL economy are conflicting authorities. Current executed transaction, store-verification, entitlement and reconciliation evidence is absent.</t>
        </is>
      </c>
      <c r="BG266" s="29" t="inlineStr">
        <is>
          <t>Wire the mobile UI exclusively to the selected server authority; remove client balance mutation; run provider-sandbox purchase, gift, idempotency, ledger, refund, reconciliation and recovery tests on the exact release candidate.</t>
        </is>
      </c>
      <c r="BH266" s="29" t="inlineStr"/>
      <c r="BI266" s="29" t="inlineStr"/>
      <c r="BJ266" s="29" t="inlineStr"/>
      <c r="BK266" s="29" t="inlineStr">
        <is>
          <t>Evidence reconciled against the reviewed source revision. No production approval is inferred from implementation or file presence.</t>
        </is>
      </c>
      <c r="BL266" s="29" t="inlineStr">
        <is>
          <t>2026-08-02</t>
        </is>
      </c>
    </row>
    <row r="267" ht="42" customHeight="1">
      <c r="A267" s="29" t="inlineStr">
        <is>
          <t>BLYP-14-010</t>
        </is>
      </c>
      <c r="B267" s="29" t="inlineStr"/>
      <c r="C267" s="29" t="inlineStr">
        <is>
          <t>Wallet, gifts, and earnings</t>
        </is>
      </c>
      <c r="D267" s="29" t="n">
        <v>14</v>
      </c>
      <c r="E267" s="29" t="n">
        <v>10</v>
      </c>
      <c r="F267" s="29" t="inlineStr">
        <is>
          <t>Feature</t>
        </is>
      </c>
      <c r="G267" s="29" t="inlineStr">
        <is>
          <t>Purchased-coin separation</t>
        </is>
      </c>
      <c r="H267" s="29" t="inlineStr">
        <is>
          <t>Purchased-coin separation</t>
        </is>
      </c>
      <c r="I267" s="29" t="inlineStr">
        <is>
          <t>/home/ubuntu/blyp_product_requirements.md :: Section 14 — Wallet, gifts, and earnings</t>
        </is>
      </c>
      <c r="J267" s="29" t="inlineStr">
        <is>
          <t>/home/ubuntu/BLYP_COMPLETE_FEATURE_LIST.md:346</t>
        </is>
      </c>
      <c r="K267" s="29" t="inlineStr">
        <is>
          <t>Required</t>
        </is>
      </c>
      <c r="L267" s="29" t="inlineStr">
        <is>
          <t>Authenticated creator or host</t>
        </is>
      </c>
      <c r="M267" s="29" t="inlineStr">
        <is>
          <t>BLYP mobile application and supporting production services</t>
        </is>
      </c>
      <c r="N267" s="29" t="inlineStr">
        <is>
          <t>Purchased-coin separation</t>
        </is>
      </c>
      <c r="O267" s="29" t="inlineStr">
        <is>
          <t>Not explicitly defined in the product source; requires accountable product approval before production sign-off.</t>
        </is>
      </c>
      <c r="P267" s="29" t="inlineStr"/>
      <c r="Q267" s="29" t="inlineStr">
        <is>
          <t>Partial</t>
        </is>
      </c>
      <c r="R267" s="29" t="inlineStr"/>
      <c r="S267" s="29" t="inlineStr">
        <is>
          <t>Unknown</t>
        </is>
      </c>
      <c r="T267" s="29" t="inlineStr"/>
      <c r="U267" s="29" t="inlineStr"/>
      <c r="V267" s="29" t="inlineStr"/>
      <c r="W267" s="29" t="inlineStr"/>
      <c r="X267" s="29" t="inlineStr"/>
      <c r="Y267" s="29" t="inlineStr"/>
      <c r="Z267" s="29" t="inlineStr"/>
      <c r="AA267" s="29" t="inlineStr"/>
      <c r="AB267" s="29" t="inlineStr"/>
      <c r="AC267" s="29" t="inlineStr"/>
      <c r="AD267" s="29" t="inlineStr"/>
      <c r="AE267" s="29" t="inlineStr">
        <is>
          <t>Unknown</t>
        </is>
      </c>
      <c r="AF267" s="29" t="inlineStr"/>
      <c r="AG267" s="29" t="inlineStr">
        <is>
          <t>Unknown</t>
        </is>
      </c>
      <c r="AH267" s="29" t="inlineStr">
        <is>
          <t>Unknown</t>
        </is>
      </c>
      <c r="AI267" s="29" t="inlineStr"/>
      <c r="AJ267" s="29" t="inlineStr">
        <is>
          <t>Not verified</t>
        </is>
      </c>
      <c r="AK267" s="29" t="inlineStr"/>
      <c r="AL267" s="29" t="inlineStr"/>
      <c r="AM267" s="29" t="inlineStr"/>
      <c r="AN267" s="29" t="inlineStr"/>
      <c r="AO267" s="29" t="inlineStr">
        <is>
          <t>8bc0dcb2a1da1b21368c5536aaeef829d587f316</t>
        </is>
      </c>
      <c r="AP267" s="29" t="inlineStr">
        <is>
          <t>Unrated</t>
        </is>
      </c>
      <c r="AQ267" s="29" t="inlineStr">
        <is>
          <t>Not assessed</t>
        </is>
      </c>
      <c r="AR267" s="29" t="inlineStr">
        <is>
          <t>Not assessed</t>
        </is>
      </c>
      <c r="AS267" s="29" t="inlineStr">
        <is>
          <t>Not assessed</t>
        </is>
      </c>
      <c r="AT267" s="29" t="inlineStr">
        <is>
          <t>Not assessed</t>
        </is>
      </c>
      <c r="AU267" s="29" t="inlineStr">
        <is>
          <t>Not assessed</t>
        </is>
      </c>
      <c r="AV267" s="29" t="inlineStr">
        <is>
          <t>Not assessed</t>
        </is>
      </c>
      <c r="AW267" s="29" t="inlineStr">
        <is>
          <t>Not assessed</t>
        </is>
      </c>
      <c r="AX267" s="29" t="inlineStr">
        <is>
          <t>Not assessed</t>
        </is>
      </c>
      <c r="AY267" s="29" t="inlineStr">
        <is>
          <t>Not assessed</t>
        </is>
      </c>
      <c r="AZ267" s="29" t="inlineStr">
        <is>
          <t>Not assessed</t>
        </is>
      </c>
      <c r="BA267" s="29" t="inlineStr">
        <is>
          <t>Not assessed</t>
        </is>
      </c>
      <c r="BB267" s="29" t="inlineStr">
        <is>
          <t>Not assessed</t>
        </is>
      </c>
      <c r="BC267" s="29" t="inlineStr">
        <is>
          <t>Not assessed</t>
        </is>
      </c>
      <c r="BD267" s="29" t="inlineStr">
        <is>
          <t>Not assessed</t>
        </is>
      </c>
      <c r="BE267" s="29" t="inlineStr">
        <is>
          <t>Not assessed</t>
        </is>
      </c>
      <c r="BF267" s="29" t="inlineStr">
        <is>
          <t>Insufficient evidence to issue a production-readiness conclusion.</t>
        </is>
      </c>
      <c r="BG267" s="29" t="inlineStr"/>
      <c r="BH267" s="29" t="inlineStr"/>
      <c r="BI267" s="29" t="inlineStr"/>
      <c r="BJ267" s="29" t="inlineStr"/>
      <c r="BK267" s="29" t="inlineStr">
        <is>
          <t>Evidence reconciled against the reviewed source revision. No production approval is inferred from implementation or file presence.</t>
        </is>
      </c>
      <c r="BL267" s="29" t="inlineStr">
        <is>
          <t>2026-08-02</t>
        </is>
      </c>
    </row>
    <row r="268" ht="42" customHeight="1">
      <c r="A268" s="29" t="inlineStr">
        <is>
          <t>BLYP-14-011</t>
        </is>
      </c>
      <c r="B268" s="29" t="inlineStr"/>
      <c r="C268" s="29" t="inlineStr">
        <is>
          <t>Wallet, gifts, and earnings</t>
        </is>
      </c>
      <c r="D268" s="29" t="n">
        <v>14</v>
      </c>
      <c r="E268" s="29" t="n">
        <v>11</v>
      </c>
      <c r="F268" s="29" t="inlineStr">
        <is>
          <t>Feature</t>
        </is>
      </c>
      <c r="G268" s="29" t="inlineStr">
        <is>
          <t>Gift catalogue and gift-sending interface</t>
        </is>
      </c>
      <c r="H268" s="29" t="inlineStr">
        <is>
          <t>Gift catalogue and gift-sending interface</t>
        </is>
      </c>
      <c r="I268" s="29" t="inlineStr">
        <is>
          <t>/home/ubuntu/blyp_product_requirements.md :: Section 14 — Wallet, gifts, and earnings</t>
        </is>
      </c>
      <c r="J268" s="29" t="inlineStr">
        <is>
          <t>/home/ubuntu/BLYP_COMPLETE_FEATURE_LIST.md:347</t>
        </is>
      </c>
      <c r="K268" s="29" t="inlineStr">
        <is>
          <t>Required</t>
        </is>
      </c>
      <c r="L268" s="29" t="inlineStr">
        <is>
          <t>Authenticated creator or host</t>
        </is>
      </c>
      <c r="M268" s="29" t="inlineStr">
        <is>
          <t>BLYP mobile application and supporting production services</t>
        </is>
      </c>
      <c r="N268" s="29" t="inlineStr">
        <is>
          <t>Gift catalogue and gift-sending interface</t>
        </is>
      </c>
      <c r="O268" s="29" t="inlineStr">
        <is>
          <t>Not explicitly defined in the product source; requires accountable product approval before production sign-off.</t>
        </is>
      </c>
      <c r="P268" s="29" t="inlineStr"/>
      <c r="Q268" s="29" t="inlineStr">
        <is>
          <t>Yes</t>
        </is>
      </c>
      <c r="R268" s="29" t="inlineStr"/>
      <c r="S268" s="29" t="inlineStr">
        <is>
          <t>Conflicting implementations</t>
        </is>
      </c>
      <c r="T268" s="29" t="inlineStr">
        <is>
          <t>Feed gift action -&gt; src/components/GiftSystem.js -&gt; BlypCoinService.sendGift</t>
        </is>
      </c>
      <c r="U268" s="29" t="inlineStr">
        <is>
          <t>src/components/GiftSystem.js; src/screens/HomeScreen.js</t>
        </is>
      </c>
      <c r="V268" s="29" t="inlineStr">
        <is>
          <t>src/services/BlypCoinService.js</t>
        </is>
      </c>
      <c r="W268" s="29" t="inlineStr">
        <is>
          <t>POST /gift/send and economyService.sendGift exist separately from the current mobile Firestore call</t>
        </is>
      </c>
      <c r="X268" s="29" t="inlineStr">
        <is>
          <t>Current mobile: Firestore wallets, gifts and transactions; hosted backend: PostgreSQL wallets, gift_events, ledger and stream_earnings</t>
        </is>
      </c>
      <c r="Y268" s="29" t="inlineStr">
        <is>
          <t>Firestore transaction and balance snapshot; hosted Redis idempotency/throttle and post-commit realtime event</t>
        </is>
      </c>
      <c r="Z268" s="29" t="inlineStr">
        <is>
          <t>Firebase Firestore in the current mobile path; PostgreSQL, Redis, Cognito and Google Play verification in the separate hosted backend</t>
        </is>
      </c>
      <c r="AA268" s="29" t="inlineStr">
        <is>
          <t>Firebase mode and Firestore rules; hosted economy environment and app-version policy</t>
        </is>
      </c>
      <c r="AB268" s="29" t="inlineStr">
        <is>
          <t>Expo mobile client, Firebase managed services and separate blyp-live-service backend</t>
        </is>
      </c>
      <c r="AC268" s="30" t="inlineStr">
        <is>
          <t>RP-017;RP-008</t>
        </is>
      </c>
      <c r="AD268"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68" s="29" t="inlineStr">
        <is>
          <t>User reachable</t>
        </is>
      </c>
      <c r="AF268" s="29" t="inlineStr">
        <is>
          <t>GiftSystem is mounted on feed items and presents a balance, catalogue, confirmation and send action.</t>
        </is>
      </c>
      <c r="AG268" s="29" t="inlineStr">
        <is>
          <t>Incomplete</t>
        </is>
      </c>
      <c r="AH268" s="29" t="inlineStr">
        <is>
          <t>No</t>
        </is>
      </c>
      <c r="AI268" s="29" t="inlineStr">
        <is>
          <t>No current executed gift and balance-reconciliation proof; current UI bypasses the hosted authority; live-specific overlay and communal-total behaviour require separate observation.</t>
        </is>
      </c>
      <c r="AJ268" s="29" t="inlineStr">
        <is>
          <t>Source traced</t>
        </is>
      </c>
      <c r="AK268" s="29" t="inlineStr">
        <is>
          <t>EV-RUN-0009;EV-RUN-0010;EV-TGT-ECON-001;EV-TGT-ECON-002;EV-TGT-ECON-005;EV-TGT-ECON-006</t>
        </is>
      </c>
      <c r="AL268" s="29" t="inlineStr"/>
      <c r="AM268" s="29" t="inlineStr"/>
      <c r="AN268" s="29" t="inlineStr">
        <is>
          <t>2026-03-15</t>
        </is>
      </c>
      <c r="AO268" s="29" t="inlineStr">
        <is>
          <t>Historical artefacts dated 2026-02-23 | Historical source cutover packet dated 2026-03-15</t>
        </is>
      </c>
      <c r="AP268" s="29" t="inlineStr">
        <is>
          <t>High</t>
        </is>
      </c>
      <c r="AQ268" s="29" t="inlineStr">
        <is>
          <t>Not assessed</t>
        </is>
      </c>
      <c r="AR268" s="29" t="inlineStr">
        <is>
          <t>Fail</t>
        </is>
      </c>
      <c r="AS268" s="29" t="inlineStr">
        <is>
          <t>Not assessed</t>
        </is>
      </c>
      <c r="AT268" s="29" t="inlineStr">
        <is>
          <t>Not assessed</t>
        </is>
      </c>
      <c r="AU268" s="29" t="inlineStr">
        <is>
          <t>Not assessed</t>
        </is>
      </c>
      <c r="AV268" s="29" t="inlineStr">
        <is>
          <t>Not assessed</t>
        </is>
      </c>
      <c r="AW268" s="29" t="inlineStr">
        <is>
          <t>Not assessed</t>
        </is>
      </c>
      <c r="AX268" s="29" t="inlineStr">
        <is>
          <t>Fail</t>
        </is>
      </c>
      <c r="AY268" s="29" t="inlineStr">
        <is>
          <t>Not assessed</t>
        </is>
      </c>
      <c r="AZ268" s="29" t="inlineStr">
        <is>
          <t>Not assessed</t>
        </is>
      </c>
      <c r="BA268" s="29" t="inlineStr">
        <is>
          <t>Not assessed</t>
        </is>
      </c>
      <c r="BB268" s="29" t="inlineStr">
        <is>
          <t>Not assessed</t>
        </is>
      </c>
      <c r="BC268" s="29" t="inlineStr">
        <is>
          <t>Not assessed</t>
        </is>
      </c>
      <c r="BD268" s="29" t="inlineStr">
        <is>
          <t>Fail</t>
        </is>
      </c>
      <c r="BE268" s="29" t="inlineStr">
        <is>
          <t>Blocked</t>
        </is>
      </c>
      <c r="BF268" s="29" t="inlineStr">
        <is>
          <t>The feature is physically implemented, but the mobile Firestore economy and hosted PostgreSQL economy are conflicting authorities. Current executed transaction, store-verification, entitlement and reconciliation evidence is absent.</t>
        </is>
      </c>
      <c r="BG268" s="29" t="inlineStr">
        <is>
          <t>Wire the mobile UI exclusively to the selected server authority; remove client balance mutation; run provider-sandbox purchase, gift, idempotency, ledger, refund, reconciliation and recovery tests on the exact release candidate.</t>
        </is>
      </c>
      <c r="BH268" s="29" t="inlineStr"/>
      <c r="BI268" s="29" t="inlineStr"/>
      <c r="BJ268" s="29" t="inlineStr"/>
      <c r="BK268" s="29" t="inlineStr">
        <is>
          <t>Evidence reconciled against the reviewed source revision. No production approval is inferred from implementation or file presence.</t>
        </is>
      </c>
      <c r="BL268" s="29" t="inlineStr">
        <is>
          <t>2026-08-02</t>
        </is>
      </c>
    </row>
    <row r="269" ht="42" customHeight="1">
      <c r="A269" s="29" t="inlineStr">
        <is>
          <t>BLYP-14-012</t>
        </is>
      </c>
      <c r="B269" s="29" t="inlineStr"/>
      <c r="C269" s="29" t="inlineStr">
        <is>
          <t>Wallet, gifts, and earnings</t>
        </is>
      </c>
      <c r="D269" s="29" t="n">
        <v>14</v>
      </c>
      <c r="E269" s="29" t="n">
        <v>12</v>
      </c>
      <c r="F269" s="29" t="inlineStr">
        <is>
          <t>Feature</t>
        </is>
      </c>
      <c r="G269" s="29" t="inlineStr">
        <is>
          <t>Send gifts during a live stream</t>
        </is>
      </c>
      <c r="H269" s="29" t="inlineStr">
        <is>
          <t>Send gifts during a live stream</t>
        </is>
      </c>
      <c r="I269" s="29" t="inlineStr">
        <is>
          <t>/home/ubuntu/blyp_product_requirements.md :: Section 14 — Wallet, gifts, and earnings</t>
        </is>
      </c>
      <c r="J269" s="29" t="inlineStr">
        <is>
          <t>/home/ubuntu/BLYP_COMPLETE_FEATURE_LIST.md:348</t>
        </is>
      </c>
      <c r="K269" s="29" t="inlineStr">
        <is>
          <t>Required</t>
        </is>
      </c>
      <c r="L269" s="29" t="inlineStr">
        <is>
          <t>Authenticated creator or host</t>
        </is>
      </c>
      <c r="M269" s="29" t="inlineStr">
        <is>
          <t>BLYP mobile application and supporting production services</t>
        </is>
      </c>
      <c r="N269" s="29" t="inlineStr">
        <is>
          <t>Send gifts during a live stream</t>
        </is>
      </c>
      <c r="O269" s="29" t="inlineStr">
        <is>
          <t>Not explicitly defined in the product source; requires accountable product approval before production sign-off.</t>
        </is>
      </c>
      <c r="P269" s="29" t="inlineStr"/>
      <c r="Q269" s="29" t="inlineStr">
        <is>
          <t>Yes</t>
        </is>
      </c>
      <c r="R269" s="29" t="inlineStr"/>
      <c r="S269" s="29" t="inlineStr">
        <is>
          <t>Conflicting implementations</t>
        </is>
      </c>
      <c r="T269" s="29" t="inlineStr">
        <is>
          <t>Feed gift action -&gt; src/components/GiftSystem.js -&gt; BlypCoinService.sendGift</t>
        </is>
      </c>
      <c r="U269" s="29" t="inlineStr">
        <is>
          <t>src/components/GiftSystem.js; src/screens/HomeScreen.js</t>
        </is>
      </c>
      <c r="V269" s="29" t="inlineStr">
        <is>
          <t>src/services/BlypCoinService.js</t>
        </is>
      </c>
      <c r="W269" s="29" t="inlineStr">
        <is>
          <t>POST /gift/send and economyService.sendGift exist separately from the current mobile Firestore call</t>
        </is>
      </c>
      <c r="X269" s="29" t="inlineStr">
        <is>
          <t>Current mobile: Firestore wallets, gifts and transactions; hosted backend: PostgreSQL wallets, gift_events, ledger and stream_earnings</t>
        </is>
      </c>
      <c r="Y269" s="29" t="inlineStr">
        <is>
          <t>Firestore transaction and balance snapshot; hosted Redis idempotency/throttle and post-commit realtime event</t>
        </is>
      </c>
      <c r="Z269" s="29" t="inlineStr">
        <is>
          <t>Firebase Firestore in the current mobile path; PostgreSQL, Redis, Cognito and Google Play verification in the separate hosted backend</t>
        </is>
      </c>
      <c r="AA269" s="29" t="inlineStr">
        <is>
          <t>Firebase mode and Firestore rules; hosted economy environment and app-version policy</t>
        </is>
      </c>
      <c r="AB269" s="29" t="inlineStr">
        <is>
          <t>Expo mobile client, Firebase managed services and separate blyp-live-service backend</t>
        </is>
      </c>
      <c r="AC269" s="30" t="inlineStr">
        <is>
          <t>RP-017;RP-008</t>
        </is>
      </c>
      <c r="AD269"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69" s="29" t="inlineStr">
        <is>
          <t>User reachable</t>
        </is>
      </c>
      <c r="AF269" s="29" t="inlineStr">
        <is>
          <t>GiftSystem is mounted on feed items and presents a balance, catalogue, confirmation and send action.</t>
        </is>
      </c>
      <c r="AG269" s="29" t="inlineStr">
        <is>
          <t>Incomplete</t>
        </is>
      </c>
      <c r="AH269" s="29" t="inlineStr">
        <is>
          <t>No</t>
        </is>
      </c>
      <c r="AI269" s="29" t="inlineStr">
        <is>
          <t>No current executed gift and balance-reconciliation proof; current UI bypasses the hosted authority; live-specific overlay and communal-total behaviour require separate observation.</t>
        </is>
      </c>
      <c r="AJ269" s="29" t="inlineStr">
        <is>
          <t>Source traced</t>
        </is>
      </c>
      <c r="AK269" s="29" t="inlineStr">
        <is>
          <t>EV-RUN-0009;EV-RUN-0010;EV-TGT-ECON-001;EV-TGT-ECON-002;EV-TGT-ECON-005;EV-TGT-ECON-006</t>
        </is>
      </c>
      <c r="AL269" s="29" t="inlineStr"/>
      <c r="AM269" s="29" t="inlineStr"/>
      <c r="AN269" s="29" t="inlineStr">
        <is>
          <t>2026-03-15</t>
        </is>
      </c>
      <c r="AO269" s="29" t="inlineStr">
        <is>
          <t>Historical artefacts dated 2026-02-23 | Historical source cutover packet dated 2026-03-15</t>
        </is>
      </c>
      <c r="AP269" s="29" t="inlineStr">
        <is>
          <t>High</t>
        </is>
      </c>
      <c r="AQ269" s="29" t="inlineStr">
        <is>
          <t>Not assessed</t>
        </is>
      </c>
      <c r="AR269" s="29" t="inlineStr">
        <is>
          <t>Fail</t>
        </is>
      </c>
      <c r="AS269" s="29" t="inlineStr">
        <is>
          <t>Not assessed</t>
        </is>
      </c>
      <c r="AT269" s="29" t="inlineStr">
        <is>
          <t>Not assessed</t>
        </is>
      </c>
      <c r="AU269" s="29" t="inlineStr">
        <is>
          <t>Not assessed</t>
        </is>
      </c>
      <c r="AV269" s="29" t="inlineStr">
        <is>
          <t>Not assessed</t>
        </is>
      </c>
      <c r="AW269" s="29" t="inlineStr">
        <is>
          <t>Not assessed</t>
        </is>
      </c>
      <c r="AX269" s="29" t="inlineStr">
        <is>
          <t>Fail</t>
        </is>
      </c>
      <c r="AY269" s="29" t="inlineStr">
        <is>
          <t>Not assessed</t>
        </is>
      </c>
      <c r="AZ269" s="29" t="inlineStr">
        <is>
          <t>Not assessed</t>
        </is>
      </c>
      <c r="BA269" s="29" t="inlineStr">
        <is>
          <t>Not assessed</t>
        </is>
      </c>
      <c r="BB269" s="29" t="inlineStr">
        <is>
          <t>Not assessed</t>
        </is>
      </c>
      <c r="BC269" s="29" t="inlineStr">
        <is>
          <t>Not assessed</t>
        </is>
      </c>
      <c r="BD269" s="29" t="inlineStr">
        <is>
          <t>Fail</t>
        </is>
      </c>
      <c r="BE269" s="29" t="inlineStr">
        <is>
          <t>Blocked</t>
        </is>
      </c>
      <c r="BF269" s="29" t="inlineStr">
        <is>
          <t>The feature is physically implemented, but the mobile Firestore economy and hosted PostgreSQL economy are conflicting authorities. Current executed transaction, store-verification, entitlement and reconciliation evidence is absent.</t>
        </is>
      </c>
      <c r="BG269" s="29" t="inlineStr">
        <is>
          <t>Wire the mobile UI exclusively to the selected server authority; remove client balance mutation; run provider-sandbox purchase, gift, idempotency, ledger, refund, reconciliation and recovery tests on the exact release candidate.</t>
        </is>
      </c>
      <c r="BH269" s="29" t="inlineStr"/>
      <c r="BI269" s="29" t="inlineStr"/>
      <c r="BJ269" s="29" t="inlineStr"/>
      <c r="BK269" s="29" t="inlineStr">
        <is>
          <t>Evidence reconciled against the reviewed source revision. No production approval is inferred from implementation or file presence.</t>
        </is>
      </c>
      <c r="BL269" s="29" t="inlineStr">
        <is>
          <t>2026-08-02</t>
        </is>
      </c>
    </row>
    <row r="270" ht="42" customHeight="1">
      <c r="A270" s="29" t="inlineStr">
        <is>
          <t>BLYP-14-013</t>
        </is>
      </c>
      <c r="B270" s="29" t="inlineStr"/>
      <c r="C270" s="29" t="inlineStr">
        <is>
          <t>Wallet, gifts, and earnings</t>
        </is>
      </c>
      <c r="D270" s="29" t="n">
        <v>14</v>
      </c>
      <c r="E270" s="29" t="n">
        <v>13</v>
      </c>
      <c r="F270" s="29" t="inlineStr">
        <is>
          <t>Feature</t>
        </is>
      </c>
      <c r="G270" s="29" t="inlineStr">
        <is>
          <t>Live gift overlay and animations</t>
        </is>
      </c>
      <c r="H270" s="29" t="inlineStr">
        <is>
          <t>Live gift overlay and animations</t>
        </is>
      </c>
      <c r="I270" s="29" t="inlineStr">
        <is>
          <t>/home/ubuntu/blyp_product_requirements.md :: Section 14 — Wallet, gifts, and earnings</t>
        </is>
      </c>
      <c r="J270" s="29" t="inlineStr">
        <is>
          <t>/home/ubuntu/BLYP_COMPLETE_FEATURE_LIST.md:349</t>
        </is>
      </c>
      <c r="K270" s="29" t="inlineStr">
        <is>
          <t>Required</t>
        </is>
      </c>
      <c r="L270" s="29" t="inlineStr">
        <is>
          <t>Authenticated creator or host</t>
        </is>
      </c>
      <c r="M270" s="29" t="inlineStr">
        <is>
          <t>BLYP mobile application and supporting production services</t>
        </is>
      </c>
      <c r="N270" s="29" t="inlineStr">
        <is>
          <t>Live gift overlay and animations</t>
        </is>
      </c>
      <c r="O270" s="29" t="inlineStr">
        <is>
          <t>Not explicitly defined in the product source; requires accountable product approval before production sign-off.</t>
        </is>
      </c>
      <c r="P270" s="29" t="inlineStr"/>
      <c r="Q270" s="29" t="inlineStr">
        <is>
          <t>Yes</t>
        </is>
      </c>
      <c r="R270" s="29" t="inlineStr"/>
      <c r="S270" s="29" t="inlineStr">
        <is>
          <t>Conflicting implementations</t>
        </is>
      </c>
      <c r="T270" s="29" t="inlineStr">
        <is>
          <t>Feed gift action -&gt; src/components/GiftSystem.js -&gt; BlypCoinService.sendGift</t>
        </is>
      </c>
      <c r="U270" s="29" t="inlineStr">
        <is>
          <t>src/components/GiftSystem.js; src/screens/HomeScreen.js</t>
        </is>
      </c>
      <c r="V270" s="29" t="inlineStr">
        <is>
          <t>src/services/BlypCoinService.js</t>
        </is>
      </c>
      <c r="W270" s="29" t="inlineStr">
        <is>
          <t>POST /gift/send and economyService.sendGift exist separately from the current mobile Firestore call</t>
        </is>
      </c>
      <c r="X270" s="29" t="inlineStr">
        <is>
          <t>Current mobile: Firestore wallets, gifts and transactions; hosted backend: PostgreSQL wallets, gift_events, ledger and stream_earnings</t>
        </is>
      </c>
      <c r="Y270" s="29" t="inlineStr">
        <is>
          <t>Firestore transaction and balance snapshot; hosted Redis idempotency/throttle and post-commit realtime event</t>
        </is>
      </c>
      <c r="Z270" s="29" t="inlineStr">
        <is>
          <t>Firebase Firestore in the current mobile path; PostgreSQL, Redis, Cognito and Google Play verification in the separate hosted backend</t>
        </is>
      </c>
      <c r="AA270" s="29" t="inlineStr">
        <is>
          <t>Firebase mode and Firestore rules; hosted economy environment and app-version policy</t>
        </is>
      </c>
      <c r="AB270" s="29" t="inlineStr">
        <is>
          <t>Expo mobile client, Firebase managed services and separate blyp-live-service backend</t>
        </is>
      </c>
      <c r="AC270" s="30" t="inlineStr">
        <is>
          <t>RP-017;RP-008</t>
        </is>
      </c>
      <c r="AD270"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70" s="29" t="inlineStr">
        <is>
          <t>User reachable</t>
        </is>
      </c>
      <c r="AF270" s="29" t="inlineStr">
        <is>
          <t>GiftSystem is mounted on feed items and presents a balance, catalogue, confirmation and send action.</t>
        </is>
      </c>
      <c r="AG270" s="29" t="inlineStr">
        <is>
          <t>Incomplete</t>
        </is>
      </c>
      <c r="AH270" s="29" t="inlineStr">
        <is>
          <t>No</t>
        </is>
      </c>
      <c r="AI270" s="29" t="inlineStr">
        <is>
          <t>No current executed gift and balance-reconciliation proof; current UI bypasses the hosted authority; live-specific overlay and communal-total behaviour require separate observation.</t>
        </is>
      </c>
      <c r="AJ270" s="29" t="inlineStr">
        <is>
          <t>Source traced</t>
        </is>
      </c>
      <c r="AK270" s="29" t="inlineStr">
        <is>
          <t>EV-TGT-ECON-001;EV-TGT-ECON-002;EV-TGT-ECON-005;EV-TGT-ECON-006</t>
        </is>
      </c>
      <c r="AL270" s="29" t="inlineStr"/>
      <c r="AM270" s="29" t="inlineStr"/>
      <c r="AN270" s="29" t="inlineStr"/>
      <c r="AO270" s="29" t="inlineStr">
        <is>
          <t>8bc0dcb2a1da1b21368c5536aaeef829d587f316</t>
        </is>
      </c>
      <c r="AP270" s="29" t="inlineStr">
        <is>
          <t>High</t>
        </is>
      </c>
      <c r="AQ270" s="29" t="inlineStr">
        <is>
          <t>Not assessed</t>
        </is>
      </c>
      <c r="AR270" s="29" t="inlineStr">
        <is>
          <t>Fail</t>
        </is>
      </c>
      <c r="AS270" s="29" t="inlineStr">
        <is>
          <t>Not assessed</t>
        </is>
      </c>
      <c r="AT270" s="29" t="inlineStr">
        <is>
          <t>Not assessed</t>
        </is>
      </c>
      <c r="AU270" s="29" t="inlineStr">
        <is>
          <t>Not assessed</t>
        </is>
      </c>
      <c r="AV270" s="29" t="inlineStr">
        <is>
          <t>Not assessed</t>
        </is>
      </c>
      <c r="AW270" s="29" t="inlineStr">
        <is>
          <t>Not assessed</t>
        </is>
      </c>
      <c r="AX270" s="29" t="inlineStr">
        <is>
          <t>Fail</t>
        </is>
      </c>
      <c r="AY270" s="29" t="inlineStr">
        <is>
          <t>Not assessed</t>
        </is>
      </c>
      <c r="AZ270" s="29" t="inlineStr">
        <is>
          <t>Not assessed</t>
        </is>
      </c>
      <c r="BA270" s="29" t="inlineStr">
        <is>
          <t>Not assessed</t>
        </is>
      </c>
      <c r="BB270" s="29" t="inlineStr">
        <is>
          <t>Not assessed</t>
        </is>
      </c>
      <c r="BC270" s="29" t="inlineStr">
        <is>
          <t>Not assessed</t>
        </is>
      </c>
      <c r="BD270" s="29" t="inlineStr">
        <is>
          <t>Fail</t>
        </is>
      </c>
      <c r="BE270" s="29" t="inlineStr">
        <is>
          <t>Blocked</t>
        </is>
      </c>
      <c r="BF270" s="29" t="inlineStr">
        <is>
          <t>The feature is physically implemented, but the mobile Firestore economy and hosted PostgreSQL economy are conflicting authorities. Current executed transaction, store-verification, entitlement and reconciliation evidence is absent.</t>
        </is>
      </c>
      <c r="BG270" s="29" t="inlineStr">
        <is>
          <t>Wire the mobile UI exclusively to the selected server authority; remove client balance mutation; run provider-sandbox purchase, gift, idempotency, ledger, refund, reconciliation and recovery tests on the exact release candidate.</t>
        </is>
      </c>
      <c r="BH270" s="29" t="inlineStr"/>
      <c r="BI270" s="29" t="inlineStr"/>
      <c r="BJ270" s="29" t="inlineStr"/>
      <c r="BK270" s="29" t="inlineStr">
        <is>
          <t>Evidence reconciled against the reviewed source revision. No production approval is inferred from implementation or file presence.</t>
        </is>
      </c>
      <c r="BL270" s="29" t="inlineStr">
        <is>
          <t>2026-08-02</t>
        </is>
      </c>
    </row>
    <row r="271" ht="42" customHeight="1">
      <c r="A271" s="29" t="inlineStr">
        <is>
          <t>BLYP-14-014</t>
        </is>
      </c>
      <c r="B271" s="29" t="inlineStr"/>
      <c r="C271" s="29" t="inlineStr">
        <is>
          <t>Wallet, gifts, and earnings</t>
        </is>
      </c>
      <c r="D271" s="29" t="n">
        <v>14</v>
      </c>
      <c r="E271" s="29" t="n">
        <v>14</v>
      </c>
      <c r="F271" s="29" t="inlineStr">
        <is>
          <t>Feature</t>
        </is>
      </c>
      <c r="G271" s="29" t="inlineStr">
        <is>
          <t>Gift counters and leaderboards</t>
        </is>
      </c>
      <c r="H271" s="29" t="inlineStr">
        <is>
          <t>Gift counters and leaderboards</t>
        </is>
      </c>
      <c r="I271" s="29" t="inlineStr">
        <is>
          <t>/home/ubuntu/blyp_product_requirements.md :: Section 14 — Wallet, gifts, and earnings</t>
        </is>
      </c>
      <c r="J271" s="29" t="inlineStr">
        <is>
          <t>/home/ubuntu/BLYP_COMPLETE_FEATURE_LIST.md:350</t>
        </is>
      </c>
      <c r="K271" s="29" t="inlineStr">
        <is>
          <t>Required</t>
        </is>
      </c>
      <c r="L271" s="29" t="inlineStr">
        <is>
          <t>Authenticated creator or host</t>
        </is>
      </c>
      <c r="M271" s="29" t="inlineStr">
        <is>
          <t>BLYP mobile application and supporting production services</t>
        </is>
      </c>
      <c r="N271" s="29" t="inlineStr">
        <is>
          <t>Gift counters and leaderboards</t>
        </is>
      </c>
      <c r="O271" s="29" t="inlineStr">
        <is>
          <t>Not explicitly defined in the product source; requires accountable product approval before production sign-off.</t>
        </is>
      </c>
      <c r="P271" s="29" t="inlineStr"/>
      <c r="Q271" s="29" t="inlineStr">
        <is>
          <t>Yes</t>
        </is>
      </c>
      <c r="R271" s="29" t="inlineStr"/>
      <c r="S271" s="29" t="inlineStr">
        <is>
          <t>Conflicting implementations</t>
        </is>
      </c>
      <c r="T271" s="29" t="inlineStr">
        <is>
          <t>Feed gift action -&gt; src/components/GiftSystem.js -&gt; BlypCoinService.sendGift</t>
        </is>
      </c>
      <c r="U271" s="29" t="inlineStr">
        <is>
          <t>src/components/GiftSystem.js; src/screens/HomeScreen.js</t>
        </is>
      </c>
      <c r="V271" s="29" t="inlineStr">
        <is>
          <t>src/services/BlypCoinService.js</t>
        </is>
      </c>
      <c r="W271" s="29" t="inlineStr">
        <is>
          <t>POST /gift/send and economyService.sendGift exist separately from the current mobile Firestore call</t>
        </is>
      </c>
      <c r="X271" s="29" t="inlineStr">
        <is>
          <t>Current mobile: Firestore wallets, gifts and transactions; hosted backend: PostgreSQL wallets, gift_events, ledger and stream_earnings</t>
        </is>
      </c>
      <c r="Y271" s="29" t="inlineStr">
        <is>
          <t>Firestore transaction and balance snapshot; hosted Redis idempotency/throttle and post-commit realtime event</t>
        </is>
      </c>
      <c r="Z271" s="29" t="inlineStr">
        <is>
          <t>Firebase Firestore in the current mobile path; PostgreSQL, Redis, Cognito and Google Play verification in the separate hosted backend</t>
        </is>
      </c>
      <c r="AA271" s="29" t="inlineStr">
        <is>
          <t>Firebase mode and Firestore rules; hosted economy environment and app-version policy</t>
        </is>
      </c>
      <c r="AB271" s="29" t="inlineStr">
        <is>
          <t>Expo mobile client, Firebase managed services and separate blyp-live-service backend</t>
        </is>
      </c>
      <c r="AC271" s="30" t="inlineStr">
        <is>
          <t>RP-017;RP-008</t>
        </is>
      </c>
      <c r="AD271"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71" s="29" t="inlineStr">
        <is>
          <t>User reachable</t>
        </is>
      </c>
      <c r="AF271" s="29" t="inlineStr">
        <is>
          <t>GiftSystem is mounted on feed items and presents a balance, catalogue, confirmation and send action.</t>
        </is>
      </c>
      <c r="AG271" s="29" t="inlineStr">
        <is>
          <t>Incomplete</t>
        </is>
      </c>
      <c r="AH271" s="29" t="inlineStr">
        <is>
          <t>No</t>
        </is>
      </c>
      <c r="AI271" s="29" t="inlineStr">
        <is>
          <t>No current executed gift and balance-reconciliation proof; current UI bypasses the hosted authority; live-specific overlay and communal-total behaviour require separate observation.</t>
        </is>
      </c>
      <c r="AJ271" s="29" t="inlineStr">
        <is>
          <t>Source traced</t>
        </is>
      </c>
      <c r="AK271" s="29" t="inlineStr">
        <is>
          <t>EV-TGT-ECON-001;EV-TGT-ECON-002;EV-TGT-ECON-005;EV-TGT-ECON-006</t>
        </is>
      </c>
      <c r="AL271" s="29" t="inlineStr"/>
      <c r="AM271" s="29" t="inlineStr"/>
      <c r="AN271" s="29" t="inlineStr"/>
      <c r="AO271" s="29" t="inlineStr">
        <is>
          <t>8bc0dcb2a1da1b21368c5536aaeef829d587f316</t>
        </is>
      </c>
      <c r="AP271" s="29" t="inlineStr">
        <is>
          <t>High</t>
        </is>
      </c>
      <c r="AQ271" s="29" t="inlineStr">
        <is>
          <t>Not assessed</t>
        </is>
      </c>
      <c r="AR271" s="29" t="inlineStr">
        <is>
          <t>Fail</t>
        </is>
      </c>
      <c r="AS271" s="29" t="inlineStr">
        <is>
          <t>Not assessed</t>
        </is>
      </c>
      <c r="AT271" s="29" t="inlineStr">
        <is>
          <t>Not assessed</t>
        </is>
      </c>
      <c r="AU271" s="29" t="inlineStr">
        <is>
          <t>Not assessed</t>
        </is>
      </c>
      <c r="AV271" s="29" t="inlineStr">
        <is>
          <t>Not assessed</t>
        </is>
      </c>
      <c r="AW271" s="29" t="inlineStr">
        <is>
          <t>Not assessed</t>
        </is>
      </c>
      <c r="AX271" s="29" t="inlineStr">
        <is>
          <t>Fail</t>
        </is>
      </c>
      <c r="AY271" s="29" t="inlineStr">
        <is>
          <t>Not assessed</t>
        </is>
      </c>
      <c r="AZ271" s="29" t="inlineStr">
        <is>
          <t>Not assessed</t>
        </is>
      </c>
      <c r="BA271" s="29" t="inlineStr">
        <is>
          <t>Not assessed</t>
        </is>
      </c>
      <c r="BB271" s="29" t="inlineStr">
        <is>
          <t>Not assessed</t>
        </is>
      </c>
      <c r="BC271" s="29" t="inlineStr">
        <is>
          <t>Not assessed</t>
        </is>
      </c>
      <c r="BD271" s="29" t="inlineStr">
        <is>
          <t>Fail</t>
        </is>
      </c>
      <c r="BE271" s="29" t="inlineStr">
        <is>
          <t>Blocked</t>
        </is>
      </c>
      <c r="BF271" s="29" t="inlineStr">
        <is>
          <t>The feature is physically implemented, but the mobile Firestore economy and hosted PostgreSQL economy are conflicting authorities. Current executed transaction, store-verification, entitlement and reconciliation evidence is absent.</t>
        </is>
      </c>
      <c r="BG271" s="29" t="inlineStr">
        <is>
          <t>Wire the mobile UI exclusively to the selected server authority; remove client balance mutation; run provider-sandbox purchase, gift, idempotency, ledger, refund, reconciliation and recovery tests on the exact release candidate.</t>
        </is>
      </c>
      <c r="BH271" s="29" t="inlineStr"/>
      <c r="BI271" s="29" t="inlineStr"/>
      <c r="BJ271" s="29" t="inlineStr"/>
      <c r="BK271" s="29" t="inlineStr">
        <is>
          <t>Evidence reconciled against the reviewed source revision. No production approval is inferred from implementation or file presence.</t>
        </is>
      </c>
      <c r="BL271" s="29" t="inlineStr">
        <is>
          <t>2026-08-02</t>
        </is>
      </c>
    </row>
    <row r="272" ht="42" customHeight="1">
      <c r="A272" s="29" t="inlineStr">
        <is>
          <t>BLYP-14-015</t>
        </is>
      </c>
      <c r="B272" s="29" t="inlineStr"/>
      <c r="C272" s="29" t="inlineStr">
        <is>
          <t>Wallet, gifts, and earnings</t>
        </is>
      </c>
      <c r="D272" s="29" t="n">
        <v>14</v>
      </c>
      <c r="E272" s="29" t="n">
        <v>15</v>
      </c>
      <c r="F272" s="29" t="inlineStr">
        <is>
          <t>Feature</t>
        </is>
      </c>
      <c r="G272" s="29" t="inlineStr">
        <is>
          <t>Gifts-sent history</t>
        </is>
      </c>
      <c r="H272" s="29" t="inlineStr">
        <is>
          <t>Gifts-sent history</t>
        </is>
      </c>
      <c r="I272" s="29" t="inlineStr">
        <is>
          <t>/home/ubuntu/blyp_product_requirements.md :: Section 14 — Wallet, gifts, and earnings</t>
        </is>
      </c>
      <c r="J272" s="29" t="inlineStr">
        <is>
          <t>/home/ubuntu/BLYP_COMPLETE_FEATURE_LIST.md:351</t>
        </is>
      </c>
      <c r="K272" s="29" t="inlineStr">
        <is>
          <t>Required</t>
        </is>
      </c>
      <c r="L272" s="29" t="inlineStr">
        <is>
          <t>Authenticated creator or host</t>
        </is>
      </c>
      <c r="M272" s="29" t="inlineStr">
        <is>
          <t>BLYP mobile application and supporting production services</t>
        </is>
      </c>
      <c r="N272" s="29" t="inlineStr">
        <is>
          <t>Gifts-sent history</t>
        </is>
      </c>
      <c r="O272" s="29" t="inlineStr">
        <is>
          <t>Not explicitly defined in the product source; requires accountable product approval before production sign-off.</t>
        </is>
      </c>
      <c r="P272" s="29" t="inlineStr"/>
      <c r="Q272" s="29" t="inlineStr">
        <is>
          <t>Partial</t>
        </is>
      </c>
      <c r="R272" s="29" t="inlineStr"/>
      <c r="S272" s="29" t="inlineStr">
        <is>
          <t>Conflicting implementations</t>
        </is>
      </c>
      <c r="T272" s="29" t="inlineStr">
        <is>
          <t>BlypCoinWallet and related mobile economy surfaces</t>
        </is>
      </c>
      <c r="U272" s="29" t="inlineStr">
        <is>
          <t>src/components/BlypCoinWallet.js; src/screens/CoinStoreScreen.js</t>
        </is>
      </c>
      <c r="V272" s="29" t="inlineStr">
        <is>
          <t>src/services/BlypCoinService.js</t>
        </is>
      </c>
      <c r="W272" s="29" t="inlineStr">
        <is>
          <t>GET /wallet; GET /ledger and hosted economy domain service exist separately from the current mobile Firestore calls</t>
        </is>
      </c>
      <c r="X272" s="29" t="inlineStr">
        <is>
          <t>Current mobile: Firestore wallets, transactions and users; hosted backend: PostgreSQL wallets and ledger</t>
        </is>
      </c>
      <c r="Y272" s="29" t="inlineStr">
        <is>
          <t>Firestore balance snapshots; separate hosted Redis idempotency and throttling</t>
        </is>
      </c>
      <c r="Z272" s="29" t="inlineStr">
        <is>
          <t>Firebase Firestore in the current mobile path; PostgreSQL, Redis, Cognito and Google Play verification in the separate hosted backend</t>
        </is>
      </c>
      <c r="AA272" s="29" t="inlineStr">
        <is>
          <t>Firebase mode and Firestore rules; hosted economy environment and app-version policy</t>
        </is>
      </c>
      <c r="AB272" s="29" t="inlineStr">
        <is>
          <t>Expo mobile client, Firebase managed services and separate blyp-live-service backend</t>
        </is>
      </c>
      <c r="AC272" s="30" t="inlineStr">
        <is>
          <t>RP-017;RP-010</t>
        </is>
      </c>
      <c r="AD272" s="29" t="inlineStr">
        <is>
          <t>The mobile gift history path reads or mutates Firestore through BlypCoinService, while a separate authenticated hosted wallet and ledger contract exists but is not confirmed as the mobile caller.</t>
        </is>
      </c>
      <c r="AE272" s="29" t="inlineStr">
        <is>
          <t>User reachable</t>
        </is>
      </c>
      <c r="AF272" s="29" t="inlineStr">
        <is>
          <t>Wallet card, history, daily reward and store actions are present in the user-facing mobile interface.</t>
        </is>
      </c>
      <c r="AG272" s="29" t="inlineStr">
        <is>
          <t>Incomplete</t>
        </is>
      </c>
      <c r="AH272" s="29" t="inlineStr">
        <is>
          <t>No</t>
        </is>
      </c>
      <c r="AI272" s="29" t="inlineStr">
        <is>
          <t>No current data-convergence proof between Firestore and PostgreSQL; client-authoritative mutations remain reachable.</t>
        </is>
      </c>
      <c r="AJ272" s="29" t="inlineStr">
        <is>
          <t>Source traced</t>
        </is>
      </c>
      <c r="AK272" s="29" t="inlineStr">
        <is>
          <t>EV-TGT-ECON-001;EV-TGT-ECON-004;EV-TGT-ECON-006</t>
        </is>
      </c>
      <c r="AL272" s="29" t="inlineStr"/>
      <c r="AM272" s="29" t="inlineStr"/>
      <c r="AN272" s="29" t="inlineStr"/>
      <c r="AO272" s="29" t="inlineStr">
        <is>
          <t>8bc0dcb2a1da1b21368c5536aaeef829d587f316</t>
        </is>
      </c>
      <c r="AP272" s="29" t="inlineStr">
        <is>
          <t>High</t>
        </is>
      </c>
      <c r="AQ272" s="29" t="inlineStr">
        <is>
          <t>Not assessed</t>
        </is>
      </c>
      <c r="AR272" s="29" t="inlineStr">
        <is>
          <t>Fail</t>
        </is>
      </c>
      <c r="AS272" s="29" t="inlineStr">
        <is>
          <t>Not assessed</t>
        </is>
      </c>
      <c r="AT272" s="29" t="inlineStr">
        <is>
          <t>Not assessed</t>
        </is>
      </c>
      <c r="AU272" s="29" t="inlineStr">
        <is>
          <t>Not assessed</t>
        </is>
      </c>
      <c r="AV272" s="29" t="inlineStr">
        <is>
          <t>Not assessed</t>
        </is>
      </c>
      <c r="AW272" s="29" t="inlineStr">
        <is>
          <t>Not assessed</t>
        </is>
      </c>
      <c r="AX272" s="29" t="inlineStr">
        <is>
          <t>Fail</t>
        </is>
      </c>
      <c r="AY272" s="29" t="inlineStr">
        <is>
          <t>Not assessed</t>
        </is>
      </c>
      <c r="AZ272" s="29" t="inlineStr">
        <is>
          <t>Not assessed</t>
        </is>
      </c>
      <c r="BA272" s="29" t="inlineStr">
        <is>
          <t>Not assessed</t>
        </is>
      </c>
      <c r="BB272" s="29" t="inlineStr">
        <is>
          <t>Not assessed</t>
        </is>
      </c>
      <c r="BC272" s="29" t="inlineStr">
        <is>
          <t>Not assessed</t>
        </is>
      </c>
      <c r="BD272" s="29" t="inlineStr">
        <is>
          <t>Fail</t>
        </is>
      </c>
      <c r="BE272" s="29" t="inlineStr">
        <is>
          <t>Blocked</t>
        </is>
      </c>
      <c r="BF272" s="29" t="inlineStr">
        <is>
          <t>The feature is physically implemented, but the mobile Firestore economy and hosted PostgreSQL economy are conflicting authorities. Current executed transaction, store-verification, entitlement and reconciliation evidence is absent.</t>
        </is>
      </c>
      <c r="BG272" s="29" t="inlineStr">
        <is>
          <t>Wire the mobile UI exclusively to the selected server authority; remove client balance mutation; run provider-sandbox purchase, gift, idempotency, ledger, refund, reconciliation and recovery tests on the exact release candidate.</t>
        </is>
      </c>
      <c r="BH272" s="29" t="inlineStr"/>
      <c r="BI272" s="29" t="inlineStr"/>
      <c r="BJ272" s="29" t="inlineStr"/>
      <c r="BK272" s="29" t="inlineStr">
        <is>
          <t>Evidence reconciled against the reviewed source revision. No production approval is inferred from implementation or file presence.</t>
        </is>
      </c>
      <c r="BL272" s="29" t="inlineStr">
        <is>
          <t>2026-08-02</t>
        </is>
      </c>
    </row>
    <row r="273" ht="42" customHeight="1">
      <c r="A273" s="29" t="inlineStr">
        <is>
          <t>BLYP-14-016</t>
        </is>
      </c>
      <c r="B273" s="29" t="inlineStr"/>
      <c r="C273" s="29" t="inlineStr">
        <is>
          <t>Wallet, gifts, and earnings</t>
        </is>
      </c>
      <c r="D273" s="29" t="n">
        <v>14</v>
      </c>
      <c r="E273" s="29" t="n">
        <v>16</v>
      </c>
      <c r="F273" s="29" t="inlineStr">
        <is>
          <t>Feature</t>
        </is>
      </c>
      <c r="G273" s="29" t="inlineStr">
        <is>
          <t>Gifts-received history</t>
        </is>
      </c>
      <c r="H273" s="29" t="inlineStr">
        <is>
          <t>Gifts-received history</t>
        </is>
      </c>
      <c r="I273" s="29" t="inlineStr">
        <is>
          <t>/home/ubuntu/blyp_product_requirements.md :: Section 14 — Wallet, gifts, and earnings</t>
        </is>
      </c>
      <c r="J273" s="29" t="inlineStr">
        <is>
          <t>/home/ubuntu/BLYP_COMPLETE_FEATURE_LIST.md:352</t>
        </is>
      </c>
      <c r="K273" s="29" t="inlineStr">
        <is>
          <t>Required</t>
        </is>
      </c>
      <c r="L273" s="29" t="inlineStr">
        <is>
          <t>Authenticated creator or host</t>
        </is>
      </c>
      <c r="M273" s="29" t="inlineStr">
        <is>
          <t>BLYP mobile application and supporting production services</t>
        </is>
      </c>
      <c r="N273" s="29" t="inlineStr">
        <is>
          <t>Gifts-received history</t>
        </is>
      </c>
      <c r="O273" s="29" t="inlineStr">
        <is>
          <t>Not explicitly defined in the product source; requires accountable product approval before production sign-off.</t>
        </is>
      </c>
      <c r="P273" s="29" t="inlineStr"/>
      <c r="Q273" s="29" t="inlineStr">
        <is>
          <t>Partial</t>
        </is>
      </c>
      <c r="R273" s="29" t="inlineStr"/>
      <c r="S273" s="29" t="inlineStr">
        <is>
          <t>Conflicting implementations</t>
        </is>
      </c>
      <c r="T273" s="29" t="inlineStr">
        <is>
          <t>BlypCoinWallet and related mobile economy surfaces</t>
        </is>
      </c>
      <c r="U273" s="29" t="inlineStr">
        <is>
          <t>src/components/BlypCoinWallet.js; src/screens/CoinStoreScreen.js</t>
        </is>
      </c>
      <c r="V273" s="29" t="inlineStr">
        <is>
          <t>src/services/BlypCoinService.js</t>
        </is>
      </c>
      <c r="W273" s="29" t="inlineStr">
        <is>
          <t>GET /wallet; GET /ledger and hosted economy domain service exist separately from the current mobile Firestore calls</t>
        </is>
      </c>
      <c r="X273" s="29" t="inlineStr">
        <is>
          <t>Current mobile: Firestore wallets, transactions and users; hosted backend: PostgreSQL wallets and ledger</t>
        </is>
      </c>
      <c r="Y273" s="29" t="inlineStr">
        <is>
          <t>Firestore balance snapshots; separate hosted Redis idempotency and throttling</t>
        </is>
      </c>
      <c r="Z273" s="29" t="inlineStr">
        <is>
          <t>Firebase Firestore in the current mobile path; PostgreSQL, Redis, Cognito and Google Play verification in the separate hosted backend</t>
        </is>
      </c>
      <c r="AA273" s="29" t="inlineStr">
        <is>
          <t>Firebase mode and Firestore rules; hosted economy environment and app-version policy</t>
        </is>
      </c>
      <c r="AB273" s="29" t="inlineStr">
        <is>
          <t>Expo mobile client, Firebase managed services and separate blyp-live-service backend</t>
        </is>
      </c>
      <c r="AC273" s="30" t="inlineStr">
        <is>
          <t>RP-017;RP-010</t>
        </is>
      </c>
      <c r="AD273" s="29" t="inlineStr">
        <is>
          <t>The mobile coin history path reads or mutates Firestore through BlypCoinService, while a separate authenticated hosted wallet and ledger contract exists but is not confirmed as the mobile caller.</t>
        </is>
      </c>
      <c r="AE273" s="29" t="inlineStr">
        <is>
          <t>User reachable</t>
        </is>
      </c>
      <c r="AF273" s="29" t="inlineStr">
        <is>
          <t>Wallet card, history, daily reward and store actions are present in the user-facing mobile interface.</t>
        </is>
      </c>
      <c r="AG273" s="29" t="inlineStr">
        <is>
          <t>Incomplete</t>
        </is>
      </c>
      <c r="AH273" s="29" t="inlineStr">
        <is>
          <t>No</t>
        </is>
      </c>
      <c r="AI273" s="29" t="inlineStr">
        <is>
          <t>No current data-convergence proof between Firestore and PostgreSQL; client-authoritative mutations remain reachable.</t>
        </is>
      </c>
      <c r="AJ273" s="29" t="inlineStr">
        <is>
          <t>Source traced</t>
        </is>
      </c>
      <c r="AK273" s="29" t="inlineStr">
        <is>
          <t>EV-TGT-ECON-001;EV-TGT-ECON-004;EV-TGT-ECON-006</t>
        </is>
      </c>
      <c r="AL273" s="29" t="inlineStr"/>
      <c r="AM273" s="29" t="inlineStr"/>
      <c r="AN273" s="29" t="inlineStr"/>
      <c r="AO273" s="29" t="inlineStr">
        <is>
          <t>8bc0dcb2a1da1b21368c5536aaeef829d587f316</t>
        </is>
      </c>
      <c r="AP273" s="29" t="inlineStr">
        <is>
          <t>High</t>
        </is>
      </c>
      <c r="AQ273" s="29" t="inlineStr">
        <is>
          <t>Not assessed</t>
        </is>
      </c>
      <c r="AR273" s="29" t="inlineStr">
        <is>
          <t>Fail</t>
        </is>
      </c>
      <c r="AS273" s="29" t="inlineStr">
        <is>
          <t>Not assessed</t>
        </is>
      </c>
      <c r="AT273" s="29" t="inlineStr">
        <is>
          <t>Not assessed</t>
        </is>
      </c>
      <c r="AU273" s="29" t="inlineStr">
        <is>
          <t>Not assessed</t>
        </is>
      </c>
      <c r="AV273" s="29" t="inlineStr">
        <is>
          <t>Not assessed</t>
        </is>
      </c>
      <c r="AW273" s="29" t="inlineStr">
        <is>
          <t>Not assessed</t>
        </is>
      </c>
      <c r="AX273" s="29" t="inlineStr">
        <is>
          <t>Fail</t>
        </is>
      </c>
      <c r="AY273" s="29" t="inlineStr">
        <is>
          <t>Not assessed</t>
        </is>
      </c>
      <c r="AZ273" s="29" t="inlineStr">
        <is>
          <t>Not assessed</t>
        </is>
      </c>
      <c r="BA273" s="29" t="inlineStr">
        <is>
          <t>Not assessed</t>
        </is>
      </c>
      <c r="BB273" s="29" t="inlineStr">
        <is>
          <t>Not assessed</t>
        </is>
      </c>
      <c r="BC273" s="29" t="inlineStr">
        <is>
          <t>Not assessed</t>
        </is>
      </c>
      <c r="BD273" s="29" t="inlineStr">
        <is>
          <t>Fail</t>
        </is>
      </c>
      <c r="BE273" s="29" t="inlineStr">
        <is>
          <t>Blocked</t>
        </is>
      </c>
      <c r="BF273" s="29" t="inlineStr">
        <is>
          <t>The feature is physically implemented, but the mobile Firestore economy and hosted PostgreSQL economy are conflicting authorities. Current executed transaction, store-verification, entitlement and reconciliation evidence is absent.</t>
        </is>
      </c>
      <c r="BG273" s="29" t="inlineStr">
        <is>
          <t>Wire the mobile UI exclusively to the selected server authority; remove client balance mutation; run provider-sandbox purchase, gift, idempotency, ledger, refund, reconciliation and recovery tests on the exact release candidate.</t>
        </is>
      </c>
      <c r="BH273" s="29" t="inlineStr"/>
      <c r="BI273" s="29" t="inlineStr"/>
      <c r="BJ273" s="29" t="inlineStr"/>
      <c r="BK273" s="29" t="inlineStr">
        <is>
          <t>Evidence reconciled against the reviewed source revision. No production approval is inferred from implementation or file presence.</t>
        </is>
      </c>
      <c r="BL273" s="29" t="inlineStr">
        <is>
          <t>2026-08-02</t>
        </is>
      </c>
    </row>
    <row r="274" ht="42" customHeight="1">
      <c r="A274" s="29" t="inlineStr">
        <is>
          <t>BLYP-14-017</t>
        </is>
      </c>
      <c r="B274" s="29" t="inlineStr"/>
      <c r="C274" s="29" t="inlineStr">
        <is>
          <t>Wallet, gifts, and earnings</t>
        </is>
      </c>
      <c r="D274" s="29" t="n">
        <v>14</v>
      </c>
      <c r="E274" s="29" t="n">
        <v>17</v>
      </c>
      <c r="F274" s="29" t="inlineStr">
        <is>
          <t>Feature</t>
        </is>
      </c>
      <c r="G274" s="29" t="inlineStr">
        <is>
          <t>Significant-gift confirmation</t>
        </is>
      </c>
      <c r="H274" s="29" t="inlineStr">
        <is>
          <t>Significant-gift confirmation</t>
        </is>
      </c>
      <c r="I274" s="29" t="inlineStr">
        <is>
          <t>/home/ubuntu/blyp_product_requirements.md :: Section 14 — Wallet, gifts, and earnings</t>
        </is>
      </c>
      <c r="J274" s="29" t="inlineStr">
        <is>
          <t>/home/ubuntu/BLYP_COMPLETE_FEATURE_LIST.md:353</t>
        </is>
      </c>
      <c r="K274" s="29" t="inlineStr">
        <is>
          <t>Required</t>
        </is>
      </c>
      <c r="L274" s="29" t="inlineStr">
        <is>
          <t>Authenticated creator or host</t>
        </is>
      </c>
      <c r="M274" s="29" t="inlineStr">
        <is>
          <t>BLYP mobile application and supporting production services</t>
        </is>
      </c>
      <c r="N274" s="29" t="inlineStr">
        <is>
          <t>Significant-gift confirmation</t>
        </is>
      </c>
      <c r="O274" s="29" t="inlineStr">
        <is>
          <t>Not explicitly defined in the product source; requires accountable product approval before production sign-off.</t>
        </is>
      </c>
      <c r="P274" s="29" t="inlineStr"/>
      <c r="Q274" s="29" t="inlineStr">
        <is>
          <t>No evidence</t>
        </is>
      </c>
      <c r="R274" s="29" t="inlineStr"/>
      <c r="S274" s="29" t="inlineStr">
        <is>
          <t>Conflicting implementations</t>
        </is>
      </c>
      <c r="T274" s="29" t="inlineStr">
        <is>
          <t>Feed gift action -&gt; src/components/GiftSystem.js -&gt; BlypCoinService.sendGift</t>
        </is>
      </c>
      <c r="U274" s="29" t="inlineStr">
        <is>
          <t>src/components/GiftSystem.js; src/screens/HomeScreen.js</t>
        </is>
      </c>
      <c r="V274" s="29" t="inlineStr">
        <is>
          <t>src/services/BlypCoinService.js</t>
        </is>
      </c>
      <c r="W274" s="29" t="inlineStr">
        <is>
          <t>POST /gift/send and economyService.sendGift exist separately from the current mobile Firestore call</t>
        </is>
      </c>
      <c r="X274" s="29" t="inlineStr">
        <is>
          <t>Current mobile: Firestore wallets, gifts and transactions; hosted backend: PostgreSQL wallets, gift_events, ledger and stream_earnings</t>
        </is>
      </c>
      <c r="Y274" s="29" t="inlineStr">
        <is>
          <t>Firestore transaction and balance snapshot; hosted Redis idempotency/throttle and post-commit realtime event</t>
        </is>
      </c>
      <c r="Z274" s="29" t="inlineStr">
        <is>
          <t>Firebase Firestore in the current mobile path; PostgreSQL, Redis, Cognito and Google Play verification in the separate hosted backend</t>
        </is>
      </c>
      <c r="AA274" s="29" t="inlineStr">
        <is>
          <t>Firebase mode and Firestore rules; hosted economy environment and app-version policy</t>
        </is>
      </c>
      <c r="AB274" s="29" t="inlineStr">
        <is>
          <t>Expo mobile client, Firebase managed services and separate blyp-live-service backend</t>
        </is>
      </c>
      <c r="AC274" s="30" t="inlineStr">
        <is>
          <t>RP-017;RP-008</t>
        </is>
      </c>
      <c r="AD274"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74" s="29" t="inlineStr">
        <is>
          <t>User reachable</t>
        </is>
      </c>
      <c r="AF274" s="29" t="inlineStr">
        <is>
          <t>GiftSystem is mounted on feed items and presents a balance, catalogue, confirmation and send action.</t>
        </is>
      </c>
      <c r="AG274" s="29" t="inlineStr">
        <is>
          <t>Incomplete</t>
        </is>
      </c>
      <c r="AH274" s="29" t="inlineStr">
        <is>
          <t>No</t>
        </is>
      </c>
      <c r="AI274" s="29" t="inlineStr">
        <is>
          <t>No current executed gift and balance-reconciliation proof; current UI bypasses the hosted authority; live-specific overlay and communal-total behaviour require separate observation.</t>
        </is>
      </c>
      <c r="AJ274" s="29" t="inlineStr">
        <is>
          <t>Source traced</t>
        </is>
      </c>
      <c r="AK274" s="29" t="inlineStr">
        <is>
          <t>EV-TGT-ECON-001;EV-TGT-ECON-002;EV-TGT-ECON-005;EV-TGT-ECON-006</t>
        </is>
      </c>
      <c r="AL274" s="29" t="inlineStr"/>
      <c r="AM274" s="29" t="inlineStr"/>
      <c r="AN274" s="29" t="inlineStr"/>
      <c r="AO274" s="29" t="inlineStr">
        <is>
          <t>8bc0dcb2a1da1b21368c5536aaeef829d587f316</t>
        </is>
      </c>
      <c r="AP274" s="29" t="inlineStr">
        <is>
          <t>High</t>
        </is>
      </c>
      <c r="AQ274" s="29" t="inlineStr">
        <is>
          <t>Not assessed</t>
        </is>
      </c>
      <c r="AR274" s="29" t="inlineStr">
        <is>
          <t>Fail</t>
        </is>
      </c>
      <c r="AS274" s="29" t="inlineStr">
        <is>
          <t>Not assessed</t>
        </is>
      </c>
      <c r="AT274" s="29" t="inlineStr">
        <is>
          <t>Not assessed</t>
        </is>
      </c>
      <c r="AU274" s="29" t="inlineStr">
        <is>
          <t>Not assessed</t>
        </is>
      </c>
      <c r="AV274" s="29" t="inlineStr">
        <is>
          <t>Not assessed</t>
        </is>
      </c>
      <c r="AW274" s="29" t="inlineStr">
        <is>
          <t>Not assessed</t>
        </is>
      </c>
      <c r="AX274" s="29" t="inlineStr">
        <is>
          <t>Fail</t>
        </is>
      </c>
      <c r="AY274" s="29" t="inlineStr">
        <is>
          <t>Not assessed</t>
        </is>
      </c>
      <c r="AZ274" s="29" t="inlineStr">
        <is>
          <t>Not assessed</t>
        </is>
      </c>
      <c r="BA274" s="29" t="inlineStr">
        <is>
          <t>Not assessed</t>
        </is>
      </c>
      <c r="BB274" s="29" t="inlineStr">
        <is>
          <t>Not assessed</t>
        </is>
      </c>
      <c r="BC274" s="29" t="inlineStr">
        <is>
          <t>Not assessed</t>
        </is>
      </c>
      <c r="BD274" s="29" t="inlineStr">
        <is>
          <t>Fail</t>
        </is>
      </c>
      <c r="BE274" s="29" t="inlineStr">
        <is>
          <t>Blocked</t>
        </is>
      </c>
      <c r="BF274" s="29" t="inlineStr">
        <is>
          <t>The feature is physically implemented, but the mobile Firestore economy and hosted PostgreSQL economy are conflicting authorities. Current executed transaction, store-verification, entitlement and reconciliation evidence is absent.</t>
        </is>
      </c>
      <c r="BG274" s="29" t="inlineStr">
        <is>
          <t>Wire the mobile UI exclusively to the selected server authority; remove client balance mutation; run provider-sandbox purchase, gift, idempotency, ledger, refund, reconciliation and recovery tests on the exact release candidate.</t>
        </is>
      </c>
      <c r="BH274" s="29" t="inlineStr"/>
      <c r="BI274" s="29" t="inlineStr"/>
      <c r="BJ274" s="29" t="inlineStr"/>
      <c r="BK274" s="29" t="inlineStr">
        <is>
          <t>Evidence reconciled against the reviewed source revision. No production approval is inferred from implementation or file presence.</t>
        </is>
      </c>
      <c r="BL274" s="29" t="inlineStr">
        <is>
          <t>2026-08-02</t>
        </is>
      </c>
    </row>
    <row r="275" ht="42" customHeight="1">
      <c r="A275" s="29" t="inlineStr">
        <is>
          <t>BLYP-14-018</t>
        </is>
      </c>
      <c r="B275" s="29" t="inlineStr"/>
      <c r="C275" s="29" t="inlineStr">
        <is>
          <t>Wallet, gifts, and earnings</t>
        </is>
      </c>
      <c r="D275" s="29" t="n">
        <v>14</v>
      </c>
      <c r="E275" s="29" t="n">
        <v>18</v>
      </c>
      <c r="F275" s="29" t="inlineStr">
        <is>
          <t>Feature</t>
        </is>
      </c>
      <c r="G275" s="29" t="inlineStr">
        <is>
          <t>Purchase receipts</t>
        </is>
      </c>
      <c r="H275" s="29" t="inlineStr">
        <is>
          <t>Purchase receipts</t>
        </is>
      </c>
      <c r="I275" s="29" t="inlineStr">
        <is>
          <t>/home/ubuntu/blyp_product_requirements.md :: Section 14 — Wallet, gifts, and earnings</t>
        </is>
      </c>
      <c r="J275" s="29" t="inlineStr">
        <is>
          <t>/home/ubuntu/BLYP_COMPLETE_FEATURE_LIST.md:354</t>
        </is>
      </c>
      <c r="K275" s="29" t="inlineStr">
        <is>
          <t>Required</t>
        </is>
      </c>
      <c r="L275" s="29" t="inlineStr">
        <is>
          <t>Authenticated creator or host</t>
        </is>
      </c>
      <c r="M275" s="29" t="inlineStr">
        <is>
          <t>BLYP mobile application and supporting production services</t>
        </is>
      </c>
      <c r="N275" s="29" t="inlineStr">
        <is>
          <t>Purchase receipts</t>
        </is>
      </c>
      <c r="O275" s="29" t="inlineStr">
        <is>
          <t>Not explicitly defined in the product source; requires accountable product approval before production sign-off.</t>
        </is>
      </c>
      <c r="P275" s="29" t="inlineStr"/>
      <c r="Q275" s="29" t="inlineStr">
        <is>
          <t>Partial</t>
        </is>
      </c>
      <c r="R275" s="29" t="inlineStr"/>
      <c r="S275" s="29" t="inlineStr">
        <is>
          <t>Conflicting implementations</t>
        </is>
      </c>
      <c r="T275" s="29" t="inlineStr">
        <is>
          <t>BlypCoinWallet and related mobile economy surfaces</t>
        </is>
      </c>
      <c r="U275" s="29" t="inlineStr">
        <is>
          <t>src/components/BlypCoinWallet.js; src/screens/CoinStoreScreen.js</t>
        </is>
      </c>
      <c r="V275" s="29" t="inlineStr">
        <is>
          <t>src/services/BlypCoinService.js</t>
        </is>
      </c>
      <c r="W275" s="29" t="inlineStr">
        <is>
          <t>GET /wallet; GET /ledger and hosted economy domain service exist separately from the current mobile Firestore calls</t>
        </is>
      </c>
      <c r="X275" s="29" t="inlineStr">
        <is>
          <t>Current mobile: Firestore wallets, transactions and users; hosted backend: PostgreSQL wallets and ledger</t>
        </is>
      </c>
      <c r="Y275" s="29" t="inlineStr">
        <is>
          <t>Firestore balance snapshots; separate hosted Redis idempotency and throttling</t>
        </is>
      </c>
      <c r="Z275" s="29" t="inlineStr">
        <is>
          <t>Firebase Firestore in the current mobile path; PostgreSQL, Redis, Cognito and Google Play verification in the separate hosted backend</t>
        </is>
      </c>
      <c r="AA275" s="29" t="inlineStr">
        <is>
          <t>Firebase mode and Firestore rules; hosted economy environment and app-version policy</t>
        </is>
      </c>
      <c r="AB275" s="29" t="inlineStr">
        <is>
          <t>Expo mobile client, Firebase managed services and separate blyp-live-service backend</t>
        </is>
      </c>
      <c r="AC275" s="30" t="inlineStr">
        <is>
          <t>RP-017;RP-010</t>
        </is>
      </c>
      <c r="AD275" s="29" t="inlineStr">
        <is>
          <t>The mobile transaction receipt history path reads or mutates Firestore through BlypCoinService, while a separate authenticated hosted wallet and ledger contract exists but is not confirmed as the mobile caller.</t>
        </is>
      </c>
      <c r="AE275" s="29" t="inlineStr">
        <is>
          <t>User reachable</t>
        </is>
      </c>
      <c r="AF275" s="29" t="inlineStr">
        <is>
          <t>Wallet card, history, daily reward and store actions are present in the user-facing mobile interface.</t>
        </is>
      </c>
      <c r="AG275" s="29" t="inlineStr">
        <is>
          <t>Incomplete</t>
        </is>
      </c>
      <c r="AH275" s="29" t="inlineStr">
        <is>
          <t>No</t>
        </is>
      </c>
      <c r="AI275" s="29" t="inlineStr">
        <is>
          <t>No current data-convergence proof between Firestore and PostgreSQL; client-authoritative mutations remain reachable.</t>
        </is>
      </c>
      <c r="AJ275" s="29" t="inlineStr">
        <is>
          <t>Source traced</t>
        </is>
      </c>
      <c r="AK275" s="29" t="inlineStr">
        <is>
          <t>EV-RUN-0011;EV-TGT-ECON-001;EV-TGT-ECON-004;EV-TGT-ECON-006</t>
        </is>
      </c>
      <c r="AL275" s="29" t="inlineStr"/>
      <c r="AM275" s="29" t="inlineStr"/>
      <c r="AN275" s="29" t="inlineStr">
        <is>
          <t>2026-03-24</t>
        </is>
      </c>
      <c r="AO275" s="29" t="inlineStr">
        <is>
          <t>Build 2026032308; report dated 2026-03-24</t>
        </is>
      </c>
      <c r="AP275" s="29" t="inlineStr">
        <is>
          <t>High</t>
        </is>
      </c>
      <c r="AQ275" s="29" t="inlineStr">
        <is>
          <t>Not assessed</t>
        </is>
      </c>
      <c r="AR275" s="29" t="inlineStr">
        <is>
          <t>Fail</t>
        </is>
      </c>
      <c r="AS275" s="29" t="inlineStr">
        <is>
          <t>Not assessed</t>
        </is>
      </c>
      <c r="AT275" s="29" t="inlineStr">
        <is>
          <t>Not assessed</t>
        </is>
      </c>
      <c r="AU275" s="29" t="inlineStr">
        <is>
          <t>Not assessed</t>
        </is>
      </c>
      <c r="AV275" s="29" t="inlineStr">
        <is>
          <t>Not assessed</t>
        </is>
      </c>
      <c r="AW275" s="29" t="inlineStr">
        <is>
          <t>Not assessed</t>
        </is>
      </c>
      <c r="AX275" s="29" t="inlineStr">
        <is>
          <t>Fail</t>
        </is>
      </c>
      <c r="AY275" s="29" t="inlineStr">
        <is>
          <t>Not assessed</t>
        </is>
      </c>
      <c r="AZ275" s="29" t="inlineStr">
        <is>
          <t>Not assessed</t>
        </is>
      </c>
      <c r="BA275" s="29" t="inlineStr">
        <is>
          <t>Not assessed</t>
        </is>
      </c>
      <c r="BB275" s="29" t="inlineStr">
        <is>
          <t>Not assessed</t>
        </is>
      </c>
      <c r="BC275" s="29" t="inlineStr">
        <is>
          <t>Not assessed</t>
        </is>
      </c>
      <c r="BD275" s="29" t="inlineStr">
        <is>
          <t>Fail</t>
        </is>
      </c>
      <c r="BE275" s="29" t="inlineStr">
        <is>
          <t>Blocked</t>
        </is>
      </c>
      <c r="BF275" s="29" t="inlineStr">
        <is>
          <t>The feature is physically implemented, but the mobile Firestore economy and hosted PostgreSQL economy are conflicting authorities. Current executed transaction, store-verification, entitlement and reconciliation evidence is absent.</t>
        </is>
      </c>
      <c r="BG275" s="29" t="inlineStr">
        <is>
          <t>Wire the mobile UI exclusively to the selected server authority; remove client balance mutation; run provider-sandbox purchase, gift, idempotency, ledger, refund, reconciliation and recovery tests on the exact release candidate.</t>
        </is>
      </c>
      <c r="BH275" s="29" t="inlineStr"/>
      <c r="BI275" s="29" t="inlineStr"/>
      <c r="BJ275" s="29" t="inlineStr"/>
      <c r="BK275" s="29" t="inlineStr">
        <is>
          <t>Evidence reconciled against the reviewed source revision. No production approval is inferred from implementation or file presence.</t>
        </is>
      </c>
      <c r="BL275" s="29" t="inlineStr">
        <is>
          <t>2026-08-02</t>
        </is>
      </c>
    </row>
    <row r="276" ht="42" customHeight="1">
      <c r="A276" s="29" t="inlineStr">
        <is>
          <t>BLYP-14-019</t>
        </is>
      </c>
      <c r="B276" s="29" t="inlineStr"/>
      <c r="C276" s="29" t="inlineStr">
        <is>
          <t>Wallet, gifts, and earnings</t>
        </is>
      </c>
      <c r="D276" s="29" t="n">
        <v>14</v>
      </c>
      <c r="E276" s="29" t="n">
        <v>19</v>
      </c>
      <c r="F276" s="29" t="inlineStr">
        <is>
          <t>Feature</t>
        </is>
      </c>
      <c r="G276" s="29" t="inlineStr">
        <is>
          <t>Pending creator earnings</t>
        </is>
      </c>
      <c r="H276" s="29" t="inlineStr">
        <is>
          <t>Pending creator earnings</t>
        </is>
      </c>
      <c r="I276" s="29" t="inlineStr">
        <is>
          <t>/home/ubuntu/blyp_product_requirements.md :: Section 14 — Wallet, gifts, and earnings</t>
        </is>
      </c>
      <c r="J276" s="29" t="inlineStr">
        <is>
          <t>/home/ubuntu/BLYP_COMPLETE_FEATURE_LIST.md:355</t>
        </is>
      </c>
      <c r="K276" s="29" t="inlineStr">
        <is>
          <t>Required</t>
        </is>
      </c>
      <c r="L276" s="29" t="inlineStr">
        <is>
          <t>Authenticated creator or host</t>
        </is>
      </c>
      <c r="M276" s="29" t="inlineStr">
        <is>
          <t>BLYP mobile application and supporting production services</t>
        </is>
      </c>
      <c r="N276" s="29" t="inlineStr">
        <is>
          <t>Pending creator earnings</t>
        </is>
      </c>
      <c r="O276" s="29" t="inlineStr">
        <is>
          <t>Not explicitly defined in the product source; requires accountable product approval before production sign-off.</t>
        </is>
      </c>
      <c r="P276" s="29" t="inlineStr"/>
      <c r="Q276" s="29" t="inlineStr">
        <is>
          <t>Yes</t>
        </is>
      </c>
      <c r="R276" s="29" t="inlineStr">
        <is>
          <t>disclosure foundations exist.</t>
        </is>
      </c>
      <c r="S276" s="29" t="inlineStr">
        <is>
          <t>Conflicting implementations</t>
        </is>
      </c>
      <c r="T276" s="29" t="inlineStr">
        <is>
          <t>Feed gift action -&gt; src/components/GiftSystem.js -&gt; BlypCoinService.sendGift</t>
        </is>
      </c>
      <c r="U276" s="29" t="inlineStr">
        <is>
          <t>src/components/GiftSystem.js; src/screens/HomeScreen.js</t>
        </is>
      </c>
      <c r="V276" s="29" t="inlineStr">
        <is>
          <t>src/services/BlypCoinService.js</t>
        </is>
      </c>
      <c r="W276" s="29" t="inlineStr">
        <is>
          <t>POST /gift/send and economyService.sendGift exist separately from the current mobile Firestore call</t>
        </is>
      </c>
      <c r="X276" s="29" t="inlineStr">
        <is>
          <t>Current mobile: Firestore wallets, gifts and transactions; hosted backend: PostgreSQL wallets, gift_events, ledger and stream_earnings</t>
        </is>
      </c>
      <c r="Y276" s="29" t="inlineStr">
        <is>
          <t>Firestore transaction and balance snapshot; hosted Redis idempotency/throttle and post-commit realtime event</t>
        </is>
      </c>
      <c r="Z276" s="29" t="inlineStr">
        <is>
          <t>Firebase Firestore in the current mobile path; PostgreSQL, Redis, Cognito and Google Play verification in the separate hosted backend</t>
        </is>
      </c>
      <c r="AA276" s="29" t="inlineStr">
        <is>
          <t>Firebase mode and Firestore rules; hosted economy environment and app-version policy</t>
        </is>
      </c>
      <c r="AB276" s="29" t="inlineStr">
        <is>
          <t>Expo mobile client, Firebase managed services and separate blyp-live-service backend</t>
        </is>
      </c>
      <c r="AC276" s="30" t="inlineStr">
        <is>
          <t>RP-017;RP-008</t>
        </is>
      </c>
      <c r="AD276"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76" s="29" t="inlineStr">
        <is>
          <t>User reachable</t>
        </is>
      </c>
      <c r="AF276" s="29" t="inlineStr">
        <is>
          <t>GiftSystem is mounted on feed items and presents a balance, catalogue, confirmation and send action.</t>
        </is>
      </c>
      <c r="AG276" s="29" t="inlineStr">
        <is>
          <t>Incomplete</t>
        </is>
      </c>
      <c r="AH276" s="29" t="inlineStr">
        <is>
          <t>No</t>
        </is>
      </c>
      <c r="AI276" s="29" t="inlineStr">
        <is>
          <t>No current executed gift and balance-reconciliation proof; current UI bypasses the hosted authority; live-specific overlay and communal-total behaviour require separate observation.</t>
        </is>
      </c>
      <c r="AJ276" s="29" t="inlineStr">
        <is>
          <t>Source traced</t>
        </is>
      </c>
      <c r="AK276" s="29" t="inlineStr">
        <is>
          <t>EV-RUN-0009;EV-TGT-ECON-001;EV-TGT-ECON-002;EV-TGT-ECON-005;EV-TGT-ECON-006</t>
        </is>
      </c>
      <c r="AL276" s="29" t="inlineStr"/>
      <c r="AM276" s="29" t="inlineStr"/>
      <c r="AN276" s="29" t="inlineStr">
        <is>
          <t>2026-02-23</t>
        </is>
      </c>
      <c r="AO276" s="29" t="inlineStr">
        <is>
          <t>Historical artefacts dated 2026-02-23</t>
        </is>
      </c>
      <c r="AP276" s="29" t="inlineStr">
        <is>
          <t>High</t>
        </is>
      </c>
      <c r="AQ276" s="29" t="inlineStr">
        <is>
          <t>Not assessed</t>
        </is>
      </c>
      <c r="AR276" s="29" t="inlineStr">
        <is>
          <t>Fail</t>
        </is>
      </c>
      <c r="AS276" s="29" t="inlineStr">
        <is>
          <t>Not assessed</t>
        </is>
      </c>
      <c r="AT276" s="29" t="inlineStr">
        <is>
          <t>Not assessed</t>
        </is>
      </c>
      <c r="AU276" s="29" t="inlineStr">
        <is>
          <t>Not assessed</t>
        </is>
      </c>
      <c r="AV276" s="29" t="inlineStr">
        <is>
          <t>Not assessed</t>
        </is>
      </c>
      <c r="AW276" s="29" t="inlineStr">
        <is>
          <t>Not assessed</t>
        </is>
      </c>
      <c r="AX276" s="29" t="inlineStr">
        <is>
          <t>Fail</t>
        </is>
      </c>
      <c r="AY276" s="29" t="inlineStr">
        <is>
          <t>Not assessed</t>
        </is>
      </c>
      <c r="AZ276" s="29" t="inlineStr">
        <is>
          <t>Not assessed</t>
        </is>
      </c>
      <c r="BA276" s="29" t="inlineStr">
        <is>
          <t>Not assessed</t>
        </is>
      </c>
      <c r="BB276" s="29" t="inlineStr">
        <is>
          <t>Not assessed</t>
        </is>
      </c>
      <c r="BC276" s="29" t="inlineStr">
        <is>
          <t>Not assessed</t>
        </is>
      </c>
      <c r="BD276" s="29" t="inlineStr">
        <is>
          <t>Fail</t>
        </is>
      </c>
      <c r="BE276" s="29" t="inlineStr">
        <is>
          <t>Blocked</t>
        </is>
      </c>
      <c r="BF276" s="29" t="inlineStr">
        <is>
          <t>The feature is physically implemented, but the mobile Firestore economy and hosted PostgreSQL economy are conflicting authorities. Current executed transaction, store-verification, entitlement and reconciliation evidence is absent.</t>
        </is>
      </c>
      <c r="BG276" s="29" t="inlineStr">
        <is>
          <t>Wire the mobile UI exclusively to the selected server authority; remove client balance mutation; run provider-sandbox purchase, gift, idempotency, ledger, refund, reconciliation and recovery tests on the exact release candidate.</t>
        </is>
      </c>
      <c r="BH276" s="29" t="inlineStr"/>
      <c r="BI276" s="29" t="inlineStr"/>
      <c r="BJ276" s="29" t="inlineStr"/>
      <c r="BK276" s="29" t="inlineStr">
        <is>
          <t>Evidence reconciled against the reviewed source revision. No production approval is inferred from implementation or file presence.</t>
        </is>
      </c>
      <c r="BL276" s="29" t="inlineStr">
        <is>
          <t>2026-08-02</t>
        </is>
      </c>
    </row>
    <row r="277" ht="42" customHeight="1">
      <c r="A277" s="29" t="inlineStr">
        <is>
          <t>BLYP-14-020</t>
        </is>
      </c>
      <c r="B277" s="29" t="inlineStr"/>
      <c r="C277" s="29" t="inlineStr">
        <is>
          <t>Wallet, gifts, and earnings</t>
        </is>
      </c>
      <c r="D277" s="29" t="n">
        <v>14</v>
      </c>
      <c r="E277" s="29" t="n">
        <v>20</v>
      </c>
      <c r="F277" s="29" t="inlineStr">
        <is>
          <t>Feature</t>
        </is>
      </c>
      <c r="G277" s="29" t="inlineStr">
        <is>
          <t>Available creator earnings</t>
        </is>
      </c>
      <c r="H277" s="29" t="inlineStr">
        <is>
          <t>Available creator earnings</t>
        </is>
      </c>
      <c r="I277" s="29" t="inlineStr">
        <is>
          <t>/home/ubuntu/blyp_product_requirements.md :: Section 14 — Wallet, gifts, and earnings</t>
        </is>
      </c>
      <c r="J277" s="29" t="inlineStr">
        <is>
          <t>/home/ubuntu/BLYP_COMPLETE_FEATURE_LIST.md:356</t>
        </is>
      </c>
      <c r="K277" s="29" t="inlineStr">
        <is>
          <t>Required</t>
        </is>
      </c>
      <c r="L277" s="29" t="inlineStr">
        <is>
          <t>Authenticated creator or host</t>
        </is>
      </c>
      <c r="M277" s="29" t="inlineStr">
        <is>
          <t>BLYP mobile application and supporting production services</t>
        </is>
      </c>
      <c r="N277" s="29" t="inlineStr">
        <is>
          <t>Available creator earnings</t>
        </is>
      </c>
      <c r="O277" s="29" t="inlineStr">
        <is>
          <t>Not explicitly defined in the product source; requires accountable product approval before production sign-off.</t>
        </is>
      </c>
      <c r="P277" s="29" t="inlineStr"/>
      <c r="Q277" s="29" t="inlineStr">
        <is>
          <t>Yes</t>
        </is>
      </c>
      <c r="R277" s="29" t="inlineStr">
        <is>
          <t>disclosure foundations exist.</t>
        </is>
      </c>
      <c r="S277" s="29" t="inlineStr">
        <is>
          <t>Conflicting implementations</t>
        </is>
      </c>
      <c r="T277" s="29" t="inlineStr">
        <is>
          <t>Feed gift action -&gt; src/components/GiftSystem.js -&gt; BlypCoinService.sendGift</t>
        </is>
      </c>
      <c r="U277" s="29" t="inlineStr">
        <is>
          <t>src/components/GiftSystem.js; src/screens/HomeScreen.js</t>
        </is>
      </c>
      <c r="V277" s="29" t="inlineStr">
        <is>
          <t>src/services/BlypCoinService.js</t>
        </is>
      </c>
      <c r="W277" s="29" t="inlineStr">
        <is>
          <t>POST /gift/send and economyService.sendGift exist separately from the current mobile Firestore call</t>
        </is>
      </c>
      <c r="X277" s="29" t="inlineStr">
        <is>
          <t>Current mobile: Firestore wallets, gifts and transactions; hosted backend: PostgreSQL wallets, gift_events, ledger and stream_earnings</t>
        </is>
      </c>
      <c r="Y277" s="29" t="inlineStr">
        <is>
          <t>Firestore transaction and balance snapshot; hosted Redis idempotency/throttle and post-commit realtime event</t>
        </is>
      </c>
      <c r="Z277" s="29" t="inlineStr">
        <is>
          <t>Firebase Firestore in the current mobile path; PostgreSQL, Redis, Cognito and Google Play verification in the separate hosted backend</t>
        </is>
      </c>
      <c r="AA277" s="29" t="inlineStr">
        <is>
          <t>Firebase mode and Firestore rules; hosted economy environment and app-version policy</t>
        </is>
      </c>
      <c r="AB277" s="29" t="inlineStr">
        <is>
          <t>Expo mobile client, Firebase managed services and separate blyp-live-service backend</t>
        </is>
      </c>
      <c r="AC277" s="30" t="inlineStr">
        <is>
          <t>RP-017;RP-008</t>
        </is>
      </c>
      <c r="AD277"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77" s="29" t="inlineStr">
        <is>
          <t>User reachable</t>
        </is>
      </c>
      <c r="AF277" s="29" t="inlineStr">
        <is>
          <t>GiftSystem is mounted on feed items and presents a balance, catalogue, confirmation and send action.</t>
        </is>
      </c>
      <c r="AG277" s="29" t="inlineStr">
        <is>
          <t>Incomplete</t>
        </is>
      </c>
      <c r="AH277" s="29" t="inlineStr">
        <is>
          <t>No</t>
        </is>
      </c>
      <c r="AI277" s="29" t="inlineStr">
        <is>
          <t>No current executed gift and balance-reconciliation proof; current UI bypasses the hosted authority; live-specific overlay and communal-total behaviour require separate observation.</t>
        </is>
      </c>
      <c r="AJ277" s="29" t="inlineStr">
        <is>
          <t>Source traced</t>
        </is>
      </c>
      <c r="AK277" s="29" t="inlineStr">
        <is>
          <t>EV-RUN-0009;EV-TGT-ECON-001;EV-TGT-ECON-002;EV-TGT-ECON-005;EV-TGT-ECON-006</t>
        </is>
      </c>
      <c r="AL277" s="29" t="inlineStr"/>
      <c r="AM277" s="29" t="inlineStr"/>
      <c r="AN277" s="29" t="inlineStr">
        <is>
          <t>2026-02-23</t>
        </is>
      </c>
      <c r="AO277" s="29" t="inlineStr">
        <is>
          <t>Historical artefacts dated 2026-02-23</t>
        </is>
      </c>
      <c r="AP277" s="29" t="inlineStr">
        <is>
          <t>High</t>
        </is>
      </c>
      <c r="AQ277" s="29" t="inlineStr">
        <is>
          <t>Not assessed</t>
        </is>
      </c>
      <c r="AR277" s="29" t="inlineStr">
        <is>
          <t>Fail</t>
        </is>
      </c>
      <c r="AS277" s="29" t="inlineStr">
        <is>
          <t>Not assessed</t>
        </is>
      </c>
      <c r="AT277" s="29" t="inlineStr">
        <is>
          <t>Not assessed</t>
        </is>
      </c>
      <c r="AU277" s="29" t="inlineStr">
        <is>
          <t>Not assessed</t>
        </is>
      </c>
      <c r="AV277" s="29" t="inlineStr">
        <is>
          <t>Not assessed</t>
        </is>
      </c>
      <c r="AW277" s="29" t="inlineStr">
        <is>
          <t>Not assessed</t>
        </is>
      </c>
      <c r="AX277" s="29" t="inlineStr">
        <is>
          <t>Fail</t>
        </is>
      </c>
      <c r="AY277" s="29" t="inlineStr">
        <is>
          <t>Not assessed</t>
        </is>
      </c>
      <c r="AZ277" s="29" t="inlineStr">
        <is>
          <t>Not assessed</t>
        </is>
      </c>
      <c r="BA277" s="29" t="inlineStr">
        <is>
          <t>Not assessed</t>
        </is>
      </c>
      <c r="BB277" s="29" t="inlineStr">
        <is>
          <t>Not assessed</t>
        </is>
      </c>
      <c r="BC277" s="29" t="inlineStr">
        <is>
          <t>Not assessed</t>
        </is>
      </c>
      <c r="BD277" s="29" t="inlineStr">
        <is>
          <t>Fail</t>
        </is>
      </c>
      <c r="BE277" s="29" t="inlineStr">
        <is>
          <t>Blocked</t>
        </is>
      </c>
      <c r="BF277" s="29" t="inlineStr">
        <is>
          <t>The feature is physically implemented, but the mobile Firestore economy and hosted PostgreSQL economy are conflicting authorities. Current executed transaction, store-verification, entitlement and reconciliation evidence is absent.</t>
        </is>
      </c>
      <c r="BG277" s="29" t="inlineStr">
        <is>
          <t>Wire the mobile UI exclusively to the selected server authority; remove client balance mutation; run provider-sandbox purchase, gift, idempotency, ledger, refund, reconciliation and recovery tests on the exact release candidate.</t>
        </is>
      </c>
      <c r="BH277" s="29" t="inlineStr"/>
      <c r="BI277" s="29" t="inlineStr"/>
      <c r="BJ277" s="29" t="inlineStr"/>
      <c r="BK277" s="29" t="inlineStr">
        <is>
          <t>Evidence reconciled against the reviewed source revision. No production approval is inferred from implementation or file presence.</t>
        </is>
      </c>
      <c r="BL277" s="29" t="inlineStr">
        <is>
          <t>2026-08-02</t>
        </is>
      </c>
    </row>
    <row r="278" ht="42" customHeight="1">
      <c r="A278" s="29" t="inlineStr">
        <is>
          <t>BLYP-14-021</t>
        </is>
      </c>
      <c r="B278" s="29" t="inlineStr"/>
      <c r="C278" s="29" t="inlineStr">
        <is>
          <t>Wallet, gifts, and earnings</t>
        </is>
      </c>
      <c r="D278" s="29" t="n">
        <v>14</v>
      </c>
      <c r="E278" s="29" t="n">
        <v>21</v>
      </c>
      <c r="F278" s="29" t="inlineStr">
        <is>
          <t>Feature</t>
        </is>
      </c>
      <c r="G278" s="29" t="inlineStr">
        <is>
          <t>Payout status</t>
        </is>
      </c>
      <c r="H278" s="29" t="inlineStr">
        <is>
          <t>Payout status</t>
        </is>
      </c>
      <c r="I278" s="29" t="inlineStr">
        <is>
          <t>/home/ubuntu/blyp_product_requirements.md :: Section 14 — Wallet, gifts, and earnings</t>
        </is>
      </c>
      <c r="J278" s="29" t="inlineStr">
        <is>
          <t>/home/ubuntu/BLYP_COMPLETE_FEATURE_LIST.md:357</t>
        </is>
      </c>
      <c r="K278" s="29" t="inlineStr">
        <is>
          <t>Required</t>
        </is>
      </c>
      <c r="L278" s="29" t="inlineStr">
        <is>
          <t>Authenticated creator or host</t>
        </is>
      </c>
      <c r="M278" s="29" t="inlineStr">
        <is>
          <t>BLYP mobile application and supporting production services</t>
        </is>
      </c>
      <c r="N278" s="29" t="inlineStr">
        <is>
          <t>Payout status</t>
        </is>
      </c>
      <c r="O278" s="29" t="inlineStr">
        <is>
          <t>Not explicitly defined in the product source; requires accountable product approval before production sign-off.</t>
        </is>
      </c>
      <c r="P278" s="29" t="inlineStr"/>
      <c r="Q278" s="29" t="inlineStr">
        <is>
          <t>Partial</t>
        </is>
      </c>
      <c r="R278" s="29" t="inlineStr"/>
      <c r="S278" s="29" t="inlineStr">
        <is>
          <t>Unknown</t>
        </is>
      </c>
      <c r="T278" s="29" t="inlineStr"/>
      <c r="U278" s="29" t="inlineStr"/>
      <c r="V278" s="29" t="inlineStr"/>
      <c r="W278" s="29" t="inlineStr"/>
      <c r="X278" s="29" t="inlineStr"/>
      <c r="Y278" s="29" t="inlineStr"/>
      <c r="Z278" s="29" t="inlineStr"/>
      <c r="AA278" s="29" t="inlineStr"/>
      <c r="AB278" s="29" t="inlineStr"/>
      <c r="AC278" s="29" t="inlineStr"/>
      <c r="AD278" s="29" t="inlineStr"/>
      <c r="AE278" s="29" t="inlineStr">
        <is>
          <t>Unknown</t>
        </is>
      </c>
      <c r="AF278" s="29" t="inlineStr"/>
      <c r="AG278" s="29" t="inlineStr">
        <is>
          <t>Unknown</t>
        </is>
      </c>
      <c r="AH278" s="29" t="inlineStr">
        <is>
          <t>Unknown</t>
        </is>
      </c>
      <c r="AI278" s="29" t="inlineStr"/>
      <c r="AJ278" s="29" t="inlineStr">
        <is>
          <t>Not verified</t>
        </is>
      </c>
      <c r="AK278" s="29" t="inlineStr"/>
      <c r="AL278" s="29" t="inlineStr"/>
      <c r="AM278" s="29" t="inlineStr"/>
      <c r="AN278" s="29" t="inlineStr"/>
      <c r="AO278" s="29" t="inlineStr">
        <is>
          <t>8bc0dcb2a1da1b21368c5536aaeef829d587f316</t>
        </is>
      </c>
      <c r="AP278" s="29" t="inlineStr">
        <is>
          <t>Unrated</t>
        </is>
      </c>
      <c r="AQ278" s="29" t="inlineStr">
        <is>
          <t>Not assessed</t>
        </is>
      </c>
      <c r="AR278" s="29" t="inlineStr">
        <is>
          <t>Not assessed</t>
        </is>
      </c>
      <c r="AS278" s="29" t="inlineStr">
        <is>
          <t>Not assessed</t>
        </is>
      </c>
      <c r="AT278" s="29" t="inlineStr">
        <is>
          <t>Not assessed</t>
        </is>
      </c>
      <c r="AU278" s="29" t="inlineStr">
        <is>
          <t>Not assessed</t>
        </is>
      </c>
      <c r="AV278" s="29" t="inlineStr">
        <is>
          <t>Not assessed</t>
        </is>
      </c>
      <c r="AW278" s="29" t="inlineStr">
        <is>
          <t>Not assessed</t>
        </is>
      </c>
      <c r="AX278" s="29" t="inlineStr">
        <is>
          <t>Not assessed</t>
        </is>
      </c>
      <c r="AY278" s="29" t="inlineStr">
        <is>
          <t>Not assessed</t>
        </is>
      </c>
      <c r="AZ278" s="29" t="inlineStr">
        <is>
          <t>Not assessed</t>
        </is>
      </c>
      <c r="BA278" s="29" t="inlineStr">
        <is>
          <t>Not assessed</t>
        </is>
      </c>
      <c r="BB278" s="29" t="inlineStr">
        <is>
          <t>Not assessed</t>
        </is>
      </c>
      <c r="BC278" s="29" t="inlineStr">
        <is>
          <t>Not assessed</t>
        </is>
      </c>
      <c r="BD278" s="29" t="inlineStr">
        <is>
          <t>Not assessed</t>
        </is>
      </c>
      <c r="BE278" s="29" t="inlineStr">
        <is>
          <t>Not assessed</t>
        </is>
      </c>
      <c r="BF278" s="29" t="inlineStr">
        <is>
          <t>Insufficient evidence to issue a production-readiness conclusion.</t>
        </is>
      </c>
      <c r="BG278" s="29" t="inlineStr"/>
      <c r="BH278" s="29" t="inlineStr"/>
      <c r="BI278" s="29" t="inlineStr"/>
      <c r="BJ278" s="29" t="inlineStr"/>
      <c r="BK278" s="29" t="inlineStr">
        <is>
          <t>Evidence reconciled against the reviewed source revision. No production approval is inferred from implementation or file presence.</t>
        </is>
      </c>
      <c r="BL278" s="29" t="inlineStr">
        <is>
          <t>2026-08-02</t>
        </is>
      </c>
    </row>
    <row r="279" ht="42" customHeight="1">
      <c r="A279" s="29" t="inlineStr">
        <is>
          <t>BLYP-14-022</t>
        </is>
      </c>
      <c r="B279" s="29" t="inlineStr"/>
      <c r="C279" s="29" t="inlineStr">
        <is>
          <t>Wallet, gifts, and earnings</t>
        </is>
      </c>
      <c r="D279" s="29" t="n">
        <v>14</v>
      </c>
      <c r="E279" s="29" t="n">
        <v>22</v>
      </c>
      <c r="F279" s="29" t="inlineStr">
        <is>
          <t>Feature</t>
        </is>
      </c>
      <c r="G279" s="29" t="inlineStr">
        <is>
          <t>Creator cash withdrawal</t>
        </is>
      </c>
      <c r="H279" s="29" t="inlineStr">
        <is>
          <t>Creator cash withdrawal</t>
        </is>
      </c>
      <c r="I279" s="29" t="inlineStr">
        <is>
          <t>/home/ubuntu/blyp_product_requirements.md :: Section 14 — Wallet, gifts, and earnings</t>
        </is>
      </c>
      <c r="J279" s="29" t="inlineStr">
        <is>
          <t>/home/ubuntu/BLYP_COMPLETE_FEATURE_LIST.md:358</t>
        </is>
      </c>
      <c r="K279" s="29" t="inlineStr">
        <is>
          <t>Required</t>
        </is>
      </c>
      <c r="L279" s="29" t="inlineStr">
        <is>
          <t>Authenticated creator or host</t>
        </is>
      </c>
      <c r="M279" s="29" t="inlineStr">
        <is>
          <t>BLYP mobile application and supporting production services</t>
        </is>
      </c>
      <c r="N279" s="29" t="inlineStr">
        <is>
          <t>Creator cash withdrawal</t>
        </is>
      </c>
      <c r="O279" s="29" t="inlineStr">
        <is>
          <t>Not explicitly defined in the product source; requires accountable product approval before production sign-off.</t>
        </is>
      </c>
      <c r="P279" s="29" t="inlineStr"/>
      <c r="Q279" s="29" t="inlineStr">
        <is>
          <t>No evidence</t>
        </is>
      </c>
      <c r="R279" s="29" t="inlineStr"/>
      <c r="S279" s="29" t="inlineStr">
        <is>
          <t>Unknown</t>
        </is>
      </c>
      <c r="T279" s="29" t="inlineStr"/>
      <c r="U279" s="29" t="inlineStr"/>
      <c r="V279" s="29" t="inlineStr"/>
      <c r="W279" s="29" t="inlineStr"/>
      <c r="X279" s="29" t="inlineStr"/>
      <c r="Y279" s="29" t="inlineStr"/>
      <c r="Z279" s="29" t="inlineStr"/>
      <c r="AA279" s="29" t="inlineStr"/>
      <c r="AB279" s="29" t="inlineStr"/>
      <c r="AC279" s="29" t="inlineStr"/>
      <c r="AD279" s="29" t="inlineStr"/>
      <c r="AE279" s="29" t="inlineStr">
        <is>
          <t>Unknown</t>
        </is>
      </c>
      <c r="AF279" s="29" t="inlineStr"/>
      <c r="AG279" s="29" t="inlineStr">
        <is>
          <t>Unknown</t>
        </is>
      </c>
      <c r="AH279" s="29" t="inlineStr">
        <is>
          <t>Unknown</t>
        </is>
      </c>
      <c r="AI279" s="29" t="inlineStr"/>
      <c r="AJ279" s="29" t="inlineStr">
        <is>
          <t>Not verified</t>
        </is>
      </c>
      <c r="AK279" s="29" t="inlineStr"/>
      <c r="AL279" s="29" t="inlineStr"/>
      <c r="AM279" s="29" t="inlineStr"/>
      <c r="AN279" s="29" t="inlineStr"/>
      <c r="AO279" s="29" t="inlineStr">
        <is>
          <t>8bc0dcb2a1da1b21368c5536aaeef829d587f316</t>
        </is>
      </c>
      <c r="AP279" s="29" t="inlineStr">
        <is>
          <t>Unrated</t>
        </is>
      </c>
      <c r="AQ279" s="29" t="inlineStr">
        <is>
          <t>Not assessed</t>
        </is>
      </c>
      <c r="AR279" s="29" t="inlineStr">
        <is>
          <t>Not assessed</t>
        </is>
      </c>
      <c r="AS279" s="29" t="inlineStr">
        <is>
          <t>Not assessed</t>
        </is>
      </c>
      <c r="AT279" s="29" t="inlineStr">
        <is>
          <t>Not assessed</t>
        </is>
      </c>
      <c r="AU279" s="29" t="inlineStr">
        <is>
          <t>Not assessed</t>
        </is>
      </c>
      <c r="AV279" s="29" t="inlineStr">
        <is>
          <t>Not assessed</t>
        </is>
      </c>
      <c r="AW279" s="29" t="inlineStr">
        <is>
          <t>Not assessed</t>
        </is>
      </c>
      <c r="AX279" s="29" t="inlineStr">
        <is>
          <t>Not assessed</t>
        </is>
      </c>
      <c r="AY279" s="29" t="inlineStr">
        <is>
          <t>Not assessed</t>
        </is>
      </c>
      <c r="AZ279" s="29" t="inlineStr">
        <is>
          <t>Not assessed</t>
        </is>
      </c>
      <c r="BA279" s="29" t="inlineStr">
        <is>
          <t>Not assessed</t>
        </is>
      </c>
      <c r="BB279" s="29" t="inlineStr">
        <is>
          <t>Not assessed</t>
        </is>
      </c>
      <c r="BC279" s="29" t="inlineStr">
        <is>
          <t>Not assessed</t>
        </is>
      </c>
      <c r="BD279" s="29" t="inlineStr">
        <is>
          <t>Not assessed</t>
        </is>
      </c>
      <c r="BE279" s="29" t="inlineStr">
        <is>
          <t>Not assessed</t>
        </is>
      </c>
      <c r="BF279" s="29" t="inlineStr">
        <is>
          <t>Insufficient evidence to issue a production-readiness conclusion.</t>
        </is>
      </c>
      <c r="BG279" s="29" t="inlineStr"/>
      <c r="BH279" s="29" t="inlineStr"/>
      <c r="BI279" s="29" t="inlineStr"/>
      <c r="BJ279" s="29" t="inlineStr"/>
      <c r="BK279" s="29" t="inlineStr">
        <is>
          <t>Evidence reconciled against the reviewed source revision. No production approval is inferred from implementation or file presence.</t>
        </is>
      </c>
      <c r="BL279" s="29" t="inlineStr">
        <is>
          <t>2026-08-02</t>
        </is>
      </c>
    </row>
    <row r="280" ht="42" customHeight="1">
      <c r="A280" s="29" t="inlineStr">
        <is>
          <t>BLYP-14-023</t>
        </is>
      </c>
      <c r="B280" s="29" t="inlineStr"/>
      <c r="C280" s="29" t="inlineStr">
        <is>
          <t>Wallet, gifts, and earnings</t>
        </is>
      </c>
      <c r="D280" s="29" t="n">
        <v>14</v>
      </c>
      <c r="E280" s="29" t="n">
        <v>23</v>
      </c>
      <c r="F280" s="29" t="inlineStr">
        <is>
          <t>Feature</t>
        </is>
      </c>
      <c r="G280" s="29" t="inlineStr">
        <is>
          <t>Failed-transaction handling</t>
        </is>
      </c>
      <c r="H280" s="29" t="inlineStr">
        <is>
          <t>Failed-transaction handling</t>
        </is>
      </c>
      <c r="I280" s="29" t="inlineStr">
        <is>
          <t>/home/ubuntu/blyp_product_requirements.md :: Section 14 — Wallet, gifts, and earnings</t>
        </is>
      </c>
      <c r="J280" s="29" t="inlineStr">
        <is>
          <t>/home/ubuntu/BLYP_COMPLETE_FEATURE_LIST.md:359</t>
        </is>
      </c>
      <c r="K280" s="29" t="inlineStr">
        <is>
          <t>Required</t>
        </is>
      </c>
      <c r="L280" s="29" t="inlineStr">
        <is>
          <t>Authenticated creator or host</t>
        </is>
      </c>
      <c r="M280" s="29" t="inlineStr">
        <is>
          <t>BLYP mobile application and supporting production services</t>
        </is>
      </c>
      <c r="N280" s="29" t="inlineStr">
        <is>
          <t>Failed-transaction handling</t>
        </is>
      </c>
      <c r="O280" s="29" t="inlineStr">
        <is>
          <t>Not explicitly defined in the product source; requires accountable product approval before production sign-off.</t>
        </is>
      </c>
      <c r="P280" s="29" t="inlineStr"/>
      <c r="Q280" s="29" t="inlineStr">
        <is>
          <t>Partial</t>
        </is>
      </c>
      <c r="R280" s="29" t="inlineStr"/>
      <c r="S280" s="29" t="inlineStr">
        <is>
          <t>Conflicting implementations</t>
        </is>
      </c>
      <c r="T280" s="29" t="inlineStr">
        <is>
          <t>BlypCoinWallet and related mobile economy surfaces</t>
        </is>
      </c>
      <c r="U280" s="29" t="inlineStr">
        <is>
          <t>src/components/BlypCoinWallet.js; src/screens/CoinStoreScreen.js</t>
        </is>
      </c>
      <c r="V280" s="29" t="inlineStr">
        <is>
          <t>src/services/BlypCoinService.js</t>
        </is>
      </c>
      <c r="W280" s="29" t="inlineStr">
        <is>
          <t>GET /wallet; GET /ledger and hosted economy domain service exist separately from the current mobile Firestore calls</t>
        </is>
      </c>
      <c r="X280" s="29" t="inlineStr">
        <is>
          <t>Current mobile: Firestore wallets, transactions and users; hosted backend: PostgreSQL wallets and ledger</t>
        </is>
      </c>
      <c r="Y280" s="29" t="inlineStr">
        <is>
          <t>Firestore balance snapshots; separate hosted Redis idempotency and throttling</t>
        </is>
      </c>
      <c r="Z280" s="29" t="inlineStr">
        <is>
          <t>Firebase Firestore in the current mobile path; PostgreSQL, Redis, Cognito and Google Play verification in the separate hosted backend</t>
        </is>
      </c>
      <c r="AA280" s="29" t="inlineStr">
        <is>
          <t>Firebase mode and Firestore rules; hosted economy environment and app-version policy</t>
        </is>
      </c>
      <c r="AB280" s="29" t="inlineStr">
        <is>
          <t>Expo mobile client, Firebase managed services and separate blyp-live-service backend</t>
        </is>
      </c>
      <c r="AC280" s="30" t="inlineStr">
        <is>
          <t>RP-017;RP-010</t>
        </is>
      </c>
      <c r="AD280" s="29" t="inlineStr">
        <is>
          <t>The mobile failed-transaction handling path reads or mutates Firestore through BlypCoinService, while a separate authenticated hosted wallet and ledger contract exists but is not confirmed as the mobile caller.</t>
        </is>
      </c>
      <c r="AE280" s="29" t="inlineStr">
        <is>
          <t>User reachable</t>
        </is>
      </c>
      <c r="AF280" s="29" t="inlineStr">
        <is>
          <t>Wallet card, history, daily reward and store actions are present in the user-facing mobile interface.</t>
        </is>
      </c>
      <c r="AG280" s="29" t="inlineStr">
        <is>
          <t>Incomplete</t>
        </is>
      </c>
      <c r="AH280" s="29" t="inlineStr">
        <is>
          <t>No</t>
        </is>
      </c>
      <c r="AI280" s="29" t="inlineStr">
        <is>
          <t>No current data-convergence proof between Firestore and PostgreSQL; client-authoritative mutations remain reachable.</t>
        </is>
      </c>
      <c r="AJ280" s="29" t="inlineStr">
        <is>
          <t>Source traced</t>
        </is>
      </c>
      <c r="AK280" s="29" t="inlineStr">
        <is>
          <t>EV-RUN-0011;EV-TGT-ECON-001;EV-TGT-ECON-004;EV-TGT-ECON-006</t>
        </is>
      </c>
      <c r="AL280" s="29" t="inlineStr"/>
      <c r="AM280" s="29" t="inlineStr"/>
      <c r="AN280" s="29" t="inlineStr">
        <is>
          <t>2026-03-24</t>
        </is>
      </c>
      <c r="AO280" s="29" t="inlineStr">
        <is>
          <t>Build 2026032308; report dated 2026-03-24</t>
        </is>
      </c>
      <c r="AP280" s="29" t="inlineStr">
        <is>
          <t>High</t>
        </is>
      </c>
      <c r="AQ280" s="29" t="inlineStr">
        <is>
          <t>Not assessed</t>
        </is>
      </c>
      <c r="AR280" s="29" t="inlineStr">
        <is>
          <t>Fail</t>
        </is>
      </c>
      <c r="AS280" s="29" t="inlineStr">
        <is>
          <t>Not assessed</t>
        </is>
      </c>
      <c r="AT280" s="29" t="inlineStr">
        <is>
          <t>Not assessed</t>
        </is>
      </c>
      <c r="AU280" s="29" t="inlineStr">
        <is>
          <t>Not assessed</t>
        </is>
      </c>
      <c r="AV280" s="29" t="inlineStr">
        <is>
          <t>Not assessed</t>
        </is>
      </c>
      <c r="AW280" s="29" t="inlineStr">
        <is>
          <t>Not assessed</t>
        </is>
      </c>
      <c r="AX280" s="29" t="inlineStr">
        <is>
          <t>Fail</t>
        </is>
      </c>
      <c r="AY280" s="29" t="inlineStr">
        <is>
          <t>Not assessed</t>
        </is>
      </c>
      <c r="AZ280" s="29" t="inlineStr">
        <is>
          <t>Not assessed</t>
        </is>
      </c>
      <c r="BA280" s="29" t="inlineStr">
        <is>
          <t>Not assessed</t>
        </is>
      </c>
      <c r="BB280" s="29" t="inlineStr">
        <is>
          <t>Not assessed</t>
        </is>
      </c>
      <c r="BC280" s="29" t="inlineStr">
        <is>
          <t>Not assessed</t>
        </is>
      </c>
      <c r="BD280" s="29" t="inlineStr">
        <is>
          <t>Fail</t>
        </is>
      </c>
      <c r="BE280" s="29" t="inlineStr">
        <is>
          <t>Blocked</t>
        </is>
      </c>
      <c r="BF280" s="29" t="inlineStr">
        <is>
          <t>The feature is physically implemented, but the mobile Firestore economy and hosted PostgreSQL economy are conflicting authorities. Current executed transaction, store-verification, entitlement and reconciliation evidence is absent.</t>
        </is>
      </c>
      <c r="BG280" s="29" t="inlineStr">
        <is>
          <t>Wire the mobile UI exclusively to the selected server authority; remove client balance mutation; run provider-sandbox purchase, gift, idempotency, ledger, refund, reconciliation and recovery tests on the exact release candidate.</t>
        </is>
      </c>
      <c r="BH280" s="29" t="inlineStr"/>
      <c r="BI280" s="29" t="inlineStr"/>
      <c r="BJ280" s="29" t="inlineStr"/>
      <c r="BK280" s="29" t="inlineStr">
        <is>
          <t>Evidence reconciled against the reviewed source revision. No production approval is inferred from implementation or file presence.</t>
        </is>
      </c>
      <c r="BL280" s="29" t="inlineStr">
        <is>
          <t>2026-08-02</t>
        </is>
      </c>
    </row>
    <row r="281" ht="42" customHeight="1">
      <c r="A281" s="29" t="inlineStr">
        <is>
          <t>BLYP-14-024</t>
        </is>
      </c>
      <c r="B281" s="29" t="inlineStr"/>
      <c r="C281" s="29" t="inlineStr">
        <is>
          <t>Wallet, gifts, and earnings</t>
        </is>
      </c>
      <c r="D281" s="29" t="n">
        <v>14</v>
      </c>
      <c r="E281" s="29" t="n">
        <v>24</v>
      </c>
      <c r="F281" s="29" t="inlineStr">
        <is>
          <t>Feature</t>
        </is>
      </c>
      <c r="G281" s="29" t="inlineStr">
        <is>
          <t>Duplicate-transaction protection</t>
        </is>
      </c>
      <c r="H281" s="29" t="inlineStr">
        <is>
          <t>Duplicate-transaction protection</t>
        </is>
      </c>
      <c r="I281" s="29" t="inlineStr">
        <is>
          <t>/home/ubuntu/blyp_product_requirements.md :: Section 14 — Wallet, gifts, and earnings</t>
        </is>
      </c>
      <c r="J281" s="29" t="inlineStr">
        <is>
          <t>/home/ubuntu/BLYP_COMPLETE_FEATURE_LIST.md:360</t>
        </is>
      </c>
      <c r="K281" s="29" t="inlineStr">
        <is>
          <t>Required</t>
        </is>
      </c>
      <c r="L281" s="29" t="inlineStr">
        <is>
          <t>Authenticated creator or host</t>
        </is>
      </c>
      <c r="M281" s="29" t="inlineStr">
        <is>
          <t>BLYP mobile application and supporting production services</t>
        </is>
      </c>
      <c r="N281" s="29" t="inlineStr">
        <is>
          <t>Duplicate-transaction protection</t>
        </is>
      </c>
      <c r="O281" s="29" t="inlineStr">
        <is>
          <t>Not explicitly defined in the product source; requires accountable product approval before production sign-off.</t>
        </is>
      </c>
      <c r="P281" s="29" t="inlineStr"/>
      <c r="Q281" s="29" t="inlineStr">
        <is>
          <t>Yes</t>
        </is>
      </c>
      <c r="R281" s="29" t="inlineStr">
        <is>
          <t>idempotent backend foundations exist.</t>
        </is>
      </c>
      <c r="S281" s="29" t="inlineStr">
        <is>
          <t>Backend only</t>
        </is>
      </c>
      <c r="T281" s="29" t="inlineStr">
        <is>
          <t>No confirmed current mobile caller</t>
        </is>
      </c>
      <c r="U281" s="29" t="inlineStr">
        <is>
          <t>Not applicable to the backend control itself</t>
        </is>
      </c>
      <c r="V281" s="29" t="inlineStr">
        <is>
          <t>Current mobile economy bypasses this hosted path</t>
        </is>
      </c>
      <c r="W281" s="29" t="inlineStr">
        <is>
          <t>backend/blyp-live-service/src/economy/economyRoutes.ts; economyService.ts</t>
        </is>
      </c>
      <c r="X281" s="29" t="inlineStr">
        <is>
          <t>PostgreSQL wallets, ledger, gift_events and stream_earnings; Redis idempotency and throttling</t>
        </is>
      </c>
      <c r="Y281" s="29" t="inlineStr">
        <is>
          <t>Transactional row locks, idempotency keys, throttling and post-commit realtime emission</t>
        </is>
      </c>
      <c r="Z281" s="29" t="inlineStr">
        <is>
          <t>Firebase Firestore in the current mobile path; PostgreSQL, Redis, Cognito and Google Play verification in the separate hosted backend</t>
        </is>
      </c>
      <c r="AA281" s="29" t="inlineStr">
        <is>
          <t>Firebase mode and Firestore rules; hosted economy environment and app-version policy</t>
        </is>
      </c>
      <c r="AB281" s="29" t="inlineStr">
        <is>
          <t>blyp-live-service backend</t>
        </is>
      </c>
      <c r="AC281" s="30" t="inlineStr">
        <is>
          <t>RP-008;RP-009;RP-010</t>
        </is>
      </c>
      <c r="AD281" s="29" t="inlineStr">
        <is>
          <t>The hosted economy implements the control server-side, but the reviewed mobile wallet, store and gift UI still use client Firestore mutations.</t>
        </is>
      </c>
      <c r="AE281" s="29" t="inlineStr">
        <is>
          <t>Internally reachable</t>
        </is>
      </c>
      <c r="AF281" s="29" t="inlineStr">
        <is>
          <t>Mounted authenticated backend routes exist; a production mobile caller is not confirmed.</t>
        </is>
      </c>
      <c r="AG281" s="29" t="inlineStr">
        <is>
          <t>Incomplete</t>
        </is>
      </c>
      <c r="AH281" s="29" t="inlineStr">
        <is>
          <t>No</t>
        </is>
      </c>
      <c r="AI281" s="29" t="inlineStr">
        <is>
          <t>The control is bypassed by current client-authoritative economy code and has no current executed production-service evidence.</t>
        </is>
      </c>
      <c r="AJ281" s="29" t="inlineStr">
        <is>
          <t>Source traced</t>
        </is>
      </c>
      <c r="AK281" s="29" t="inlineStr">
        <is>
          <t>EV-TGT-ECON-004;EV-TGT-ECON-005;EV-TGT-ECON-006</t>
        </is>
      </c>
      <c r="AL281" s="29" t="inlineStr"/>
      <c r="AM281" s="29" t="inlineStr"/>
      <c r="AN281" s="29" t="inlineStr"/>
      <c r="AO281" s="29" t="inlineStr">
        <is>
          <t>8bc0dcb2a1da1b21368c5536aaeef829d587f316</t>
        </is>
      </c>
      <c r="AP281" s="29" t="inlineStr">
        <is>
          <t>High</t>
        </is>
      </c>
      <c r="AQ281" s="29" t="inlineStr">
        <is>
          <t>Not assessed</t>
        </is>
      </c>
      <c r="AR281" s="29" t="inlineStr">
        <is>
          <t>Fail</t>
        </is>
      </c>
      <c r="AS281" s="29" t="inlineStr">
        <is>
          <t>Not assessed</t>
        </is>
      </c>
      <c r="AT281" s="29" t="inlineStr">
        <is>
          <t>Not assessed</t>
        </is>
      </c>
      <c r="AU281" s="29" t="inlineStr">
        <is>
          <t>Not assessed</t>
        </is>
      </c>
      <c r="AV281" s="29" t="inlineStr">
        <is>
          <t>Not assessed</t>
        </is>
      </c>
      <c r="AW281" s="29" t="inlineStr">
        <is>
          <t>Not assessed</t>
        </is>
      </c>
      <c r="AX281" s="29" t="inlineStr">
        <is>
          <t>Fail</t>
        </is>
      </c>
      <c r="AY281" s="29" t="inlineStr">
        <is>
          <t>Not assessed</t>
        </is>
      </c>
      <c r="AZ281" s="29" t="inlineStr">
        <is>
          <t>Not assessed</t>
        </is>
      </c>
      <c r="BA281" s="29" t="inlineStr">
        <is>
          <t>Not assessed</t>
        </is>
      </c>
      <c r="BB281" s="29" t="inlineStr">
        <is>
          <t>Not assessed</t>
        </is>
      </c>
      <c r="BC281" s="29" t="inlineStr">
        <is>
          <t>Not assessed</t>
        </is>
      </c>
      <c r="BD281" s="29" t="inlineStr">
        <is>
          <t>Fail</t>
        </is>
      </c>
      <c r="BE281" s="29" t="inlineStr">
        <is>
          <t>Blocked</t>
        </is>
      </c>
      <c r="BF281" s="29" t="inlineStr">
        <is>
          <t>The feature is physically implemented, but the mobile Firestore economy and hosted PostgreSQL economy are conflicting authorities. Current executed transaction, store-verification, entitlement and reconciliation evidence is absent.</t>
        </is>
      </c>
      <c r="BG281" s="29" t="inlineStr">
        <is>
          <t>Wire the mobile UI exclusively to the selected server authority; remove client balance mutation; run provider-sandbox purchase, gift, idempotency, ledger, refund, reconciliation and recovery tests on the exact release candidate.</t>
        </is>
      </c>
      <c r="BH281" s="29" t="inlineStr"/>
      <c r="BI281" s="29" t="inlineStr"/>
      <c r="BJ281" s="29" t="inlineStr"/>
      <c r="BK281" s="29" t="inlineStr">
        <is>
          <t>Evidence reconciled against the reviewed source revision. No production approval is inferred from implementation or file presence.</t>
        </is>
      </c>
      <c r="BL281" s="29" t="inlineStr">
        <is>
          <t>2026-08-02</t>
        </is>
      </c>
    </row>
    <row r="282" ht="42" customHeight="1">
      <c r="A282" s="29" t="inlineStr">
        <is>
          <t>BLYP-14-025</t>
        </is>
      </c>
      <c r="B282" s="29" t="inlineStr"/>
      <c r="C282" s="29" t="inlineStr">
        <is>
          <t>Wallet, gifts, and earnings</t>
        </is>
      </c>
      <c r="D282" s="29" t="n">
        <v>14</v>
      </c>
      <c r="E282" s="29" t="n">
        <v>25</v>
      </c>
      <c r="F282" s="29" t="inlineStr">
        <is>
          <t>Feature</t>
        </is>
      </c>
      <c r="G282" s="29" t="inlineStr">
        <is>
          <t>Integer-safe economy calculations</t>
        </is>
      </c>
      <c r="H282" s="29" t="inlineStr">
        <is>
          <t>Integer-safe economy calculations</t>
        </is>
      </c>
      <c r="I282" s="29" t="inlineStr">
        <is>
          <t>/home/ubuntu/blyp_product_requirements.md :: Section 14 — Wallet, gifts, and earnings</t>
        </is>
      </c>
      <c r="J282" s="29" t="inlineStr">
        <is>
          <t>/home/ubuntu/BLYP_COMPLETE_FEATURE_LIST.md:361</t>
        </is>
      </c>
      <c r="K282" s="29" t="inlineStr">
        <is>
          <t>Required</t>
        </is>
      </c>
      <c r="L282" s="29" t="inlineStr">
        <is>
          <t>Authenticated creator or host</t>
        </is>
      </c>
      <c r="M282" s="29" t="inlineStr">
        <is>
          <t>BLYP mobile application and supporting production services</t>
        </is>
      </c>
      <c r="N282" s="29" t="inlineStr">
        <is>
          <t>Integer-safe economy calculations</t>
        </is>
      </c>
      <c r="O282" s="29" t="inlineStr">
        <is>
          <t>Not explicitly defined in the product source; requires accountable product approval before production sign-off.</t>
        </is>
      </c>
      <c r="P282" s="29" t="inlineStr"/>
      <c r="Q282" s="29" t="inlineStr">
        <is>
          <t>Yes</t>
        </is>
      </c>
      <c r="R282" s="29" t="inlineStr"/>
      <c r="S282" s="29" t="inlineStr">
        <is>
          <t>Backend only</t>
        </is>
      </c>
      <c r="T282" s="29" t="inlineStr">
        <is>
          <t>No confirmed current mobile caller</t>
        </is>
      </c>
      <c r="U282" s="29" t="inlineStr">
        <is>
          <t>Not applicable to the backend control itself</t>
        </is>
      </c>
      <c r="V282" s="29" t="inlineStr">
        <is>
          <t>Current mobile economy bypasses this hosted path</t>
        </is>
      </c>
      <c r="W282" s="29" t="inlineStr">
        <is>
          <t>backend/blyp-live-service/src/economy/economyRoutes.ts; economyService.ts</t>
        </is>
      </c>
      <c r="X282" s="29" t="inlineStr">
        <is>
          <t>PostgreSQL wallets, ledger, gift_events and stream_earnings; Redis idempotency and throttling</t>
        </is>
      </c>
      <c r="Y282" s="29" t="inlineStr">
        <is>
          <t>Transactional row locks, idempotency keys, throttling and post-commit realtime emission</t>
        </is>
      </c>
      <c r="Z282" s="29" t="inlineStr">
        <is>
          <t>Firebase Firestore in the current mobile path; PostgreSQL, Redis, Cognito and Google Play verification in the separate hosted backend</t>
        </is>
      </c>
      <c r="AA282" s="29" t="inlineStr">
        <is>
          <t>Firebase mode and Firestore rules; hosted economy environment and app-version policy</t>
        </is>
      </c>
      <c r="AB282" s="29" t="inlineStr">
        <is>
          <t>blyp-live-service backend</t>
        </is>
      </c>
      <c r="AC282" s="30" t="inlineStr">
        <is>
          <t>RP-008;RP-009;RP-010</t>
        </is>
      </c>
      <c r="AD282" s="29" t="inlineStr">
        <is>
          <t>The hosted economy implements the control server-side, but the reviewed mobile wallet, store and gift UI still use client Firestore mutations.</t>
        </is>
      </c>
      <c r="AE282" s="29" t="inlineStr">
        <is>
          <t>Internally reachable</t>
        </is>
      </c>
      <c r="AF282" s="29" t="inlineStr">
        <is>
          <t>Mounted authenticated backend routes exist; a production mobile caller is not confirmed.</t>
        </is>
      </c>
      <c r="AG282" s="29" t="inlineStr">
        <is>
          <t>Incomplete</t>
        </is>
      </c>
      <c r="AH282" s="29" t="inlineStr">
        <is>
          <t>No</t>
        </is>
      </c>
      <c r="AI282" s="29" t="inlineStr">
        <is>
          <t>The control is bypassed by current client-authoritative economy code and has no current executed production-service evidence.</t>
        </is>
      </c>
      <c r="AJ282" s="29" t="inlineStr">
        <is>
          <t>Source traced</t>
        </is>
      </c>
      <c r="AK282" s="29" t="inlineStr">
        <is>
          <t>EV-TGT-ECON-004;EV-TGT-ECON-005;EV-TGT-ECON-006</t>
        </is>
      </c>
      <c r="AL282" s="29" t="inlineStr"/>
      <c r="AM282" s="29" t="inlineStr"/>
      <c r="AN282" s="29" t="inlineStr"/>
      <c r="AO282" s="29" t="inlineStr">
        <is>
          <t>8bc0dcb2a1da1b21368c5536aaeef829d587f316</t>
        </is>
      </c>
      <c r="AP282" s="29" t="inlineStr">
        <is>
          <t>High</t>
        </is>
      </c>
      <c r="AQ282" s="29" t="inlineStr">
        <is>
          <t>Not assessed</t>
        </is>
      </c>
      <c r="AR282" s="29" t="inlineStr">
        <is>
          <t>Fail</t>
        </is>
      </c>
      <c r="AS282" s="29" t="inlineStr">
        <is>
          <t>Not assessed</t>
        </is>
      </c>
      <c r="AT282" s="29" t="inlineStr">
        <is>
          <t>Not assessed</t>
        </is>
      </c>
      <c r="AU282" s="29" t="inlineStr">
        <is>
          <t>Not assessed</t>
        </is>
      </c>
      <c r="AV282" s="29" t="inlineStr">
        <is>
          <t>Not assessed</t>
        </is>
      </c>
      <c r="AW282" s="29" t="inlineStr">
        <is>
          <t>Not assessed</t>
        </is>
      </c>
      <c r="AX282" s="29" t="inlineStr">
        <is>
          <t>Fail</t>
        </is>
      </c>
      <c r="AY282" s="29" t="inlineStr">
        <is>
          <t>Not assessed</t>
        </is>
      </c>
      <c r="AZ282" s="29" t="inlineStr">
        <is>
          <t>Not assessed</t>
        </is>
      </c>
      <c r="BA282" s="29" t="inlineStr">
        <is>
          <t>Not assessed</t>
        </is>
      </c>
      <c r="BB282" s="29" t="inlineStr">
        <is>
          <t>Not assessed</t>
        </is>
      </c>
      <c r="BC282" s="29" t="inlineStr">
        <is>
          <t>Not assessed</t>
        </is>
      </c>
      <c r="BD282" s="29" t="inlineStr">
        <is>
          <t>Fail</t>
        </is>
      </c>
      <c r="BE282" s="29" t="inlineStr">
        <is>
          <t>Blocked</t>
        </is>
      </c>
      <c r="BF282" s="29" t="inlineStr">
        <is>
          <t>The feature is physically implemented, but the mobile Firestore economy and hosted PostgreSQL economy are conflicting authorities. Current executed transaction, store-verification, entitlement and reconciliation evidence is absent.</t>
        </is>
      </c>
      <c r="BG282" s="29" t="inlineStr">
        <is>
          <t>Wire the mobile UI exclusively to the selected server authority; remove client balance mutation; run provider-sandbox purchase, gift, idempotency, ledger, refund, reconciliation and recovery tests on the exact release candidate.</t>
        </is>
      </c>
      <c r="BH282" s="29" t="inlineStr"/>
      <c r="BI282" s="29" t="inlineStr"/>
      <c r="BJ282" s="29" t="inlineStr"/>
      <c r="BK282" s="29" t="inlineStr">
        <is>
          <t>Evidence reconciled against the reviewed source revision. No production approval is inferred from implementation or file presence.</t>
        </is>
      </c>
      <c r="BL282" s="29" t="inlineStr">
        <is>
          <t>2026-08-02</t>
        </is>
      </c>
    </row>
    <row r="283" ht="42" customHeight="1">
      <c r="A283" s="29" t="inlineStr">
        <is>
          <t>BLYP-14-026</t>
        </is>
      </c>
      <c r="B283" s="29" t="inlineStr"/>
      <c r="C283" s="29" t="inlineStr">
        <is>
          <t>Wallet, gifts, and earnings</t>
        </is>
      </c>
      <c r="D283" s="29" t="n">
        <v>14</v>
      </c>
      <c r="E283" s="29" t="n">
        <v>26</v>
      </c>
      <c r="F283" s="29" t="inlineStr">
        <is>
          <t>Feature</t>
        </is>
      </c>
      <c r="G283" s="29" t="inlineStr">
        <is>
          <t>Server-backed ledger</t>
        </is>
      </c>
      <c r="H283" s="29" t="inlineStr">
        <is>
          <t>Server-backed ledger</t>
        </is>
      </c>
      <c r="I283" s="29" t="inlineStr">
        <is>
          <t>/home/ubuntu/blyp_product_requirements.md :: Section 14 — Wallet, gifts, and earnings</t>
        </is>
      </c>
      <c r="J283" s="29" t="inlineStr">
        <is>
          <t>/home/ubuntu/BLYP_COMPLETE_FEATURE_LIST.md:362</t>
        </is>
      </c>
      <c r="K283" s="29" t="inlineStr">
        <is>
          <t>Required</t>
        </is>
      </c>
      <c r="L283" s="29" t="inlineStr">
        <is>
          <t>Authenticated creator or host</t>
        </is>
      </c>
      <c r="M283" s="29" t="inlineStr">
        <is>
          <t>BLYP mobile application and supporting production services</t>
        </is>
      </c>
      <c r="N283" s="29" t="inlineStr">
        <is>
          <t>Server-backed ledger</t>
        </is>
      </c>
      <c r="O283" s="29" t="inlineStr">
        <is>
          <t>Not explicitly defined in the product source; requires accountable product approval before production sign-off.</t>
        </is>
      </c>
      <c r="P283" s="29" t="inlineStr"/>
      <c r="Q283" s="29" t="inlineStr">
        <is>
          <t>Yes</t>
        </is>
      </c>
      <c r="R283" s="29" t="inlineStr"/>
      <c r="S283" s="29" t="inlineStr">
        <is>
          <t>Backend only</t>
        </is>
      </c>
      <c r="T283" s="29" t="inlineStr">
        <is>
          <t>No confirmed current mobile caller</t>
        </is>
      </c>
      <c r="U283" s="29" t="inlineStr">
        <is>
          <t>Not applicable to the backend control itself</t>
        </is>
      </c>
      <c r="V283" s="29" t="inlineStr">
        <is>
          <t>Current mobile economy bypasses this hosted path</t>
        </is>
      </c>
      <c r="W283" s="29" t="inlineStr">
        <is>
          <t>backend/blyp-live-service/src/economy/economyRoutes.ts; economyService.ts</t>
        </is>
      </c>
      <c r="X283" s="29" t="inlineStr">
        <is>
          <t>PostgreSQL wallets, ledger, gift_events and stream_earnings; Redis idempotency and throttling</t>
        </is>
      </c>
      <c r="Y283" s="29" t="inlineStr">
        <is>
          <t>Transactional row locks, idempotency keys, throttling and post-commit realtime emission</t>
        </is>
      </c>
      <c r="Z283" s="29" t="inlineStr">
        <is>
          <t>Firebase Firestore in the current mobile path; PostgreSQL, Redis, Cognito and Google Play verification in the separate hosted backend</t>
        </is>
      </c>
      <c r="AA283" s="29" t="inlineStr">
        <is>
          <t>Firebase mode and Firestore rules; hosted economy environment and app-version policy</t>
        </is>
      </c>
      <c r="AB283" s="29" t="inlineStr">
        <is>
          <t>blyp-live-service backend</t>
        </is>
      </c>
      <c r="AC283" s="30" t="inlineStr">
        <is>
          <t>RP-008;RP-009;RP-010</t>
        </is>
      </c>
      <c r="AD283" s="29" t="inlineStr">
        <is>
          <t>The hosted economy implements the control server-side, but the reviewed mobile wallet, store and gift UI still use client Firestore mutations.</t>
        </is>
      </c>
      <c r="AE283" s="29" t="inlineStr">
        <is>
          <t>Internally reachable</t>
        </is>
      </c>
      <c r="AF283" s="29" t="inlineStr">
        <is>
          <t>Mounted authenticated backend routes exist; a production mobile caller is not confirmed.</t>
        </is>
      </c>
      <c r="AG283" s="29" t="inlineStr">
        <is>
          <t>Incomplete</t>
        </is>
      </c>
      <c r="AH283" s="29" t="inlineStr">
        <is>
          <t>No</t>
        </is>
      </c>
      <c r="AI283" s="29" t="inlineStr">
        <is>
          <t>The control is bypassed by current client-authoritative economy code and has no current executed production-service evidence.</t>
        </is>
      </c>
      <c r="AJ283" s="29" t="inlineStr">
        <is>
          <t>Source traced</t>
        </is>
      </c>
      <c r="AK283" s="29" t="inlineStr">
        <is>
          <t>EV-RUN-0010;EV-TGT-ECON-004;EV-TGT-ECON-005;EV-TGT-ECON-006</t>
        </is>
      </c>
      <c r="AL283" s="29" t="inlineStr"/>
      <c r="AM283" s="29" t="inlineStr"/>
      <c r="AN283" s="29" t="inlineStr">
        <is>
          <t>2026-03-15</t>
        </is>
      </c>
      <c r="AO283" s="29" t="inlineStr">
        <is>
          <t>Historical source cutover packet dated 2026-03-15</t>
        </is>
      </c>
      <c r="AP283" s="29" t="inlineStr">
        <is>
          <t>High</t>
        </is>
      </c>
      <c r="AQ283" s="29" t="inlineStr">
        <is>
          <t>Not assessed</t>
        </is>
      </c>
      <c r="AR283" s="29" t="inlineStr">
        <is>
          <t>Fail</t>
        </is>
      </c>
      <c r="AS283" s="29" t="inlineStr">
        <is>
          <t>Not assessed</t>
        </is>
      </c>
      <c r="AT283" s="29" t="inlineStr">
        <is>
          <t>Not assessed</t>
        </is>
      </c>
      <c r="AU283" s="29" t="inlineStr">
        <is>
          <t>Not assessed</t>
        </is>
      </c>
      <c r="AV283" s="29" t="inlineStr">
        <is>
          <t>Not assessed</t>
        </is>
      </c>
      <c r="AW283" s="29" t="inlineStr">
        <is>
          <t>Not assessed</t>
        </is>
      </c>
      <c r="AX283" s="29" t="inlineStr">
        <is>
          <t>Fail</t>
        </is>
      </c>
      <c r="AY283" s="29" t="inlineStr">
        <is>
          <t>Not assessed</t>
        </is>
      </c>
      <c r="AZ283" s="29" t="inlineStr">
        <is>
          <t>Not assessed</t>
        </is>
      </c>
      <c r="BA283" s="29" t="inlineStr">
        <is>
          <t>Not assessed</t>
        </is>
      </c>
      <c r="BB283" s="29" t="inlineStr">
        <is>
          <t>Not assessed</t>
        </is>
      </c>
      <c r="BC283" s="29" t="inlineStr">
        <is>
          <t>Not assessed</t>
        </is>
      </c>
      <c r="BD283" s="29" t="inlineStr">
        <is>
          <t>Fail</t>
        </is>
      </c>
      <c r="BE283" s="29" t="inlineStr">
        <is>
          <t>Blocked</t>
        </is>
      </c>
      <c r="BF283" s="29" t="inlineStr">
        <is>
          <t>The feature is physically implemented, but the mobile Firestore economy and hosted PostgreSQL economy are conflicting authorities. Current executed transaction, store-verification, entitlement and reconciliation evidence is absent.</t>
        </is>
      </c>
      <c r="BG283" s="29" t="inlineStr">
        <is>
          <t>Wire the mobile UI exclusively to the selected server authority; remove client balance mutation; run provider-sandbox purchase, gift, idempotency, ledger, refund, reconciliation and recovery tests on the exact release candidate.</t>
        </is>
      </c>
      <c r="BH283" s="29" t="inlineStr"/>
      <c r="BI283" s="29" t="inlineStr"/>
      <c r="BJ283" s="29" t="inlineStr"/>
      <c r="BK283" s="29" t="inlineStr">
        <is>
          <t>Evidence reconciled against the reviewed source revision. No production approval is inferred from implementation or file presence.</t>
        </is>
      </c>
      <c r="BL283" s="29" t="inlineStr">
        <is>
          <t>2026-08-02</t>
        </is>
      </c>
    </row>
    <row r="284" ht="42" customHeight="1">
      <c r="A284" s="29" t="inlineStr">
        <is>
          <t>BLYP-14-027</t>
        </is>
      </c>
      <c r="B284" s="29" t="inlineStr"/>
      <c r="C284" s="29" t="inlineStr">
        <is>
          <t>Wallet, gifts, and earnings</t>
        </is>
      </c>
      <c r="D284" s="29" t="n">
        <v>14</v>
      </c>
      <c r="E284" s="29" t="n">
        <v>27</v>
      </c>
      <c r="F284" s="29" t="inlineStr">
        <is>
          <t>Feature</t>
        </is>
      </c>
      <c r="G284" s="29" t="inlineStr">
        <is>
          <t>Anti-abuse gift throttling</t>
        </is>
      </c>
      <c r="H284" s="29" t="inlineStr">
        <is>
          <t>Anti-abuse gift throttling</t>
        </is>
      </c>
      <c r="I284" s="29" t="inlineStr">
        <is>
          <t>/home/ubuntu/blyp_product_requirements.md :: Section 14 — Wallet, gifts, and earnings</t>
        </is>
      </c>
      <c r="J284" s="29" t="inlineStr">
        <is>
          <t>/home/ubuntu/BLYP_COMPLETE_FEATURE_LIST.md:363</t>
        </is>
      </c>
      <c r="K284" s="29" t="inlineStr">
        <is>
          <t>Required</t>
        </is>
      </c>
      <c r="L284" s="29" t="inlineStr">
        <is>
          <t>Authenticated creator or host</t>
        </is>
      </c>
      <c r="M284" s="29" t="inlineStr">
        <is>
          <t>BLYP mobile application and supporting production services</t>
        </is>
      </c>
      <c r="N284" s="29" t="inlineStr">
        <is>
          <t>Anti-abuse gift throttling</t>
        </is>
      </c>
      <c r="O284" s="29" t="inlineStr">
        <is>
          <t>Not explicitly defined in the product source; requires accountable product approval before production sign-off.</t>
        </is>
      </c>
      <c r="P284" s="29" t="inlineStr"/>
      <c r="Q284" s="29" t="inlineStr">
        <is>
          <t>Yes</t>
        </is>
      </c>
      <c r="R284" s="29" t="inlineStr"/>
      <c r="S284" s="29" t="inlineStr">
        <is>
          <t>Backend only</t>
        </is>
      </c>
      <c r="T284" s="29" t="inlineStr">
        <is>
          <t>No confirmed current mobile caller</t>
        </is>
      </c>
      <c r="U284" s="29" t="inlineStr">
        <is>
          <t>Not applicable to the backend control itself</t>
        </is>
      </c>
      <c r="V284" s="29" t="inlineStr">
        <is>
          <t>Current mobile economy bypasses this hosted path</t>
        </is>
      </c>
      <c r="W284" s="29" t="inlineStr">
        <is>
          <t>backend/blyp-live-service/src/economy/economyRoutes.ts; economyService.ts</t>
        </is>
      </c>
      <c r="X284" s="29" t="inlineStr">
        <is>
          <t>PostgreSQL wallets, ledger, gift_events and stream_earnings; Redis idempotency and throttling</t>
        </is>
      </c>
      <c r="Y284" s="29" t="inlineStr">
        <is>
          <t>Transactional row locks, idempotency keys, throttling and post-commit realtime emission</t>
        </is>
      </c>
      <c r="Z284" s="29" t="inlineStr">
        <is>
          <t>Firebase Firestore in the current mobile path; PostgreSQL, Redis, Cognito and Google Play verification in the separate hosted backend</t>
        </is>
      </c>
      <c r="AA284" s="29" t="inlineStr">
        <is>
          <t>Firebase mode and Firestore rules; hosted economy environment and app-version policy</t>
        </is>
      </c>
      <c r="AB284" s="29" t="inlineStr">
        <is>
          <t>blyp-live-service backend</t>
        </is>
      </c>
      <c r="AC284" s="30" t="inlineStr">
        <is>
          <t>RP-008;RP-009;RP-010</t>
        </is>
      </c>
      <c r="AD284" s="29" t="inlineStr">
        <is>
          <t>The hosted economy implements the control server-side, but the reviewed mobile wallet, store and gift UI still use client Firestore mutations.</t>
        </is>
      </c>
      <c r="AE284" s="29" t="inlineStr">
        <is>
          <t>Internally reachable</t>
        </is>
      </c>
      <c r="AF284" s="29" t="inlineStr">
        <is>
          <t>Mounted authenticated backend routes exist; a production mobile caller is not confirmed.</t>
        </is>
      </c>
      <c r="AG284" s="29" t="inlineStr">
        <is>
          <t>Incomplete</t>
        </is>
      </c>
      <c r="AH284" s="29" t="inlineStr">
        <is>
          <t>No</t>
        </is>
      </c>
      <c r="AI284" s="29" t="inlineStr">
        <is>
          <t>The control is bypassed by current client-authoritative economy code and has no current executed production-service evidence.</t>
        </is>
      </c>
      <c r="AJ284" s="29" t="inlineStr">
        <is>
          <t>Source traced</t>
        </is>
      </c>
      <c r="AK284" s="29" t="inlineStr">
        <is>
          <t>EV-RUN-0010;EV-TGT-ECON-004;EV-TGT-ECON-005;EV-TGT-ECON-006</t>
        </is>
      </c>
      <c r="AL284" s="29" t="inlineStr"/>
      <c r="AM284" s="29" t="inlineStr"/>
      <c r="AN284" s="29" t="inlineStr">
        <is>
          <t>2026-03-15</t>
        </is>
      </c>
      <c r="AO284" s="29" t="inlineStr">
        <is>
          <t>Historical source cutover packet dated 2026-03-15</t>
        </is>
      </c>
      <c r="AP284" s="29" t="inlineStr">
        <is>
          <t>High</t>
        </is>
      </c>
      <c r="AQ284" s="29" t="inlineStr">
        <is>
          <t>Not assessed</t>
        </is>
      </c>
      <c r="AR284" s="29" t="inlineStr">
        <is>
          <t>Fail</t>
        </is>
      </c>
      <c r="AS284" s="29" t="inlineStr">
        <is>
          <t>Not assessed</t>
        </is>
      </c>
      <c r="AT284" s="29" t="inlineStr">
        <is>
          <t>Not assessed</t>
        </is>
      </c>
      <c r="AU284" s="29" t="inlineStr">
        <is>
          <t>Not assessed</t>
        </is>
      </c>
      <c r="AV284" s="29" t="inlineStr">
        <is>
          <t>Not assessed</t>
        </is>
      </c>
      <c r="AW284" s="29" t="inlineStr">
        <is>
          <t>Not assessed</t>
        </is>
      </c>
      <c r="AX284" s="29" t="inlineStr">
        <is>
          <t>Fail</t>
        </is>
      </c>
      <c r="AY284" s="29" t="inlineStr">
        <is>
          <t>Not assessed</t>
        </is>
      </c>
      <c r="AZ284" s="29" t="inlineStr">
        <is>
          <t>Not assessed</t>
        </is>
      </c>
      <c r="BA284" s="29" t="inlineStr">
        <is>
          <t>Not assessed</t>
        </is>
      </c>
      <c r="BB284" s="29" t="inlineStr">
        <is>
          <t>Not assessed</t>
        </is>
      </c>
      <c r="BC284" s="29" t="inlineStr">
        <is>
          <t>Not assessed</t>
        </is>
      </c>
      <c r="BD284" s="29" t="inlineStr">
        <is>
          <t>Fail</t>
        </is>
      </c>
      <c r="BE284" s="29" t="inlineStr">
        <is>
          <t>Blocked</t>
        </is>
      </c>
      <c r="BF284" s="29" t="inlineStr">
        <is>
          <t>The feature is physically implemented, but the mobile Firestore economy and hosted PostgreSQL economy are conflicting authorities. Current executed transaction, store-verification, entitlement and reconciliation evidence is absent.</t>
        </is>
      </c>
      <c r="BG284" s="29" t="inlineStr">
        <is>
          <t>Wire the mobile UI exclusively to the selected server authority; remove client balance mutation; run provider-sandbox purchase, gift, idempotency, ledger, refund, reconciliation and recovery tests on the exact release candidate.</t>
        </is>
      </c>
      <c r="BH284" s="29" t="inlineStr"/>
      <c r="BI284" s="29" t="inlineStr"/>
      <c r="BJ284" s="29" t="inlineStr"/>
      <c r="BK284" s="29" t="inlineStr">
        <is>
          <t>Evidence reconciled against the reviewed source revision. No production approval is inferred from implementation or file presence.</t>
        </is>
      </c>
      <c r="BL284" s="29" t="inlineStr">
        <is>
          <t>2026-08-02</t>
        </is>
      </c>
    </row>
    <row r="285" ht="42" customHeight="1">
      <c r="A285" s="29" t="inlineStr">
        <is>
          <t>BLYP-14-028</t>
        </is>
      </c>
      <c r="B285" s="29" t="inlineStr"/>
      <c r="C285" s="29" t="inlineStr">
        <is>
          <t>Wallet, gifts, and earnings</t>
        </is>
      </c>
      <c r="D285" s="29" t="n">
        <v>14</v>
      </c>
      <c r="E285" s="29" t="n">
        <v>28</v>
      </c>
      <c r="F285" s="29" t="inlineStr">
        <is>
          <t>Operational requirement</t>
        </is>
      </c>
      <c r="G285" s="29" t="inlineStr">
        <is>
          <t>Full anti-fraud operations</t>
        </is>
      </c>
      <c r="H285" s="29" t="inlineStr">
        <is>
          <t>Full anti-fraud operations</t>
        </is>
      </c>
      <c r="I285" s="29" t="inlineStr">
        <is>
          <t>/home/ubuntu/blyp_product_requirements.md :: Section 14 — Wallet, gifts, and earnings</t>
        </is>
      </c>
      <c r="J285" s="29" t="inlineStr">
        <is>
          <t>/home/ubuntu/BLYP_COMPLETE_FEATURE_LIST.md:364</t>
        </is>
      </c>
      <c r="K285" s="29" t="inlineStr">
        <is>
          <t>Required</t>
        </is>
      </c>
      <c r="L285" s="29" t="inlineStr">
        <is>
          <t>Authorized operator or accountable service owner</t>
        </is>
      </c>
      <c r="M285" s="29" t="inlineStr">
        <is>
          <t>Production platform and operations</t>
        </is>
      </c>
      <c r="N285" s="29" t="inlineStr">
        <is>
          <t>Full anti-fraud operations</t>
        </is>
      </c>
      <c r="O285" s="29" t="inlineStr">
        <is>
          <t>Not explicitly defined in the product source; requires accountable product approval before production sign-off.</t>
        </is>
      </c>
      <c r="P285" s="29" t="inlineStr"/>
      <c r="Q285" s="29" t="inlineStr">
        <is>
          <t>No evidence</t>
        </is>
      </c>
      <c r="R285" s="29" t="inlineStr"/>
      <c r="S285" s="29" t="inlineStr">
        <is>
          <t>Not found</t>
        </is>
      </c>
      <c r="T285" s="29" t="inlineStr"/>
      <c r="U285" s="29" t="inlineStr"/>
      <c r="V285" s="29" t="inlineStr"/>
      <c r="W285" s="29" t="inlineStr"/>
      <c r="X285" s="29" t="inlineStr"/>
      <c r="Y285" s="29" t="inlineStr"/>
      <c r="Z285" s="29" t="inlineStr">
        <is>
          <t>Firebase Firestore in the current mobile path; PostgreSQL, Redis, Cognito and Google Play verification in the separate hosted backend</t>
        </is>
      </c>
      <c r="AA285" s="29" t="inlineStr">
        <is>
          <t>Firebase mode and Firestore rules; hosted economy environment and app-version policy</t>
        </is>
      </c>
      <c r="AB285" s="29" t="inlineStr"/>
      <c r="AC285" s="29" t="inlineStr"/>
      <c r="AD285" s="29" t="inlineStr"/>
      <c r="AE285" s="29" t="inlineStr">
        <is>
          <t>Unknown</t>
        </is>
      </c>
      <c r="AF285" s="29" t="inlineStr"/>
      <c r="AG285" s="29" t="inlineStr">
        <is>
          <t>Not started</t>
        </is>
      </c>
      <c r="AH285" s="29" t="inlineStr">
        <is>
          <t>No</t>
        </is>
      </c>
      <c r="AI285" s="29" t="inlineStr">
        <is>
          <t>No direct implementation and executed operational evidence was found for this requirement.</t>
        </is>
      </c>
      <c r="AJ285" s="29" t="inlineStr">
        <is>
          <t>Not verified</t>
        </is>
      </c>
      <c r="AK285" s="29" t="inlineStr"/>
      <c r="AL285" s="29" t="inlineStr"/>
      <c r="AM285" s="29" t="inlineStr"/>
      <c r="AN285" s="29" t="inlineStr"/>
      <c r="AO285" s="29" t="inlineStr">
        <is>
          <t>8bc0dcb2a1da1b21368c5536aaeef829d587f316</t>
        </is>
      </c>
      <c r="AP285" s="29" t="inlineStr">
        <is>
          <t>High</t>
        </is>
      </c>
      <c r="AQ285" s="29" t="inlineStr">
        <is>
          <t>Not assessed</t>
        </is>
      </c>
      <c r="AR285" s="29" t="inlineStr">
        <is>
          <t>Fail</t>
        </is>
      </c>
      <c r="AS285" s="29" t="inlineStr">
        <is>
          <t>Not assessed</t>
        </is>
      </c>
      <c r="AT285" s="29" t="inlineStr">
        <is>
          <t>Not assessed</t>
        </is>
      </c>
      <c r="AU285" s="29" t="inlineStr">
        <is>
          <t>Not assessed</t>
        </is>
      </c>
      <c r="AV285" s="29" t="inlineStr">
        <is>
          <t>Not assessed</t>
        </is>
      </c>
      <c r="AW285" s="29" t="inlineStr">
        <is>
          <t>Not assessed</t>
        </is>
      </c>
      <c r="AX285" s="29" t="inlineStr">
        <is>
          <t>Fail</t>
        </is>
      </c>
      <c r="AY285" s="29" t="inlineStr">
        <is>
          <t>Not assessed</t>
        </is>
      </c>
      <c r="AZ285" s="29" t="inlineStr">
        <is>
          <t>Not assessed</t>
        </is>
      </c>
      <c r="BA285" s="29" t="inlineStr">
        <is>
          <t>Not assessed</t>
        </is>
      </c>
      <c r="BB285" s="29" t="inlineStr">
        <is>
          <t>Not assessed</t>
        </is>
      </c>
      <c r="BC285" s="29" t="inlineStr">
        <is>
          <t>Not assessed</t>
        </is>
      </c>
      <c r="BD285" s="29" t="inlineStr">
        <is>
          <t>Fail</t>
        </is>
      </c>
      <c r="BE285" s="29" t="inlineStr">
        <is>
          <t>Development required</t>
        </is>
      </c>
      <c r="BF285" s="29" t="inlineStr">
        <is>
          <t>The required operational capability was not found and the economy authorities remain unresolved.</t>
        </is>
      </c>
      <c r="BG285" s="29" t="inlineStr">
        <is>
          <t>Wire the mobile UI exclusively to the selected server authority; remove client balance mutation; run provider-sandbox purchase, gift, idempotency, ledger, refund, reconciliation and recovery tests on the exact release candidate.</t>
        </is>
      </c>
      <c r="BH285" s="29" t="inlineStr"/>
      <c r="BI285" s="29" t="inlineStr"/>
      <c r="BJ285" s="29" t="inlineStr"/>
      <c r="BK285" s="29" t="inlineStr">
        <is>
          <t>Evidence reconciled against the reviewed source revision. No production approval is inferred from implementation or file presence.</t>
        </is>
      </c>
      <c r="BL285" s="29" t="inlineStr">
        <is>
          <t>2026-08-02</t>
        </is>
      </c>
    </row>
    <row r="286" ht="42" customHeight="1">
      <c r="A286" s="29" t="inlineStr">
        <is>
          <t>BLYP-14-029</t>
        </is>
      </c>
      <c r="B286" s="29" t="inlineStr"/>
      <c r="C286" s="29" t="inlineStr">
        <is>
          <t>Wallet, gifts, and earnings</t>
        </is>
      </c>
      <c r="D286" s="29" t="n">
        <v>14</v>
      </c>
      <c r="E286" s="29" t="n">
        <v>29</v>
      </c>
      <c r="F286" s="29" t="inlineStr">
        <is>
          <t>Feature</t>
        </is>
      </c>
      <c r="G286" s="29" t="inlineStr">
        <is>
          <t>Refunds and disputes</t>
        </is>
      </c>
      <c r="H286" s="29" t="inlineStr">
        <is>
          <t>Refunds and disputes</t>
        </is>
      </c>
      <c r="I286" s="29" t="inlineStr">
        <is>
          <t>/home/ubuntu/blyp_product_requirements.md :: Section 14 — Wallet, gifts, and earnings</t>
        </is>
      </c>
      <c r="J286" s="29" t="inlineStr">
        <is>
          <t>/home/ubuntu/BLYP_COMPLETE_FEATURE_LIST.md:365</t>
        </is>
      </c>
      <c r="K286" s="29" t="inlineStr">
        <is>
          <t>Required</t>
        </is>
      </c>
      <c r="L286" s="29" t="inlineStr">
        <is>
          <t>Authenticated creator or host</t>
        </is>
      </c>
      <c r="M286" s="29" t="inlineStr">
        <is>
          <t>BLYP mobile application and supporting production services</t>
        </is>
      </c>
      <c r="N286" s="29" t="inlineStr">
        <is>
          <t>Refunds and disputes</t>
        </is>
      </c>
      <c r="O286" s="29" t="inlineStr">
        <is>
          <t>Not explicitly defined in the product source; requires accountable product approval before production sign-off.</t>
        </is>
      </c>
      <c r="P286" s="29" t="inlineStr"/>
      <c r="Q286" s="29" t="inlineStr">
        <is>
          <t>No evidence</t>
        </is>
      </c>
      <c r="R286" s="29" t="inlineStr"/>
      <c r="S286" s="29" t="inlineStr">
        <is>
          <t>Not found</t>
        </is>
      </c>
      <c r="T286" s="29" t="inlineStr"/>
      <c r="U286" s="29" t="inlineStr"/>
      <c r="V286" s="29" t="inlineStr"/>
      <c r="W286" s="29" t="inlineStr"/>
      <c r="X286" s="29" t="inlineStr"/>
      <c r="Y286" s="29" t="inlineStr"/>
      <c r="Z286" s="29" t="inlineStr">
        <is>
          <t>Firebase Firestore in the current mobile path; PostgreSQL, Redis, Cognito and Google Play verification in the separate hosted backend</t>
        </is>
      </c>
      <c r="AA286" s="29" t="inlineStr">
        <is>
          <t>Firebase mode and Firestore rules; hosted economy environment and app-version policy</t>
        </is>
      </c>
      <c r="AB286" s="29" t="inlineStr"/>
      <c r="AC286" s="29" t="inlineStr"/>
      <c r="AD286" s="29" t="inlineStr"/>
      <c r="AE286" s="29" t="inlineStr">
        <is>
          <t>Unknown</t>
        </is>
      </c>
      <c r="AF286" s="29" t="inlineStr"/>
      <c r="AG286" s="29" t="inlineStr">
        <is>
          <t>Not started</t>
        </is>
      </c>
      <c r="AH286" s="29" t="inlineStr">
        <is>
          <t>No</t>
        </is>
      </c>
      <c r="AI286" s="29" t="inlineStr">
        <is>
          <t>No direct implementation and executed operational evidence was found for this requirement.</t>
        </is>
      </c>
      <c r="AJ286" s="29" t="inlineStr">
        <is>
          <t>Not verified</t>
        </is>
      </c>
      <c r="AK286" s="29" t="inlineStr"/>
      <c r="AL286" s="29" t="inlineStr"/>
      <c r="AM286" s="29" t="inlineStr"/>
      <c r="AN286" s="29" t="inlineStr"/>
      <c r="AO286" s="29" t="inlineStr">
        <is>
          <t>8bc0dcb2a1da1b21368c5536aaeef829d587f316</t>
        </is>
      </c>
      <c r="AP286" s="29" t="inlineStr">
        <is>
          <t>High</t>
        </is>
      </c>
      <c r="AQ286" s="29" t="inlineStr">
        <is>
          <t>Not assessed</t>
        </is>
      </c>
      <c r="AR286" s="29" t="inlineStr">
        <is>
          <t>Fail</t>
        </is>
      </c>
      <c r="AS286" s="29" t="inlineStr">
        <is>
          <t>Not assessed</t>
        </is>
      </c>
      <c r="AT286" s="29" t="inlineStr">
        <is>
          <t>Not assessed</t>
        </is>
      </c>
      <c r="AU286" s="29" t="inlineStr">
        <is>
          <t>Not assessed</t>
        </is>
      </c>
      <c r="AV286" s="29" t="inlineStr">
        <is>
          <t>Not assessed</t>
        </is>
      </c>
      <c r="AW286" s="29" t="inlineStr">
        <is>
          <t>Not assessed</t>
        </is>
      </c>
      <c r="AX286" s="29" t="inlineStr">
        <is>
          <t>Fail</t>
        </is>
      </c>
      <c r="AY286" s="29" t="inlineStr">
        <is>
          <t>Not assessed</t>
        </is>
      </c>
      <c r="AZ286" s="29" t="inlineStr">
        <is>
          <t>Not assessed</t>
        </is>
      </c>
      <c r="BA286" s="29" t="inlineStr">
        <is>
          <t>Not assessed</t>
        </is>
      </c>
      <c r="BB286" s="29" t="inlineStr">
        <is>
          <t>Not assessed</t>
        </is>
      </c>
      <c r="BC286" s="29" t="inlineStr">
        <is>
          <t>Not assessed</t>
        </is>
      </c>
      <c r="BD286" s="29" t="inlineStr">
        <is>
          <t>Fail</t>
        </is>
      </c>
      <c r="BE286" s="29" t="inlineStr">
        <is>
          <t>Development required</t>
        </is>
      </c>
      <c r="BF286" s="29" t="inlineStr">
        <is>
          <t>The required operational capability was not found and the economy authorities remain unresolved.</t>
        </is>
      </c>
      <c r="BG286" s="29" t="inlineStr">
        <is>
          <t>Wire the mobile UI exclusively to the selected server authority; remove client balance mutation; run provider-sandbox purchase, gift, idempotency, ledger, refund, reconciliation and recovery tests on the exact release candidate.</t>
        </is>
      </c>
      <c r="BH286" s="29" t="inlineStr"/>
      <c r="BI286" s="29" t="inlineStr"/>
      <c r="BJ286" s="29" t="inlineStr"/>
      <c r="BK286" s="29" t="inlineStr">
        <is>
          <t>Evidence reconciled against the reviewed source revision. No production approval is inferred from implementation or file presence.</t>
        </is>
      </c>
      <c r="BL286" s="29" t="inlineStr">
        <is>
          <t>2026-08-02</t>
        </is>
      </c>
    </row>
    <row r="287" ht="42" customHeight="1">
      <c r="A287" s="29" t="inlineStr">
        <is>
          <t>BLYP-14-030</t>
        </is>
      </c>
      <c r="B287" s="29" t="inlineStr"/>
      <c r="C287" s="29" t="inlineStr">
        <is>
          <t>Wallet, gifts, and earnings</t>
        </is>
      </c>
      <c r="D287" s="29" t="n">
        <v>14</v>
      </c>
      <c r="E287" s="29" t="n">
        <v>30</v>
      </c>
      <c r="F287" s="29" t="inlineStr">
        <is>
          <t>Operational requirement</t>
        </is>
      </c>
      <c r="G287" s="29" t="inlineStr">
        <is>
          <t>Reconciliation</t>
        </is>
      </c>
      <c r="H287" s="29" t="inlineStr">
        <is>
          <t>Reconciliation</t>
        </is>
      </c>
      <c r="I287" s="29" t="inlineStr">
        <is>
          <t>/home/ubuntu/blyp_product_requirements.md :: Section 14 — Wallet, gifts, and earnings</t>
        </is>
      </c>
      <c r="J287" s="29" t="inlineStr">
        <is>
          <t>/home/ubuntu/BLYP_COMPLETE_FEATURE_LIST.md:366</t>
        </is>
      </c>
      <c r="K287" s="29" t="inlineStr">
        <is>
          <t>Required</t>
        </is>
      </c>
      <c r="L287" s="29" t="inlineStr">
        <is>
          <t>Authorized operator or accountable service owner</t>
        </is>
      </c>
      <c r="M287" s="29" t="inlineStr">
        <is>
          <t>Production platform and operations</t>
        </is>
      </c>
      <c r="N287" s="29" t="inlineStr">
        <is>
          <t>Reconciliation</t>
        </is>
      </c>
      <c r="O287" s="29" t="inlineStr">
        <is>
          <t>Not explicitly defined in the product source; requires accountable product approval before production sign-off.</t>
        </is>
      </c>
      <c r="P287" s="29" t="inlineStr"/>
      <c r="Q287" s="29" t="inlineStr">
        <is>
          <t>No evidence</t>
        </is>
      </c>
      <c r="R287" s="29" t="inlineStr"/>
      <c r="S287" s="29" t="inlineStr">
        <is>
          <t>Not found</t>
        </is>
      </c>
      <c r="T287" s="29" t="inlineStr"/>
      <c r="U287" s="29" t="inlineStr"/>
      <c r="V287" s="29" t="inlineStr"/>
      <c r="W287" s="29" t="inlineStr"/>
      <c r="X287" s="29" t="inlineStr"/>
      <c r="Y287" s="29" t="inlineStr"/>
      <c r="Z287" s="29" t="inlineStr">
        <is>
          <t>Firebase Firestore in the current mobile path; PostgreSQL, Redis, Cognito and Google Play verification in the separate hosted backend</t>
        </is>
      </c>
      <c r="AA287" s="29" t="inlineStr">
        <is>
          <t>Firebase mode and Firestore rules; hosted economy environment and app-version policy</t>
        </is>
      </c>
      <c r="AB287" s="29" t="inlineStr"/>
      <c r="AC287" s="29" t="inlineStr"/>
      <c r="AD287" s="29" t="inlineStr"/>
      <c r="AE287" s="29" t="inlineStr">
        <is>
          <t>Unknown</t>
        </is>
      </c>
      <c r="AF287" s="29" t="inlineStr"/>
      <c r="AG287" s="29" t="inlineStr">
        <is>
          <t>Not started</t>
        </is>
      </c>
      <c r="AH287" s="29" t="inlineStr">
        <is>
          <t>No</t>
        </is>
      </c>
      <c r="AI287" s="29" t="inlineStr">
        <is>
          <t>No direct implementation and executed operational evidence was found for this requirement.</t>
        </is>
      </c>
      <c r="AJ287" s="29" t="inlineStr">
        <is>
          <t>Not verified</t>
        </is>
      </c>
      <c r="AK287" s="29" t="inlineStr"/>
      <c r="AL287" s="29" t="inlineStr"/>
      <c r="AM287" s="29" t="inlineStr"/>
      <c r="AN287" s="29" t="inlineStr"/>
      <c r="AO287" s="29" t="inlineStr">
        <is>
          <t>8bc0dcb2a1da1b21368c5536aaeef829d587f316</t>
        </is>
      </c>
      <c r="AP287" s="29" t="inlineStr">
        <is>
          <t>High</t>
        </is>
      </c>
      <c r="AQ287" s="29" t="inlineStr">
        <is>
          <t>Not assessed</t>
        </is>
      </c>
      <c r="AR287" s="29" t="inlineStr">
        <is>
          <t>Fail</t>
        </is>
      </c>
      <c r="AS287" s="29" t="inlineStr">
        <is>
          <t>Not assessed</t>
        </is>
      </c>
      <c r="AT287" s="29" t="inlineStr">
        <is>
          <t>Not assessed</t>
        </is>
      </c>
      <c r="AU287" s="29" t="inlineStr">
        <is>
          <t>Not assessed</t>
        </is>
      </c>
      <c r="AV287" s="29" t="inlineStr">
        <is>
          <t>Not assessed</t>
        </is>
      </c>
      <c r="AW287" s="29" t="inlineStr">
        <is>
          <t>Not assessed</t>
        </is>
      </c>
      <c r="AX287" s="29" t="inlineStr">
        <is>
          <t>Fail</t>
        </is>
      </c>
      <c r="AY287" s="29" t="inlineStr">
        <is>
          <t>Not assessed</t>
        </is>
      </c>
      <c r="AZ287" s="29" t="inlineStr">
        <is>
          <t>Not assessed</t>
        </is>
      </c>
      <c r="BA287" s="29" t="inlineStr">
        <is>
          <t>Not assessed</t>
        </is>
      </c>
      <c r="BB287" s="29" t="inlineStr">
        <is>
          <t>Not assessed</t>
        </is>
      </c>
      <c r="BC287" s="29" t="inlineStr">
        <is>
          <t>Not assessed</t>
        </is>
      </c>
      <c r="BD287" s="29" t="inlineStr">
        <is>
          <t>Fail</t>
        </is>
      </c>
      <c r="BE287" s="29" t="inlineStr">
        <is>
          <t>Development required</t>
        </is>
      </c>
      <c r="BF287" s="29" t="inlineStr">
        <is>
          <t>The required operational capability was not found and the economy authorities remain unresolved.</t>
        </is>
      </c>
      <c r="BG287" s="29" t="inlineStr">
        <is>
          <t>Wire the mobile UI exclusively to the selected server authority; remove client balance mutation; run provider-sandbox purchase, gift, idempotency, ledger, refund, reconciliation and recovery tests on the exact release candidate.</t>
        </is>
      </c>
      <c r="BH287" s="29" t="inlineStr"/>
      <c r="BI287" s="29" t="inlineStr"/>
      <c r="BJ287" s="29" t="inlineStr"/>
      <c r="BK287" s="29" t="inlineStr">
        <is>
          <t>Evidence reconciled against the reviewed source revision. No production approval is inferred from implementation or file presence.</t>
        </is>
      </c>
      <c r="BL287" s="29" t="inlineStr">
        <is>
          <t>2026-08-02</t>
        </is>
      </c>
    </row>
    <row r="288" ht="42" customHeight="1">
      <c r="A288" s="29" t="inlineStr">
        <is>
          <t>BLYP-14-031</t>
        </is>
      </c>
      <c r="B288" s="29" t="inlineStr"/>
      <c r="C288" s="29" t="inlineStr">
        <is>
          <t>Wallet, gifts, and earnings</t>
        </is>
      </c>
      <c r="D288" s="29" t="n">
        <v>14</v>
      </c>
      <c r="E288" s="29" t="n">
        <v>31</v>
      </c>
      <c r="F288" s="29" t="inlineStr">
        <is>
          <t>Feature</t>
        </is>
      </c>
      <c r="G288" s="29" t="inlineStr">
        <is>
          <t>Auditable communal-room gift totals</t>
        </is>
      </c>
      <c r="H288" s="29" t="inlineStr">
        <is>
          <t>Auditable communal-room gift totals</t>
        </is>
      </c>
      <c r="I288" s="29" t="inlineStr">
        <is>
          <t>/home/ubuntu/blyp_product_requirements.md :: Section 14 — Wallet, gifts, and earnings</t>
        </is>
      </c>
      <c r="J288" s="29" t="inlineStr">
        <is>
          <t>/home/ubuntu/BLYP_COMPLETE_FEATURE_LIST.md:367</t>
        </is>
      </c>
      <c r="K288" s="29" t="inlineStr">
        <is>
          <t>Required</t>
        </is>
      </c>
      <c r="L288" s="29" t="inlineStr">
        <is>
          <t>Authenticated creator or host</t>
        </is>
      </c>
      <c r="M288" s="29" t="inlineStr">
        <is>
          <t>BLYP mobile application and supporting production services</t>
        </is>
      </c>
      <c r="N288" s="29" t="inlineStr">
        <is>
          <t>Auditable communal-room gift totals</t>
        </is>
      </c>
      <c r="O288" s="29" t="inlineStr">
        <is>
          <t>Not explicitly defined in the product source; requires accountable product approval before production sign-off.</t>
        </is>
      </c>
      <c r="P288" s="29" t="inlineStr"/>
      <c r="Q288" s="29" t="inlineStr">
        <is>
          <t>Partial</t>
        </is>
      </c>
      <c r="R288" s="29" t="inlineStr"/>
      <c r="S288" s="29" t="inlineStr">
        <is>
          <t>Conflicting implementations</t>
        </is>
      </c>
      <c r="T288" s="29" t="inlineStr">
        <is>
          <t>Feed gift action -&gt; src/components/GiftSystem.js -&gt; BlypCoinService.sendGift</t>
        </is>
      </c>
      <c r="U288" s="29" t="inlineStr">
        <is>
          <t>src/components/GiftSystem.js; src/screens/HomeScreen.js</t>
        </is>
      </c>
      <c r="V288" s="29" t="inlineStr">
        <is>
          <t>src/services/BlypCoinService.js</t>
        </is>
      </c>
      <c r="W288" s="29" t="inlineStr">
        <is>
          <t>POST /gift/send and economyService.sendGift exist separately from the current mobile Firestore call</t>
        </is>
      </c>
      <c r="X288" s="29" t="inlineStr">
        <is>
          <t>Current mobile: Firestore wallets, gifts and transactions; hosted backend: PostgreSQL wallets, gift_events, ledger and stream_earnings</t>
        </is>
      </c>
      <c r="Y288" s="29" t="inlineStr">
        <is>
          <t>Firestore transaction and balance snapshot; hosted Redis idempotency/throttle and post-commit realtime event</t>
        </is>
      </c>
      <c r="Z288" s="29" t="inlineStr">
        <is>
          <t>Firebase Firestore in the current mobile path; PostgreSQL, Redis, Cognito and Google Play verification in the separate hosted backend</t>
        </is>
      </c>
      <c r="AA288" s="29" t="inlineStr">
        <is>
          <t>Firebase mode and Firestore rules; hosted economy environment and app-version policy</t>
        </is>
      </c>
      <c r="AB288" s="29" t="inlineStr">
        <is>
          <t>Expo mobile client, Firebase managed services and separate blyp-live-service backend</t>
        </is>
      </c>
      <c r="AC288" s="30" t="inlineStr">
        <is>
          <t>RP-017;RP-008</t>
        </is>
      </c>
      <c r="AD288" s="29" t="inlineStr">
        <is>
          <t>The visible feed gift picker confirms and calls a client Firestore transaction that debits the sender, credits 70% to the receiver and writes gift and transaction rows. A stronger hosted transactional gift service exists separately but is not the confirmed caller.</t>
        </is>
      </c>
      <c r="AE288" s="29" t="inlineStr">
        <is>
          <t>User reachable</t>
        </is>
      </c>
      <c r="AF288" s="29" t="inlineStr">
        <is>
          <t>GiftSystem is mounted on feed items and presents a balance, catalogue, confirmation and send action.</t>
        </is>
      </c>
      <c r="AG288" s="29" t="inlineStr">
        <is>
          <t>Incomplete</t>
        </is>
      </c>
      <c r="AH288" s="29" t="inlineStr">
        <is>
          <t>No</t>
        </is>
      </c>
      <c r="AI288" s="29" t="inlineStr">
        <is>
          <t>No current executed gift and balance-reconciliation proof; current UI bypasses the hosted authority; live-specific overlay and communal-total behaviour require separate observation.</t>
        </is>
      </c>
      <c r="AJ288" s="29" t="inlineStr">
        <is>
          <t>Source traced</t>
        </is>
      </c>
      <c r="AK288" s="29" t="inlineStr">
        <is>
          <t>EV-TGT-ECON-001;EV-TGT-ECON-002;EV-TGT-ECON-005;EV-TGT-ECON-006</t>
        </is>
      </c>
      <c r="AL288" s="29" t="inlineStr"/>
      <c r="AM288" s="29" t="inlineStr"/>
      <c r="AN288" s="29" t="inlineStr"/>
      <c r="AO288" s="29" t="inlineStr">
        <is>
          <t>8bc0dcb2a1da1b21368c5536aaeef829d587f316</t>
        </is>
      </c>
      <c r="AP288" s="29" t="inlineStr">
        <is>
          <t>High</t>
        </is>
      </c>
      <c r="AQ288" s="29" t="inlineStr">
        <is>
          <t>Not assessed</t>
        </is>
      </c>
      <c r="AR288" s="29" t="inlineStr">
        <is>
          <t>Fail</t>
        </is>
      </c>
      <c r="AS288" s="29" t="inlineStr">
        <is>
          <t>Not assessed</t>
        </is>
      </c>
      <c r="AT288" s="29" t="inlineStr">
        <is>
          <t>Not assessed</t>
        </is>
      </c>
      <c r="AU288" s="29" t="inlineStr">
        <is>
          <t>Not assessed</t>
        </is>
      </c>
      <c r="AV288" s="29" t="inlineStr">
        <is>
          <t>Not assessed</t>
        </is>
      </c>
      <c r="AW288" s="29" t="inlineStr">
        <is>
          <t>Not assessed</t>
        </is>
      </c>
      <c r="AX288" s="29" t="inlineStr">
        <is>
          <t>Fail</t>
        </is>
      </c>
      <c r="AY288" s="29" t="inlineStr">
        <is>
          <t>Not assessed</t>
        </is>
      </c>
      <c r="AZ288" s="29" t="inlineStr">
        <is>
          <t>Not assessed</t>
        </is>
      </c>
      <c r="BA288" s="29" t="inlineStr">
        <is>
          <t>Not assessed</t>
        </is>
      </c>
      <c r="BB288" s="29" t="inlineStr">
        <is>
          <t>Not assessed</t>
        </is>
      </c>
      <c r="BC288" s="29" t="inlineStr">
        <is>
          <t>Not assessed</t>
        </is>
      </c>
      <c r="BD288" s="29" t="inlineStr">
        <is>
          <t>Fail</t>
        </is>
      </c>
      <c r="BE288" s="29" t="inlineStr">
        <is>
          <t>Blocked</t>
        </is>
      </c>
      <c r="BF288" s="29" t="inlineStr">
        <is>
          <t>The feature is physically implemented, but the mobile Firestore economy and hosted PostgreSQL economy are conflicting authorities. Current executed transaction, store-verification, entitlement and reconciliation evidence is absent.</t>
        </is>
      </c>
      <c r="BG288" s="29" t="inlineStr">
        <is>
          <t>Wire the mobile UI exclusively to the selected server authority; remove client balance mutation; run provider-sandbox purchase, gift, idempotency, ledger, refund, reconciliation and recovery tests on the exact release candidate.</t>
        </is>
      </c>
      <c r="BH288" s="29" t="inlineStr"/>
      <c r="BI288" s="29" t="inlineStr"/>
      <c r="BJ288" s="29" t="inlineStr"/>
      <c r="BK288" s="29" t="inlineStr">
        <is>
          <t>Evidence reconciled against the reviewed source revision. No production approval is inferred from implementation or file presence.</t>
        </is>
      </c>
      <c r="BL288" s="29" t="inlineStr">
        <is>
          <t>2026-08-02</t>
        </is>
      </c>
    </row>
    <row r="289" ht="42" customHeight="1">
      <c r="A289" s="29" t="inlineStr">
        <is>
          <t>BLYP-15-001</t>
        </is>
      </c>
      <c r="B289" s="29" t="inlineStr"/>
      <c r="C289" s="29" t="inlineStr">
        <is>
          <t>Profiles, identity, and privacy</t>
        </is>
      </c>
      <c r="D289" s="29" t="n">
        <v>15</v>
      </c>
      <c r="E289" s="29" t="n">
        <v>1</v>
      </c>
      <c r="F289" s="29" t="inlineStr">
        <is>
          <t>Feature</t>
        </is>
      </c>
      <c r="G289" s="29" t="inlineStr">
        <is>
          <t>Main member profile</t>
        </is>
      </c>
      <c r="H289" s="29" t="inlineStr">
        <is>
          <t>Main member profile</t>
        </is>
      </c>
      <c r="I289" s="29" t="inlineStr">
        <is>
          <t>/home/ubuntu/blyp_product_requirements.md :: Section 15 — Profiles, identity, and privacy</t>
        </is>
      </c>
      <c r="J289" s="29" t="inlineStr">
        <is>
          <t>/home/ubuntu/BLYP_COMPLETE_FEATURE_LIST.md:373</t>
        </is>
      </c>
      <c r="K289" s="29" t="inlineStr">
        <is>
          <t>Required</t>
        </is>
      </c>
      <c r="L289" s="29" t="inlineStr">
        <is>
          <t>Applicable BLYP member</t>
        </is>
      </c>
      <c r="M289" s="29" t="inlineStr">
        <is>
          <t>BLYP mobile application and supporting production services</t>
        </is>
      </c>
      <c r="N289" s="29" t="inlineStr">
        <is>
          <t>Main member profile</t>
        </is>
      </c>
      <c r="O289" s="29" t="inlineStr">
        <is>
          <t>Not explicitly defined in the product source; requires accountable product approval before production sign-off.</t>
        </is>
      </c>
      <c r="P289" s="29" t="inlineStr"/>
      <c r="Q289" s="29" t="inlineStr">
        <is>
          <t>Yes</t>
        </is>
      </c>
      <c r="R289" s="29" t="inlineStr"/>
      <c r="S289" s="29" t="inlineStr">
        <is>
          <t>Not found</t>
        </is>
      </c>
      <c r="T289" s="29" t="inlineStr"/>
      <c r="U289" s="29" t="inlineStr"/>
      <c r="V289" s="29" t="inlineStr"/>
      <c r="W289" s="29" t="inlineStr"/>
      <c r="X289" s="29" t="inlineStr"/>
      <c r="Y289" s="29" t="inlineStr"/>
      <c r="Z289" s="29" t="inlineStr"/>
      <c r="AA289" s="29" t="inlineStr"/>
      <c r="AB289" s="29" t="inlineStr"/>
      <c r="AC289" s="29" t="inlineStr"/>
      <c r="AD289" s="29" t="inlineStr"/>
      <c r="AE289" s="29" t="inlineStr">
        <is>
          <t>Unknown</t>
        </is>
      </c>
      <c r="AF289" s="29" t="inlineStr"/>
      <c r="AG289" s="29" t="inlineStr">
        <is>
          <t>Unknown</t>
        </is>
      </c>
      <c r="AH289" s="29" t="inlineStr">
        <is>
          <t>Unknown</t>
        </is>
      </c>
      <c r="AI289" s="29" t="inlineStr">
        <is>
          <t>Searched source code for profile, identity, privacy, settings, block, account, download, delete. No implementation found.</t>
        </is>
      </c>
      <c r="AJ289" s="29" t="inlineStr">
        <is>
          <t>Not verified</t>
        </is>
      </c>
      <c r="AK289" s="29" t="inlineStr">
        <is>
          <t>EV-15-0001</t>
        </is>
      </c>
      <c r="AL289" s="29" t="inlineStr"/>
      <c r="AM289" s="29" t="inlineStr"/>
      <c r="AN289" s="29" t="inlineStr"/>
      <c r="AO289" s="29" t="inlineStr">
        <is>
          <t>8bc0dcb2a1da1b21368c5536aaeef829d587f316</t>
        </is>
      </c>
      <c r="AP289" s="29" t="inlineStr">
        <is>
          <t>High</t>
        </is>
      </c>
      <c r="AQ289" s="29" t="inlineStr">
        <is>
          <t>Not assessed</t>
        </is>
      </c>
      <c r="AR289" s="29" t="inlineStr">
        <is>
          <t>Not assessed</t>
        </is>
      </c>
      <c r="AS289" s="29" t="inlineStr">
        <is>
          <t>Not assessed</t>
        </is>
      </c>
      <c r="AT289" s="29" t="inlineStr">
        <is>
          <t>Not assessed</t>
        </is>
      </c>
      <c r="AU289" s="29" t="inlineStr">
        <is>
          <t>Not assessed</t>
        </is>
      </c>
      <c r="AV289" s="29" t="inlineStr">
        <is>
          <t>Not assessed</t>
        </is>
      </c>
      <c r="AW289" s="29" t="inlineStr">
        <is>
          <t>Not assessed</t>
        </is>
      </c>
      <c r="AX289" s="29" t="inlineStr">
        <is>
          <t>Not assessed</t>
        </is>
      </c>
      <c r="AY289" s="29" t="inlineStr">
        <is>
          <t>Not assessed</t>
        </is>
      </c>
      <c r="AZ289" s="29" t="inlineStr">
        <is>
          <t>Not assessed</t>
        </is>
      </c>
      <c r="BA289" s="29" t="inlineStr">
        <is>
          <t>Not assessed</t>
        </is>
      </c>
      <c r="BB289" s="29" t="inlineStr">
        <is>
          <t>Not assessed</t>
        </is>
      </c>
      <c r="BC289" s="29" t="inlineStr">
        <is>
          <t>Not assessed</t>
        </is>
      </c>
      <c r="BD289" s="29" t="inlineStr">
        <is>
          <t>Not assessed</t>
        </is>
      </c>
      <c r="BE289" s="29" t="inlineStr">
        <is>
          <t>Development required</t>
        </is>
      </c>
      <c r="BF289" s="29" t="inlineStr">
        <is>
          <t>Physical implementation is not complete against the stated requirement.; Searched source code for profile, identity, privacy, settings, block, account, download, delete. No implementation found.</t>
        </is>
      </c>
      <c r="BG289" s="29" t="inlineStr"/>
      <c r="BH289" s="29" t="inlineStr"/>
      <c r="BI289" s="29" t="inlineStr"/>
      <c r="BJ289" s="29" t="inlineStr"/>
      <c r="BK289" s="29" t="inlineStr">
        <is>
          <t>Evidence reconciled against the reviewed source revision. No production approval is inferred from implementation or file presence.</t>
        </is>
      </c>
      <c r="BL289" s="29" t="inlineStr">
        <is>
          <t>2026-08-02</t>
        </is>
      </c>
    </row>
    <row r="290" ht="42" customHeight="1">
      <c r="A290" s="29" t="inlineStr">
        <is>
          <t>BLYP-15-002</t>
        </is>
      </c>
      <c r="B290" s="29" t="inlineStr"/>
      <c r="C290" s="29" t="inlineStr">
        <is>
          <t>Profiles, identity, and privacy</t>
        </is>
      </c>
      <c r="D290" s="29" t="n">
        <v>15</v>
      </c>
      <c r="E290" s="29" t="n">
        <v>2</v>
      </c>
      <c r="F290" s="29" t="inlineStr">
        <is>
          <t>Feature</t>
        </is>
      </c>
      <c r="G290" s="29" t="inlineStr">
        <is>
          <t>Avatar</t>
        </is>
      </c>
      <c r="H290" s="29" t="inlineStr">
        <is>
          <t>Avatar</t>
        </is>
      </c>
      <c r="I290" s="29" t="inlineStr">
        <is>
          <t>/home/ubuntu/blyp_product_requirements.md :: Section 15 — Profiles, identity, and privacy</t>
        </is>
      </c>
      <c r="J290" s="29" t="inlineStr">
        <is>
          <t>/home/ubuntu/BLYP_COMPLETE_FEATURE_LIST.md:374</t>
        </is>
      </c>
      <c r="K290" s="29" t="inlineStr">
        <is>
          <t>Required</t>
        </is>
      </c>
      <c r="L290" s="29" t="inlineStr">
        <is>
          <t>Applicable BLYP member</t>
        </is>
      </c>
      <c r="M290" s="29" t="inlineStr">
        <is>
          <t>BLYP mobile application and supporting production services</t>
        </is>
      </c>
      <c r="N290" s="29" t="inlineStr">
        <is>
          <t>Avatar</t>
        </is>
      </c>
      <c r="O290" s="29" t="inlineStr">
        <is>
          <t>Not explicitly defined in the product source; requires accountable product approval before production sign-off.</t>
        </is>
      </c>
      <c r="P290" s="29" t="inlineStr"/>
      <c r="Q290" s="29" t="inlineStr">
        <is>
          <t>Yes</t>
        </is>
      </c>
      <c r="R290" s="29" t="inlineStr"/>
      <c r="S290" s="29" t="inlineStr">
        <is>
          <t>Not found</t>
        </is>
      </c>
      <c r="T290" s="29" t="inlineStr"/>
      <c r="U290" s="29" t="inlineStr"/>
      <c r="V290" s="29" t="inlineStr"/>
      <c r="W290" s="29" t="inlineStr"/>
      <c r="X290" s="29" t="inlineStr"/>
      <c r="Y290" s="29" t="inlineStr"/>
      <c r="Z290" s="29" t="inlineStr"/>
      <c r="AA290" s="29" t="inlineStr"/>
      <c r="AB290" s="29" t="inlineStr"/>
      <c r="AC290" s="29" t="inlineStr"/>
      <c r="AD290" s="29" t="inlineStr"/>
      <c r="AE290" s="29" t="inlineStr">
        <is>
          <t>Unknown</t>
        </is>
      </c>
      <c r="AF290" s="29" t="inlineStr"/>
      <c r="AG290" s="29" t="inlineStr">
        <is>
          <t>Unknown</t>
        </is>
      </c>
      <c r="AH290" s="29" t="inlineStr">
        <is>
          <t>Unknown</t>
        </is>
      </c>
      <c r="AI290" s="29" t="inlineStr">
        <is>
          <t>Searched source code for profile, identity, privacy, settings, block, account, download, delete. No implementation found.</t>
        </is>
      </c>
      <c r="AJ290" s="29" t="inlineStr">
        <is>
          <t>Not verified</t>
        </is>
      </c>
      <c r="AK290" s="29" t="inlineStr">
        <is>
          <t>EV-15-0002</t>
        </is>
      </c>
      <c r="AL290" s="29" t="inlineStr"/>
      <c r="AM290" s="29" t="inlineStr"/>
      <c r="AN290" s="29" t="inlineStr"/>
      <c r="AO290" s="29" t="inlineStr">
        <is>
          <t>8bc0dcb2a1da1b21368c5536aaeef829d587f316</t>
        </is>
      </c>
      <c r="AP290" s="29" t="inlineStr">
        <is>
          <t>High</t>
        </is>
      </c>
      <c r="AQ290" s="29" t="inlineStr">
        <is>
          <t>Not assessed</t>
        </is>
      </c>
      <c r="AR290" s="29" t="inlineStr">
        <is>
          <t>Not assessed</t>
        </is>
      </c>
      <c r="AS290" s="29" t="inlineStr">
        <is>
          <t>Not assessed</t>
        </is>
      </c>
      <c r="AT290" s="29" t="inlineStr">
        <is>
          <t>Not assessed</t>
        </is>
      </c>
      <c r="AU290" s="29" t="inlineStr">
        <is>
          <t>Not assessed</t>
        </is>
      </c>
      <c r="AV290" s="29" t="inlineStr">
        <is>
          <t>Not assessed</t>
        </is>
      </c>
      <c r="AW290" s="29" t="inlineStr">
        <is>
          <t>Not assessed</t>
        </is>
      </c>
      <c r="AX290" s="29" t="inlineStr">
        <is>
          <t>Not assessed</t>
        </is>
      </c>
      <c r="AY290" s="29" t="inlineStr">
        <is>
          <t>Not assessed</t>
        </is>
      </c>
      <c r="AZ290" s="29" t="inlineStr">
        <is>
          <t>Not assessed</t>
        </is>
      </c>
      <c r="BA290" s="29" t="inlineStr">
        <is>
          <t>Not assessed</t>
        </is>
      </c>
      <c r="BB290" s="29" t="inlineStr">
        <is>
          <t>Not assessed</t>
        </is>
      </c>
      <c r="BC290" s="29" t="inlineStr">
        <is>
          <t>Not assessed</t>
        </is>
      </c>
      <c r="BD290" s="29" t="inlineStr">
        <is>
          <t>Not assessed</t>
        </is>
      </c>
      <c r="BE290" s="29" t="inlineStr">
        <is>
          <t>Development required</t>
        </is>
      </c>
      <c r="BF290" s="29" t="inlineStr">
        <is>
          <t>Physical implementation is not complete against the stated requirement.; Searched source code for profile, identity, privacy, settings, block, account, download, delete. No implementation found.</t>
        </is>
      </c>
      <c r="BG290" s="29" t="inlineStr"/>
      <c r="BH290" s="29" t="inlineStr"/>
      <c r="BI290" s="29" t="inlineStr"/>
      <c r="BJ290" s="29" t="inlineStr"/>
      <c r="BK290" s="29" t="inlineStr">
        <is>
          <t>Evidence reconciled against the reviewed source revision. No production approval is inferred from implementation or file presence.</t>
        </is>
      </c>
      <c r="BL290" s="29" t="inlineStr">
        <is>
          <t>2026-08-02</t>
        </is>
      </c>
    </row>
    <row r="291" ht="42" customHeight="1">
      <c r="A291" s="29" t="inlineStr">
        <is>
          <t>BLYP-15-003</t>
        </is>
      </c>
      <c r="B291" s="29" t="inlineStr"/>
      <c r="C291" s="29" t="inlineStr">
        <is>
          <t>Profiles, identity, and privacy</t>
        </is>
      </c>
      <c r="D291" s="29" t="n">
        <v>15</v>
      </c>
      <c r="E291" s="29" t="n">
        <v>3</v>
      </c>
      <c r="F291" s="29" t="inlineStr">
        <is>
          <t>Feature</t>
        </is>
      </c>
      <c r="G291" s="29" t="inlineStr">
        <is>
          <t>Display name</t>
        </is>
      </c>
      <c r="H291" s="29" t="inlineStr">
        <is>
          <t>Display name</t>
        </is>
      </c>
      <c r="I291" s="29" t="inlineStr">
        <is>
          <t>/home/ubuntu/blyp_product_requirements.md :: Section 15 — Profiles, identity, and privacy</t>
        </is>
      </c>
      <c r="J291" s="29" t="inlineStr">
        <is>
          <t>/home/ubuntu/BLYP_COMPLETE_FEATURE_LIST.md:375</t>
        </is>
      </c>
      <c r="K291" s="29" t="inlineStr">
        <is>
          <t>Required</t>
        </is>
      </c>
      <c r="L291" s="29" t="inlineStr">
        <is>
          <t>Applicable BLYP member</t>
        </is>
      </c>
      <c r="M291" s="29" t="inlineStr">
        <is>
          <t>BLYP mobile application and supporting production services</t>
        </is>
      </c>
      <c r="N291" s="29" t="inlineStr">
        <is>
          <t>Display name</t>
        </is>
      </c>
      <c r="O291" s="29" t="inlineStr">
        <is>
          <t>Not explicitly defined in the product source; requires accountable product approval before production sign-off.</t>
        </is>
      </c>
      <c r="P291" s="29" t="inlineStr"/>
      <c r="Q291" s="29" t="inlineStr">
        <is>
          <t>Yes</t>
        </is>
      </c>
      <c r="R291" s="29" t="inlineStr"/>
      <c r="S291" s="29" t="inlineStr">
        <is>
          <t>Not found</t>
        </is>
      </c>
      <c r="T291" s="29" t="inlineStr"/>
      <c r="U291" s="29" t="inlineStr"/>
      <c r="V291" s="29" t="inlineStr"/>
      <c r="W291" s="29" t="inlineStr"/>
      <c r="X291" s="29" t="inlineStr"/>
      <c r="Y291" s="29" t="inlineStr"/>
      <c r="Z291" s="29" t="inlineStr"/>
      <c r="AA291" s="29" t="inlineStr"/>
      <c r="AB291" s="29" t="inlineStr"/>
      <c r="AC291" s="29" t="inlineStr"/>
      <c r="AD291" s="29" t="inlineStr"/>
      <c r="AE291" s="29" t="inlineStr">
        <is>
          <t>Unknown</t>
        </is>
      </c>
      <c r="AF291" s="29" t="inlineStr"/>
      <c r="AG291" s="29" t="inlineStr">
        <is>
          <t>Unknown</t>
        </is>
      </c>
      <c r="AH291" s="29" t="inlineStr">
        <is>
          <t>Unknown</t>
        </is>
      </c>
      <c r="AI291" s="29" t="inlineStr">
        <is>
          <t>Searched source code for profile, identity, privacy, settings, block, account, download, delete. No implementation found.</t>
        </is>
      </c>
      <c r="AJ291" s="29" t="inlineStr">
        <is>
          <t>Not verified</t>
        </is>
      </c>
      <c r="AK291" s="29" t="inlineStr">
        <is>
          <t>EV-15-0003</t>
        </is>
      </c>
      <c r="AL291" s="29" t="inlineStr"/>
      <c r="AM291" s="29" t="inlineStr"/>
      <c r="AN291" s="29" t="inlineStr"/>
      <c r="AO291" s="29" t="inlineStr">
        <is>
          <t>8bc0dcb2a1da1b21368c5536aaeef829d587f316</t>
        </is>
      </c>
      <c r="AP291" s="29" t="inlineStr">
        <is>
          <t>High</t>
        </is>
      </c>
      <c r="AQ291" s="29" t="inlineStr">
        <is>
          <t>Not assessed</t>
        </is>
      </c>
      <c r="AR291" s="29" t="inlineStr">
        <is>
          <t>Not assessed</t>
        </is>
      </c>
      <c r="AS291" s="29" t="inlineStr">
        <is>
          <t>Not assessed</t>
        </is>
      </c>
      <c r="AT291" s="29" t="inlineStr">
        <is>
          <t>Not assessed</t>
        </is>
      </c>
      <c r="AU291" s="29" t="inlineStr">
        <is>
          <t>Not assessed</t>
        </is>
      </c>
      <c r="AV291" s="29" t="inlineStr">
        <is>
          <t>Not assessed</t>
        </is>
      </c>
      <c r="AW291" s="29" t="inlineStr">
        <is>
          <t>Not assessed</t>
        </is>
      </c>
      <c r="AX291" s="29" t="inlineStr">
        <is>
          <t>Not assessed</t>
        </is>
      </c>
      <c r="AY291" s="29" t="inlineStr">
        <is>
          <t>Not assessed</t>
        </is>
      </c>
      <c r="AZ291" s="29" t="inlineStr">
        <is>
          <t>Not assessed</t>
        </is>
      </c>
      <c r="BA291" s="29" t="inlineStr">
        <is>
          <t>Not assessed</t>
        </is>
      </c>
      <c r="BB291" s="29" t="inlineStr">
        <is>
          <t>Not assessed</t>
        </is>
      </c>
      <c r="BC291" s="29" t="inlineStr">
        <is>
          <t>Not assessed</t>
        </is>
      </c>
      <c r="BD291" s="29" t="inlineStr">
        <is>
          <t>Not assessed</t>
        </is>
      </c>
      <c r="BE291" s="29" t="inlineStr">
        <is>
          <t>Development required</t>
        </is>
      </c>
      <c r="BF291" s="29" t="inlineStr">
        <is>
          <t>Physical implementation is not complete against the stated requirement.; Searched source code for profile, identity, privacy, settings, block, account, download, delete. No implementation found.</t>
        </is>
      </c>
      <c r="BG291" s="29" t="inlineStr"/>
      <c r="BH291" s="29" t="inlineStr"/>
      <c r="BI291" s="29" t="inlineStr"/>
      <c r="BJ291" s="29" t="inlineStr"/>
      <c r="BK291" s="29" t="inlineStr">
        <is>
          <t>Evidence reconciled against the reviewed source revision. No production approval is inferred from implementation or file presence.</t>
        </is>
      </c>
      <c r="BL291" s="29" t="inlineStr">
        <is>
          <t>2026-08-02</t>
        </is>
      </c>
    </row>
    <row r="292" ht="42" customHeight="1">
      <c r="A292" s="29" t="inlineStr">
        <is>
          <t>BLYP-15-004</t>
        </is>
      </c>
      <c r="B292" s="29" t="inlineStr"/>
      <c r="C292" s="29" t="inlineStr">
        <is>
          <t>Profiles, identity, and privacy</t>
        </is>
      </c>
      <c r="D292" s="29" t="n">
        <v>15</v>
      </c>
      <c r="E292" s="29" t="n">
        <v>4</v>
      </c>
      <c r="F292" s="29" t="inlineStr">
        <is>
          <t>Feature</t>
        </is>
      </c>
      <c r="G292" s="29" t="inlineStr">
        <is>
          <t>Biography</t>
        </is>
      </c>
      <c r="H292" s="29" t="inlineStr">
        <is>
          <t>Biography</t>
        </is>
      </c>
      <c r="I292" s="29" t="inlineStr">
        <is>
          <t>/home/ubuntu/blyp_product_requirements.md :: Section 15 — Profiles, identity, and privacy</t>
        </is>
      </c>
      <c r="J292" s="29" t="inlineStr">
        <is>
          <t>/home/ubuntu/BLYP_COMPLETE_FEATURE_LIST.md:376</t>
        </is>
      </c>
      <c r="K292" s="29" t="inlineStr">
        <is>
          <t>Required</t>
        </is>
      </c>
      <c r="L292" s="29" t="inlineStr">
        <is>
          <t>Applicable BLYP member</t>
        </is>
      </c>
      <c r="M292" s="29" t="inlineStr">
        <is>
          <t>BLYP mobile application and supporting production services</t>
        </is>
      </c>
      <c r="N292" s="29" t="inlineStr">
        <is>
          <t>Biography</t>
        </is>
      </c>
      <c r="O292" s="29" t="inlineStr">
        <is>
          <t>Not explicitly defined in the product source; requires accountable product approval before production sign-off.</t>
        </is>
      </c>
      <c r="P292" s="29" t="inlineStr"/>
      <c r="Q292" s="29" t="inlineStr">
        <is>
          <t>Yes</t>
        </is>
      </c>
      <c r="R292" s="29" t="inlineStr"/>
      <c r="S292" s="29" t="inlineStr">
        <is>
          <t>Not found</t>
        </is>
      </c>
      <c r="T292" s="29" t="inlineStr"/>
      <c r="U292" s="29" t="inlineStr"/>
      <c r="V292" s="29" t="inlineStr"/>
      <c r="W292" s="29" t="inlineStr"/>
      <c r="X292" s="29" t="inlineStr"/>
      <c r="Y292" s="29" t="inlineStr"/>
      <c r="Z292" s="29" t="inlineStr"/>
      <c r="AA292" s="29" t="inlineStr"/>
      <c r="AB292" s="29" t="inlineStr"/>
      <c r="AC292" s="29" t="inlineStr"/>
      <c r="AD292" s="29" t="inlineStr"/>
      <c r="AE292" s="29" t="inlineStr">
        <is>
          <t>Unknown</t>
        </is>
      </c>
      <c r="AF292" s="29" t="inlineStr"/>
      <c r="AG292" s="29" t="inlineStr">
        <is>
          <t>Unknown</t>
        </is>
      </c>
      <c r="AH292" s="29" t="inlineStr">
        <is>
          <t>Unknown</t>
        </is>
      </c>
      <c r="AI292" s="29" t="inlineStr">
        <is>
          <t>Searched source code for profile, identity, privacy, settings, block, account, download, delete. No implementation found.</t>
        </is>
      </c>
      <c r="AJ292" s="29" t="inlineStr">
        <is>
          <t>Not verified</t>
        </is>
      </c>
      <c r="AK292" s="29" t="inlineStr">
        <is>
          <t>EV-15-0004</t>
        </is>
      </c>
      <c r="AL292" s="29" t="inlineStr"/>
      <c r="AM292" s="29" t="inlineStr"/>
      <c r="AN292" s="29" t="inlineStr"/>
      <c r="AO292" s="29" t="inlineStr">
        <is>
          <t>8bc0dcb2a1da1b21368c5536aaeef829d587f316</t>
        </is>
      </c>
      <c r="AP292" s="29" t="inlineStr">
        <is>
          <t>High</t>
        </is>
      </c>
      <c r="AQ292" s="29" t="inlineStr">
        <is>
          <t>Not assessed</t>
        </is>
      </c>
      <c r="AR292" s="29" t="inlineStr">
        <is>
          <t>Not assessed</t>
        </is>
      </c>
      <c r="AS292" s="29" t="inlineStr">
        <is>
          <t>Not assessed</t>
        </is>
      </c>
      <c r="AT292" s="29" t="inlineStr">
        <is>
          <t>Not assessed</t>
        </is>
      </c>
      <c r="AU292" s="29" t="inlineStr">
        <is>
          <t>Not assessed</t>
        </is>
      </c>
      <c r="AV292" s="29" t="inlineStr">
        <is>
          <t>Not assessed</t>
        </is>
      </c>
      <c r="AW292" s="29" t="inlineStr">
        <is>
          <t>Not assessed</t>
        </is>
      </c>
      <c r="AX292" s="29" t="inlineStr">
        <is>
          <t>Not assessed</t>
        </is>
      </c>
      <c r="AY292" s="29" t="inlineStr">
        <is>
          <t>Not assessed</t>
        </is>
      </c>
      <c r="AZ292" s="29" t="inlineStr">
        <is>
          <t>Not assessed</t>
        </is>
      </c>
      <c r="BA292" s="29" t="inlineStr">
        <is>
          <t>Not assessed</t>
        </is>
      </c>
      <c r="BB292" s="29" t="inlineStr">
        <is>
          <t>Not assessed</t>
        </is>
      </c>
      <c r="BC292" s="29" t="inlineStr">
        <is>
          <t>Not assessed</t>
        </is>
      </c>
      <c r="BD292" s="29" t="inlineStr">
        <is>
          <t>Not assessed</t>
        </is>
      </c>
      <c r="BE292" s="29" t="inlineStr">
        <is>
          <t>Development required</t>
        </is>
      </c>
      <c r="BF292" s="29" t="inlineStr">
        <is>
          <t>Physical implementation is not complete against the stated requirement.; Searched source code for profile, identity, privacy, settings, block, account, download, delete. No implementation found.</t>
        </is>
      </c>
      <c r="BG292" s="29" t="inlineStr"/>
      <c r="BH292" s="29" t="inlineStr"/>
      <c r="BI292" s="29" t="inlineStr"/>
      <c r="BJ292" s="29" t="inlineStr"/>
      <c r="BK292" s="29" t="inlineStr">
        <is>
          <t>Evidence reconciled against the reviewed source revision. No production approval is inferred from implementation or file presence.</t>
        </is>
      </c>
      <c r="BL292" s="29" t="inlineStr">
        <is>
          <t>2026-08-02</t>
        </is>
      </c>
    </row>
    <row r="293" ht="42" customHeight="1">
      <c r="A293" s="29" t="inlineStr">
        <is>
          <t>BLYP-15-005</t>
        </is>
      </c>
      <c r="B293" s="29" t="inlineStr"/>
      <c r="C293" s="29" t="inlineStr">
        <is>
          <t>Profiles, identity, and privacy</t>
        </is>
      </c>
      <c r="D293" s="29" t="n">
        <v>15</v>
      </c>
      <c r="E293" s="29" t="n">
        <v>5</v>
      </c>
      <c r="F293" s="29" t="inlineStr">
        <is>
          <t>Feature</t>
        </is>
      </c>
      <c r="G293" s="29" t="inlineStr">
        <is>
          <t>Member posts</t>
        </is>
      </c>
      <c r="H293" s="29" t="inlineStr">
        <is>
          <t>Member posts</t>
        </is>
      </c>
      <c r="I293" s="29" t="inlineStr">
        <is>
          <t>/home/ubuntu/blyp_product_requirements.md :: Section 15 — Profiles, identity, and privacy</t>
        </is>
      </c>
      <c r="J293" s="29" t="inlineStr">
        <is>
          <t>/home/ubuntu/BLYP_COMPLETE_FEATURE_LIST.md:377</t>
        </is>
      </c>
      <c r="K293" s="29" t="inlineStr">
        <is>
          <t>Required</t>
        </is>
      </c>
      <c r="L293" s="29" t="inlineStr">
        <is>
          <t>Applicable BLYP member</t>
        </is>
      </c>
      <c r="M293" s="29" t="inlineStr">
        <is>
          <t>BLYP mobile application and supporting production services</t>
        </is>
      </c>
      <c r="N293" s="29" t="inlineStr">
        <is>
          <t>Member posts</t>
        </is>
      </c>
      <c r="O293" s="29" t="inlineStr">
        <is>
          <t>Not explicitly defined in the product source; requires accountable product approval before production sign-off.</t>
        </is>
      </c>
      <c r="P293" s="29" t="inlineStr"/>
      <c r="Q293" s="29" t="inlineStr">
        <is>
          <t>Yes</t>
        </is>
      </c>
      <c r="R293" s="29" t="inlineStr"/>
      <c r="S293" s="29" t="inlineStr">
        <is>
          <t>Not found</t>
        </is>
      </c>
      <c r="T293" s="29" t="inlineStr"/>
      <c r="U293" s="29" t="inlineStr"/>
      <c r="V293" s="29" t="inlineStr"/>
      <c r="W293" s="29" t="inlineStr"/>
      <c r="X293" s="29" t="inlineStr"/>
      <c r="Y293" s="29" t="inlineStr"/>
      <c r="Z293" s="29" t="inlineStr"/>
      <c r="AA293" s="29" t="inlineStr"/>
      <c r="AB293" s="29" t="inlineStr"/>
      <c r="AC293" s="29" t="inlineStr"/>
      <c r="AD293" s="29" t="inlineStr"/>
      <c r="AE293" s="29" t="inlineStr">
        <is>
          <t>Unknown</t>
        </is>
      </c>
      <c r="AF293" s="29" t="inlineStr"/>
      <c r="AG293" s="29" t="inlineStr">
        <is>
          <t>Unknown</t>
        </is>
      </c>
      <c r="AH293" s="29" t="inlineStr">
        <is>
          <t>Unknown</t>
        </is>
      </c>
      <c r="AI293" s="29" t="inlineStr">
        <is>
          <t>Searched source code for profile, identity, privacy, settings, block, account, download, delete. No implementation found.</t>
        </is>
      </c>
      <c r="AJ293" s="29" t="inlineStr">
        <is>
          <t>Not verified</t>
        </is>
      </c>
      <c r="AK293" s="29" t="inlineStr">
        <is>
          <t>EV-15-0005</t>
        </is>
      </c>
      <c r="AL293" s="29" t="inlineStr"/>
      <c r="AM293" s="29" t="inlineStr"/>
      <c r="AN293" s="29" t="inlineStr"/>
      <c r="AO293" s="29" t="inlineStr">
        <is>
          <t>8bc0dcb2a1da1b21368c5536aaeef829d587f316</t>
        </is>
      </c>
      <c r="AP293" s="29" t="inlineStr">
        <is>
          <t>High</t>
        </is>
      </c>
      <c r="AQ293" s="29" t="inlineStr">
        <is>
          <t>Not assessed</t>
        </is>
      </c>
      <c r="AR293" s="29" t="inlineStr">
        <is>
          <t>Not assessed</t>
        </is>
      </c>
      <c r="AS293" s="29" t="inlineStr">
        <is>
          <t>Not assessed</t>
        </is>
      </c>
      <c r="AT293" s="29" t="inlineStr">
        <is>
          <t>Not assessed</t>
        </is>
      </c>
      <c r="AU293" s="29" t="inlineStr">
        <is>
          <t>Not assessed</t>
        </is>
      </c>
      <c r="AV293" s="29" t="inlineStr">
        <is>
          <t>Not assessed</t>
        </is>
      </c>
      <c r="AW293" s="29" t="inlineStr">
        <is>
          <t>Not assessed</t>
        </is>
      </c>
      <c r="AX293" s="29" t="inlineStr">
        <is>
          <t>Not assessed</t>
        </is>
      </c>
      <c r="AY293" s="29" t="inlineStr">
        <is>
          <t>Not assessed</t>
        </is>
      </c>
      <c r="AZ293" s="29" t="inlineStr">
        <is>
          <t>Not assessed</t>
        </is>
      </c>
      <c r="BA293" s="29" t="inlineStr">
        <is>
          <t>Not assessed</t>
        </is>
      </c>
      <c r="BB293" s="29" t="inlineStr">
        <is>
          <t>Not assessed</t>
        </is>
      </c>
      <c r="BC293" s="29" t="inlineStr">
        <is>
          <t>Not assessed</t>
        </is>
      </c>
      <c r="BD293" s="29" t="inlineStr">
        <is>
          <t>Not assessed</t>
        </is>
      </c>
      <c r="BE293" s="29" t="inlineStr">
        <is>
          <t>Development required</t>
        </is>
      </c>
      <c r="BF293" s="29" t="inlineStr">
        <is>
          <t>Physical implementation is not complete against the stated requirement.; Searched source code for profile, identity, privacy, settings, block, account, download, delete. No implementation found.</t>
        </is>
      </c>
      <c r="BG293" s="29" t="inlineStr"/>
      <c r="BH293" s="29" t="inlineStr"/>
      <c r="BI293" s="29" t="inlineStr"/>
      <c r="BJ293" s="29" t="inlineStr"/>
      <c r="BK293" s="29" t="inlineStr">
        <is>
          <t>Evidence reconciled against the reviewed source revision. No production approval is inferred from implementation or file presence.</t>
        </is>
      </c>
      <c r="BL293" s="29" t="inlineStr">
        <is>
          <t>2026-08-02</t>
        </is>
      </c>
    </row>
    <row r="294" ht="42" customHeight="1">
      <c r="A294" s="29" t="inlineStr">
        <is>
          <t>BLYP-15-006</t>
        </is>
      </c>
      <c r="B294" s="29" t="inlineStr"/>
      <c r="C294" s="29" t="inlineStr">
        <is>
          <t>Profiles, identity, and privacy</t>
        </is>
      </c>
      <c r="D294" s="29" t="n">
        <v>15</v>
      </c>
      <c r="E294" s="29" t="n">
        <v>6</v>
      </c>
      <c r="F294" s="29" t="inlineStr">
        <is>
          <t>Feature</t>
        </is>
      </c>
      <c r="G294" s="29" t="inlineStr">
        <is>
          <t>Follower and following counts</t>
        </is>
      </c>
      <c r="H294" s="29" t="inlineStr">
        <is>
          <t>Follower and following counts</t>
        </is>
      </c>
      <c r="I294" s="29" t="inlineStr">
        <is>
          <t>/home/ubuntu/blyp_product_requirements.md :: Section 15 — Profiles, identity, and privacy</t>
        </is>
      </c>
      <c r="J294" s="29" t="inlineStr">
        <is>
          <t>/home/ubuntu/BLYP_COMPLETE_FEATURE_LIST.md:378</t>
        </is>
      </c>
      <c r="K294" s="29" t="inlineStr">
        <is>
          <t>Required</t>
        </is>
      </c>
      <c r="L294" s="29" t="inlineStr">
        <is>
          <t>Applicable BLYP member</t>
        </is>
      </c>
      <c r="M294" s="29" t="inlineStr">
        <is>
          <t>BLYP mobile application and supporting production services</t>
        </is>
      </c>
      <c r="N294" s="29" t="inlineStr">
        <is>
          <t>Follower and following counts</t>
        </is>
      </c>
      <c r="O294" s="29" t="inlineStr">
        <is>
          <t>Not explicitly defined in the product source; requires accountable product approval before production sign-off.</t>
        </is>
      </c>
      <c r="P294" s="29" t="inlineStr"/>
      <c r="Q294" s="29" t="inlineStr">
        <is>
          <t>Yes</t>
        </is>
      </c>
      <c r="R294" s="29" t="inlineStr"/>
      <c r="S294" s="29" t="inlineStr">
        <is>
          <t>Not found</t>
        </is>
      </c>
      <c r="T294" s="29" t="inlineStr"/>
      <c r="U294" s="29" t="inlineStr"/>
      <c r="V294" s="29" t="inlineStr"/>
      <c r="W294" s="29" t="inlineStr"/>
      <c r="X294" s="29" t="inlineStr"/>
      <c r="Y294" s="29" t="inlineStr"/>
      <c r="Z294" s="29" t="inlineStr"/>
      <c r="AA294" s="29" t="inlineStr"/>
      <c r="AB294" s="29" t="inlineStr"/>
      <c r="AC294" s="29" t="inlineStr"/>
      <c r="AD294" s="29" t="inlineStr"/>
      <c r="AE294" s="29" t="inlineStr">
        <is>
          <t>Unknown</t>
        </is>
      </c>
      <c r="AF294" s="29" t="inlineStr"/>
      <c r="AG294" s="29" t="inlineStr">
        <is>
          <t>Unknown</t>
        </is>
      </c>
      <c r="AH294" s="29" t="inlineStr">
        <is>
          <t>Unknown</t>
        </is>
      </c>
      <c r="AI294" s="29" t="inlineStr">
        <is>
          <t>Searched source code for profile, identity, privacy, settings, block, account, download, delete. No implementation found.</t>
        </is>
      </c>
      <c r="AJ294" s="29" t="inlineStr">
        <is>
          <t>Not verified</t>
        </is>
      </c>
      <c r="AK294" s="29" t="inlineStr">
        <is>
          <t>EV-15-0006</t>
        </is>
      </c>
      <c r="AL294" s="29" t="inlineStr"/>
      <c r="AM294" s="29" t="inlineStr"/>
      <c r="AN294" s="29" t="inlineStr"/>
      <c r="AO294" s="29" t="inlineStr">
        <is>
          <t>8bc0dcb2a1da1b21368c5536aaeef829d587f316</t>
        </is>
      </c>
      <c r="AP294" s="29" t="inlineStr">
        <is>
          <t>High</t>
        </is>
      </c>
      <c r="AQ294" s="29" t="inlineStr">
        <is>
          <t>Not assessed</t>
        </is>
      </c>
      <c r="AR294" s="29" t="inlineStr">
        <is>
          <t>Not assessed</t>
        </is>
      </c>
      <c r="AS294" s="29" t="inlineStr">
        <is>
          <t>Not assessed</t>
        </is>
      </c>
      <c r="AT294" s="29" t="inlineStr">
        <is>
          <t>Not assessed</t>
        </is>
      </c>
      <c r="AU294" s="29" t="inlineStr">
        <is>
          <t>Not assessed</t>
        </is>
      </c>
      <c r="AV294" s="29" t="inlineStr">
        <is>
          <t>Not assessed</t>
        </is>
      </c>
      <c r="AW294" s="29" t="inlineStr">
        <is>
          <t>Not assessed</t>
        </is>
      </c>
      <c r="AX294" s="29" t="inlineStr">
        <is>
          <t>Not assessed</t>
        </is>
      </c>
      <c r="AY294" s="29" t="inlineStr">
        <is>
          <t>Not assessed</t>
        </is>
      </c>
      <c r="AZ294" s="29" t="inlineStr">
        <is>
          <t>Not assessed</t>
        </is>
      </c>
      <c r="BA294" s="29" t="inlineStr">
        <is>
          <t>Not assessed</t>
        </is>
      </c>
      <c r="BB294" s="29" t="inlineStr">
        <is>
          <t>Not assessed</t>
        </is>
      </c>
      <c r="BC294" s="29" t="inlineStr">
        <is>
          <t>Not assessed</t>
        </is>
      </c>
      <c r="BD294" s="29" t="inlineStr">
        <is>
          <t>Not assessed</t>
        </is>
      </c>
      <c r="BE294" s="29" t="inlineStr">
        <is>
          <t>Development required</t>
        </is>
      </c>
      <c r="BF294" s="29" t="inlineStr">
        <is>
          <t>Physical implementation is not complete against the stated requirement.; Searched source code for profile, identity, privacy, settings, block, account, download, delete. No implementation found.</t>
        </is>
      </c>
      <c r="BG294" s="29" t="inlineStr"/>
      <c r="BH294" s="29" t="inlineStr"/>
      <c r="BI294" s="29" t="inlineStr"/>
      <c r="BJ294" s="29" t="inlineStr"/>
      <c r="BK294" s="29" t="inlineStr">
        <is>
          <t>Evidence reconciled against the reviewed source revision. No production approval is inferred from implementation or file presence.</t>
        </is>
      </c>
      <c r="BL294" s="29" t="inlineStr">
        <is>
          <t>2026-08-02</t>
        </is>
      </c>
    </row>
    <row r="295" ht="42" customHeight="1">
      <c r="A295" s="29" t="inlineStr">
        <is>
          <t>BLYP-15-007</t>
        </is>
      </c>
      <c r="B295" s="29" t="inlineStr"/>
      <c r="C295" s="29" t="inlineStr">
        <is>
          <t>Profiles, identity, and privacy</t>
        </is>
      </c>
      <c r="D295" s="29" t="n">
        <v>15</v>
      </c>
      <c r="E295" s="29" t="n">
        <v>7</v>
      </c>
      <c r="F295" s="29" t="inlineStr">
        <is>
          <t>Feature</t>
        </is>
      </c>
      <c r="G295" s="29" t="inlineStr">
        <is>
          <t>Normal-member role</t>
        </is>
      </c>
      <c r="H295" s="29" t="inlineStr">
        <is>
          <t>Normal-member role</t>
        </is>
      </c>
      <c r="I295" s="29" t="inlineStr">
        <is>
          <t>/home/ubuntu/blyp_product_requirements.md :: Section 15 — Profiles, identity, and privacy</t>
        </is>
      </c>
      <c r="J295" s="29" t="inlineStr">
        <is>
          <t>/home/ubuntu/BLYP_COMPLETE_FEATURE_LIST.md:379</t>
        </is>
      </c>
      <c r="K295" s="29" t="inlineStr">
        <is>
          <t>Required</t>
        </is>
      </c>
      <c r="L295" s="29" t="inlineStr">
        <is>
          <t>Applicable BLYP member</t>
        </is>
      </c>
      <c r="M295" s="29" t="inlineStr">
        <is>
          <t>BLYP mobile application and supporting production services</t>
        </is>
      </c>
      <c r="N295" s="29" t="inlineStr">
        <is>
          <t>Normal-member role</t>
        </is>
      </c>
      <c r="O295" s="29" t="inlineStr">
        <is>
          <t>Not explicitly defined in the product source; requires accountable product approval before production sign-off.</t>
        </is>
      </c>
      <c r="P295" s="29" t="inlineStr"/>
      <c r="Q295" s="29" t="inlineStr">
        <is>
          <t>Yes</t>
        </is>
      </c>
      <c r="R295" s="29" t="inlineStr"/>
      <c r="S295" s="29" t="inlineStr">
        <is>
          <t>Not found</t>
        </is>
      </c>
      <c r="T295" s="29" t="inlineStr"/>
      <c r="U295" s="29" t="inlineStr"/>
      <c r="V295" s="29" t="inlineStr"/>
      <c r="W295" s="29" t="inlineStr"/>
      <c r="X295" s="29" t="inlineStr"/>
      <c r="Y295" s="29" t="inlineStr"/>
      <c r="Z295" s="29" t="inlineStr"/>
      <c r="AA295" s="29" t="inlineStr"/>
      <c r="AB295" s="29" t="inlineStr"/>
      <c r="AC295" s="29" t="inlineStr"/>
      <c r="AD295" s="29" t="inlineStr"/>
      <c r="AE295" s="29" t="inlineStr">
        <is>
          <t>Unknown</t>
        </is>
      </c>
      <c r="AF295" s="29" t="inlineStr"/>
      <c r="AG295" s="29" t="inlineStr">
        <is>
          <t>Unknown</t>
        </is>
      </c>
      <c r="AH295" s="29" t="inlineStr">
        <is>
          <t>Unknown</t>
        </is>
      </c>
      <c r="AI295" s="29" t="inlineStr">
        <is>
          <t>Searched source code for profile, identity, privacy, settings, block, account, download, delete. No implementation found.</t>
        </is>
      </c>
      <c r="AJ295" s="29" t="inlineStr">
        <is>
          <t>Not verified</t>
        </is>
      </c>
      <c r="AK295" s="29" t="inlineStr">
        <is>
          <t>EV-15-0007</t>
        </is>
      </c>
      <c r="AL295" s="29" t="inlineStr"/>
      <c r="AM295" s="29" t="inlineStr"/>
      <c r="AN295" s="29" t="inlineStr"/>
      <c r="AO295" s="29" t="inlineStr">
        <is>
          <t>8bc0dcb2a1da1b21368c5536aaeef829d587f316</t>
        </is>
      </c>
      <c r="AP295" s="29" t="inlineStr">
        <is>
          <t>High</t>
        </is>
      </c>
      <c r="AQ295" s="29" t="inlineStr">
        <is>
          <t>Not assessed</t>
        </is>
      </c>
      <c r="AR295" s="29" t="inlineStr">
        <is>
          <t>Not assessed</t>
        </is>
      </c>
      <c r="AS295" s="29" t="inlineStr">
        <is>
          <t>Not assessed</t>
        </is>
      </c>
      <c r="AT295" s="29" t="inlineStr">
        <is>
          <t>Not assessed</t>
        </is>
      </c>
      <c r="AU295" s="29" t="inlineStr">
        <is>
          <t>Not assessed</t>
        </is>
      </c>
      <c r="AV295" s="29" t="inlineStr">
        <is>
          <t>Not assessed</t>
        </is>
      </c>
      <c r="AW295" s="29" t="inlineStr">
        <is>
          <t>Not assessed</t>
        </is>
      </c>
      <c r="AX295" s="29" t="inlineStr">
        <is>
          <t>Not assessed</t>
        </is>
      </c>
      <c r="AY295" s="29" t="inlineStr">
        <is>
          <t>Not assessed</t>
        </is>
      </c>
      <c r="AZ295" s="29" t="inlineStr">
        <is>
          <t>Not assessed</t>
        </is>
      </c>
      <c r="BA295" s="29" t="inlineStr">
        <is>
          <t>Not assessed</t>
        </is>
      </c>
      <c r="BB295" s="29" t="inlineStr">
        <is>
          <t>Not assessed</t>
        </is>
      </c>
      <c r="BC295" s="29" t="inlineStr">
        <is>
          <t>Not assessed</t>
        </is>
      </c>
      <c r="BD295" s="29" t="inlineStr">
        <is>
          <t>Not assessed</t>
        </is>
      </c>
      <c r="BE295" s="29" t="inlineStr">
        <is>
          <t>Development required</t>
        </is>
      </c>
      <c r="BF295" s="29" t="inlineStr">
        <is>
          <t>Physical implementation is not complete against the stated requirement.; Searched source code for profile, identity, privacy, settings, block, account, download, delete. No implementation found.</t>
        </is>
      </c>
      <c r="BG295" s="29" t="inlineStr"/>
      <c r="BH295" s="29" t="inlineStr"/>
      <c r="BI295" s="29" t="inlineStr"/>
      <c r="BJ295" s="29" t="inlineStr"/>
      <c r="BK295" s="29" t="inlineStr">
        <is>
          <t>Evidence reconciled against the reviewed source revision. No production approval is inferred from implementation or file presence.</t>
        </is>
      </c>
      <c r="BL295" s="29" t="inlineStr">
        <is>
          <t>2026-08-02</t>
        </is>
      </c>
    </row>
    <row r="296" ht="42" customHeight="1">
      <c r="A296" s="29" t="inlineStr">
        <is>
          <t>BLYP-15-008</t>
        </is>
      </c>
      <c r="B296" s="29" t="inlineStr"/>
      <c r="C296" s="29" t="inlineStr">
        <is>
          <t>Profiles, identity, and privacy</t>
        </is>
      </c>
      <c r="D296" s="29" t="n">
        <v>15</v>
      </c>
      <c r="E296" s="29" t="n">
        <v>8</v>
      </c>
      <c r="F296" s="29" t="inlineStr">
        <is>
          <t>Feature</t>
        </is>
      </c>
      <c r="G296" s="29" t="inlineStr">
        <is>
          <t>Creator role</t>
        </is>
      </c>
      <c r="H296" s="29" t="inlineStr">
        <is>
          <t>Creator role</t>
        </is>
      </c>
      <c r="I296" s="29" t="inlineStr">
        <is>
          <t>/home/ubuntu/blyp_product_requirements.md :: Section 15 — Profiles, identity, and privacy</t>
        </is>
      </c>
      <c r="J296" s="29" t="inlineStr">
        <is>
          <t>/home/ubuntu/BLYP_COMPLETE_FEATURE_LIST.md:380</t>
        </is>
      </c>
      <c r="K296" s="29" t="inlineStr">
        <is>
          <t>Required</t>
        </is>
      </c>
      <c r="L296" s="29" t="inlineStr">
        <is>
          <t>Authenticated creator or host</t>
        </is>
      </c>
      <c r="M296" s="29" t="inlineStr">
        <is>
          <t>BLYP mobile application and supporting production services</t>
        </is>
      </c>
      <c r="N296" s="29" t="inlineStr">
        <is>
          <t>Creator role</t>
        </is>
      </c>
      <c r="O296" s="29" t="inlineStr">
        <is>
          <t>Not explicitly defined in the product source; requires accountable product approval before production sign-off.</t>
        </is>
      </c>
      <c r="P296" s="29" t="inlineStr"/>
      <c r="Q296" s="29" t="inlineStr">
        <is>
          <t>Partial</t>
        </is>
      </c>
      <c r="R296" s="29" t="inlineStr"/>
      <c r="S296" s="29" t="inlineStr">
        <is>
          <t>Not found</t>
        </is>
      </c>
      <c r="T296" s="29" t="inlineStr"/>
      <c r="U296" s="29" t="inlineStr"/>
      <c r="V296" s="29" t="inlineStr"/>
      <c r="W296" s="29" t="inlineStr"/>
      <c r="X296" s="29" t="inlineStr"/>
      <c r="Y296" s="29" t="inlineStr"/>
      <c r="Z296" s="29" t="inlineStr"/>
      <c r="AA296" s="29" t="inlineStr"/>
      <c r="AB296" s="29" t="inlineStr"/>
      <c r="AC296" s="29" t="inlineStr"/>
      <c r="AD296" s="29" t="inlineStr"/>
      <c r="AE296" s="29" t="inlineStr">
        <is>
          <t>Unknown</t>
        </is>
      </c>
      <c r="AF296" s="29" t="inlineStr"/>
      <c r="AG296" s="29" t="inlineStr">
        <is>
          <t>Unknown</t>
        </is>
      </c>
      <c r="AH296" s="29" t="inlineStr">
        <is>
          <t>Unknown</t>
        </is>
      </c>
      <c r="AI296" s="29" t="inlineStr">
        <is>
          <t>Searched source code for profile, identity, privacy, settings, block, account, download, delete. No implementation found.</t>
        </is>
      </c>
      <c r="AJ296" s="29" t="inlineStr">
        <is>
          <t>Not verified</t>
        </is>
      </c>
      <c r="AK296" s="29" t="inlineStr">
        <is>
          <t>EV-15-0008</t>
        </is>
      </c>
      <c r="AL296" s="29" t="inlineStr"/>
      <c r="AM296" s="29" t="inlineStr"/>
      <c r="AN296" s="29" t="inlineStr"/>
      <c r="AO296" s="29" t="inlineStr">
        <is>
          <t>8bc0dcb2a1da1b21368c5536aaeef829d587f316</t>
        </is>
      </c>
      <c r="AP296" s="29" t="inlineStr">
        <is>
          <t>High</t>
        </is>
      </c>
      <c r="AQ296" s="29" t="inlineStr">
        <is>
          <t>Not assessed</t>
        </is>
      </c>
      <c r="AR296" s="29" t="inlineStr">
        <is>
          <t>Not assessed</t>
        </is>
      </c>
      <c r="AS296" s="29" t="inlineStr">
        <is>
          <t>Not assessed</t>
        </is>
      </c>
      <c r="AT296" s="29" t="inlineStr">
        <is>
          <t>Not assessed</t>
        </is>
      </c>
      <c r="AU296" s="29" t="inlineStr">
        <is>
          <t>Not assessed</t>
        </is>
      </c>
      <c r="AV296" s="29" t="inlineStr">
        <is>
          <t>Not assessed</t>
        </is>
      </c>
      <c r="AW296" s="29" t="inlineStr">
        <is>
          <t>Not assessed</t>
        </is>
      </c>
      <c r="AX296" s="29" t="inlineStr">
        <is>
          <t>Not assessed</t>
        </is>
      </c>
      <c r="AY296" s="29" t="inlineStr">
        <is>
          <t>Not assessed</t>
        </is>
      </c>
      <c r="AZ296" s="29" t="inlineStr">
        <is>
          <t>Not assessed</t>
        </is>
      </c>
      <c r="BA296" s="29" t="inlineStr">
        <is>
          <t>Not assessed</t>
        </is>
      </c>
      <c r="BB296" s="29" t="inlineStr">
        <is>
          <t>Not assessed</t>
        </is>
      </c>
      <c r="BC296" s="29" t="inlineStr">
        <is>
          <t>Not assessed</t>
        </is>
      </c>
      <c r="BD296" s="29" t="inlineStr">
        <is>
          <t>Not assessed</t>
        </is>
      </c>
      <c r="BE296" s="29" t="inlineStr">
        <is>
          <t>Development required</t>
        </is>
      </c>
      <c r="BF296" s="29" t="inlineStr">
        <is>
          <t>Physical implementation is not complete against the stated requirement.; Searched source code for profile, identity, privacy, settings, block, account, download, delete. No implementation found.</t>
        </is>
      </c>
      <c r="BG296" s="29" t="inlineStr"/>
      <c r="BH296" s="29" t="inlineStr"/>
      <c r="BI296" s="29" t="inlineStr"/>
      <c r="BJ296" s="29" t="inlineStr"/>
      <c r="BK296" s="29" t="inlineStr">
        <is>
          <t>Evidence reconciled against the reviewed source revision. No production approval is inferred from implementation or file presence.</t>
        </is>
      </c>
      <c r="BL296" s="29" t="inlineStr">
        <is>
          <t>2026-08-02</t>
        </is>
      </c>
    </row>
    <row r="297" ht="42" customHeight="1">
      <c r="A297" s="29" t="inlineStr">
        <is>
          <t>BLYP-15-009</t>
        </is>
      </c>
      <c r="B297" s="29" t="inlineStr"/>
      <c r="C297" s="29" t="inlineStr">
        <is>
          <t>Profiles, identity, and privacy</t>
        </is>
      </c>
      <c r="D297" s="29" t="n">
        <v>15</v>
      </c>
      <c r="E297" s="29" t="n">
        <v>9</v>
      </c>
      <c r="F297" s="29" t="inlineStr">
        <is>
          <t>Feature</t>
        </is>
      </c>
      <c r="G297" s="29" t="inlineStr">
        <is>
          <t>Team role</t>
        </is>
      </c>
      <c r="H297" s="29" t="inlineStr">
        <is>
          <t>Team role</t>
        </is>
      </c>
      <c r="I297" s="29" t="inlineStr">
        <is>
          <t>/home/ubuntu/blyp_product_requirements.md :: Section 15 — Profiles, identity, and privacy</t>
        </is>
      </c>
      <c r="J297" s="29" t="inlineStr">
        <is>
          <t>/home/ubuntu/BLYP_COMPLETE_FEATURE_LIST.md:381</t>
        </is>
      </c>
      <c r="K297" s="29" t="inlineStr">
        <is>
          <t>Required</t>
        </is>
      </c>
      <c r="L297" s="29" t="inlineStr">
        <is>
          <t>Applicable BLYP member</t>
        </is>
      </c>
      <c r="M297" s="29" t="inlineStr">
        <is>
          <t>BLYP mobile application and supporting production services</t>
        </is>
      </c>
      <c r="N297" s="29" t="inlineStr">
        <is>
          <t>Team role</t>
        </is>
      </c>
      <c r="O297" s="29" t="inlineStr">
        <is>
          <t>Not explicitly defined in the product source; requires accountable product approval before production sign-off.</t>
        </is>
      </c>
      <c r="P297" s="29" t="inlineStr"/>
      <c r="Q297" s="29" t="inlineStr">
        <is>
          <t>Scaffold only</t>
        </is>
      </c>
      <c r="R297" s="29" t="inlineStr"/>
      <c r="S297" s="29" t="inlineStr">
        <is>
          <t>Not found</t>
        </is>
      </c>
      <c r="T297" s="29" t="inlineStr"/>
      <c r="U297" s="29" t="inlineStr"/>
      <c r="V297" s="29" t="inlineStr"/>
      <c r="W297" s="29" t="inlineStr"/>
      <c r="X297" s="29" t="inlineStr"/>
      <c r="Y297" s="29" t="inlineStr"/>
      <c r="Z297" s="29" t="inlineStr"/>
      <c r="AA297" s="29" t="inlineStr"/>
      <c r="AB297" s="29" t="inlineStr"/>
      <c r="AC297" s="29" t="inlineStr"/>
      <c r="AD297" s="29" t="inlineStr"/>
      <c r="AE297" s="29" t="inlineStr">
        <is>
          <t>Unknown</t>
        </is>
      </c>
      <c r="AF297" s="29" t="inlineStr"/>
      <c r="AG297" s="29" t="inlineStr">
        <is>
          <t>Unknown</t>
        </is>
      </c>
      <c r="AH297" s="29" t="inlineStr">
        <is>
          <t>Unknown</t>
        </is>
      </c>
      <c r="AI297" s="29" t="inlineStr">
        <is>
          <t>Searched source code for profile, identity, privacy, settings, block, account, download, delete. No implementation found.</t>
        </is>
      </c>
      <c r="AJ297" s="29" t="inlineStr">
        <is>
          <t>Not verified</t>
        </is>
      </c>
      <c r="AK297" s="29" t="inlineStr">
        <is>
          <t>EV-15-0009</t>
        </is>
      </c>
      <c r="AL297" s="29" t="inlineStr"/>
      <c r="AM297" s="29" t="inlineStr"/>
      <c r="AN297" s="29" t="inlineStr"/>
      <c r="AO297" s="29" t="inlineStr">
        <is>
          <t>8bc0dcb2a1da1b21368c5536aaeef829d587f316</t>
        </is>
      </c>
      <c r="AP297" s="29" t="inlineStr">
        <is>
          <t>High</t>
        </is>
      </c>
      <c r="AQ297" s="29" t="inlineStr">
        <is>
          <t>Not assessed</t>
        </is>
      </c>
      <c r="AR297" s="29" t="inlineStr">
        <is>
          <t>Not assessed</t>
        </is>
      </c>
      <c r="AS297" s="29" t="inlineStr">
        <is>
          <t>Not assessed</t>
        </is>
      </c>
      <c r="AT297" s="29" t="inlineStr">
        <is>
          <t>Not assessed</t>
        </is>
      </c>
      <c r="AU297" s="29" t="inlineStr">
        <is>
          <t>Not assessed</t>
        </is>
      </c>
      <c r="AV297" s="29" t="inlineStr">
        <is>
          <t>Not assessed</t>
        </is>
      </c>
      <c r="AW297" s="29" t="inlineStr">
        <is>
          <t>Not assessed</t>
        </is>
      </c>
      <c r="AX297" s="29" t="inlineStr">
        <is>
          <t>Not assessed</t>
        </is>
      </c>
      <c r="AY297" s="29" t="inlineStr">
        <is>
          <t>Not assessed</t>
        </is>
      </c>
      <c r="AZ297" s="29" t="inlineStr">
        <is>
          <t>Not assessed</t>
        </is>
      </c>
      <c r="BA297" s="29" t="inlineStr">
        <is>
          <t>Not assessed</t>
        </is>
      </c>
      <c r="BB297" s="29" t="inlineStr">
        <is>
          <t>Not assessed</t>
        </is>
      </c>
      <c r="BC297" s="29" t="inlineStr">
        <is>
          <t>Not assessed</t>
        </is>
      </c>
      <c r="BD297" s="29" t="inlineStr">
        <is>
          <t>Not assessed</t>
        </is>
      </c>
      <c r="BE297" s="29" t="inlineStr">
        <is>
          <t>Development required</t>
        </is>
      </c>
      <c r="BF297" s="29" t="inlineStr">
        <is>
          <t>Physical implementation is not complete against the stated requirement.; Searched source code for profile, identity, privacy, settings, block, account, download, delete. No implementation found.</t>
        </is>
      </c>
      <c r="BG297" s="29" t="inlineStr"/>
      <c r="BH297" s="29" t="inlineStr"/>
      <c r="BI297" s="29" t="inlineStr"/>
      <c r="BJ297" s="29" t="inlineStr"/>
      <c r="BK297" s="29" t="inlineStr">
        <is>
          <t>Evidence reconciled against the reviewed source revision. No production approval is inferred from implementation or file presence.</t>
        </is>
      </c>
      <c r="BL297" s="29" t="inlineStr">
        <is>
          <t>2026-08-02</t>
        </is>
      </c>
    </row>
    <row r="298" ht="42" customHeight="1">
      <c r="A298" s="29" t="inlineStr">
        <is>
          <t>BLYP-15-010</t>
        </is>
      </c>
      <c r="B298" s="29" t="inlineStr"/>
      <c r="C298" s="29" t="inlineStr">
        <is>
          <t>Profiles, identity, and privacy</t>
        </is>
      </c>
      <c r="D298" s="29" t="n">
        <v>15</v>
      </c>
      <c r="E298" s="29" t="n">
        <v>10</v>
      </c>
      <c r="F298" s="29" t="inlineStr">
        <is>
          <t>Feature</t>
        </is>
      </c>
      <c r="G298" s="29" t="inlineStr">
        <is>
          <t>Live role</t>
        </is>
      </c>
      <c r="H298" s="29" t="inlineStr">
        <is>
          <t>Live role</t>
        </is>
      </c>
      <c r="I298" s="29" t="inlineStr">
        <is>
          <t>/home/ubuntu/blyp_product_requirements.md :: Section 15 — Profiles, identity, and privacy</t>
        </is>
      </c>
      <c r="J298" s="29" t="inlineStr">
        <is>
          <t>/home/ubuntu/BLYP_COMPLETE_FEATURE_LIST.md:382</t>
        </is>
      </c>
      <c r="K298" s="29" t="inlineStr">
        <is>
          <t>Required</t>
        </is>
      </c>
      <c r="L298" s="29" t="inlineStr">
        <is>
          <t>Applicable BLYP member</t>
        </is>
      </c>
      <c r="M298" s="29" t="inlineStr">
        <is>
          <t>BLYP mobile application and supporting production services</t>
        </is>
      </c>
      <c r="N298" s="29" t="inlineStr">
        <is>
          <t>Live role</t>
        </is>
      </c>
      <c r="O298" s="29" t="inlineStr">
        <is>
          <t>Not explicitly defined in the product source; requires accountable product approval before production sign-off.</t>
        </is>
      </c>
      <c r="P298" s="29" t="inlineStr"/>
      <c r="Q298" s="29" t="inlineStr">
        <is>
          <t>Partial</t>
        </is>
      </c>
      <c r="R298" s="29" t="inlineStr"/>
      <c r="S298" s="29" t="inlineStr">
        <is>
          <t>Not found</t>
        </is>
      </c>
      <c r="T298" s="29" t="inlineStr"/>
      <c r="U298" s="29" t="inlineStr"/>
      <c r="V298" s="29" t="inlineStr"/>
      <c r="W298" s="29" t="inlineStr"/>
      <c r="X298" s="29" t="inlineStr"/>
      <c r="Y298" s="29" t="inlineStr"/>
      <c r="Z298" s="29" t="inlineStr"/>
      <c r="AA298" s="29" t="inlineStr"/>
      <c r="AB298" s="29" t="inlineStr"/>
      <c r="AC298" s="29" t="inlineStr"/>
      <c r="AD298" s="29" t="inlineStr"/>
      <c r="AE298" s="29" t="inlineStr">
        <is>
          <t>Unknown</t>
        </is>
      </c>
      <c r="AF298" s="29" t="inlineStr"/>
      <c r="AG298" s="29" t="inlineStr">
        <is>
          <t>Unknown</t>
        </is>
      </c>
      <c r="AH298" s="29" t="inlineStr">
        <is>
          <t>Unknown</t>
        </is>
      </c>
      <c r="AI298" s="29" t="inlineStr">
        <is>
          <t>Searched source code for profile, identity, privacy, settings, block, account, download, delete. No implementation found.</t>
        </is>
      </c>
      <c r="AJ298" s="29" t="inlineStr">
        <is>
          <t>Not verified</t>
        </is>
      </c>
      <c r="AK298" s="29" t="inlineStr">
        <is>
          <t>EV-15-0010</t>
        </is>
      </c>
      <c r="AL298" s="29" t="inlineStr"/>
      <c r="AM298" s="29" t="inlineStr"/>
      <c r="AN298" s="29" t="inlineStr"/>
      <c r="AO298" s="29" t="inlineStr">
        <is>
          <t>8bc0dcb2a1da1b21368c5536aaeef829d587f316</t>
        </is>
      </c>
      <c r="AP298" s="29" t="inlineStr">
        <is>
          <t>High</t>
        </is>
      </c>
      <c r="AQ298" s="29" t="inlineStr">
        <is>
          <t>Not assessed</t>
        </is>
      </c>
      <c r="AR298" s="29" t="inlineStr">
        <is>
          <t>Not assessed</t>
        </is>
      </c>
      <c r="AS298" s="29" t="inlineStr">
        <is>
          <t>Not assessed</t>
        </is>
      </c>
      <c r="AT298" s="29" t="inlineStr">
        <is>
          <t>Not assessed</t>
        </is>
      </c>
      <c r="AU298" s="29" t="inlineStr">
        <is>
          <t>Not assessed</t>
        </is>
      </c>
      <c r="AV298" s="29" t="inlineStr">
        <is>
          <t>Not assessed</t>
        </is>
      </c>
      <c r="AW298" s="29" t="inlineStr">
        <is>
          <t>Not assessed</t>
        </is>
      </c>
      <c r="AX298" s="29" t="inlineStr">
        <is>
          <t>Not assessed</t>
        </is>
      </c>
      <c r="AY298" s="29" t="inlineStr">
        <is>
          <t>Not assessed</t>
        </is>
      </c>
      <c r="AZ298" s="29" t="inlineStr">
        <is>
          <t>Not assessed</t>
        </is>
      </c>
      <c r="BA298" s="29" t="inlineStr">
        <is>
          <t>Not assessed</t>
        </is>
      </c>
      <c r="BB298" s="29" t="inlineStr">
        <is>
          <t>Not assessed</t>
        </is>
      </c>
      <c r="BC298" s="29" t="inlineStr">
        <is>
          <t>Not assessed</t>
        </is>
      </c>
      <c r="BD298" s="29" t="inlineStr">
        <is>
          <t>Not assessed</t>
        </is>
      </c>
      <c r="BE298" s="29" t="inlineStr">
        <is>
          <t>Development required</t>
        </is>
      </c>
      <c r="BF298" s="29" t="inlineStr">
        <is>
          <t>Physical implementation is not complete against the stated requirement.; Searched source code for profile, identity, privacy, settings, block, account, download, delete. No implementation found.</t>
        </is>
      </c>
      <c r="BG298" s="29" t="inlineStr"/>
      <c r="BH298" s="29" t="inlineStr"/>
      <c r="BI298" s="29" t="inlineStr"/>
      <c r="BJ298" s="29" t="inlineStr"/>
      <c r="BK298" s="29" t="inlineStr">
        <is>
          <t>Evidence reconciled against the reviewed source revision. No production approval is inferred from implementation or file presence.</t>
        </is>
      </c>
      <c r="BL298" s="29" t="inlineStr">
        <is>
          <t>2026-08-02</t>
        </is>
      </c>
    </row>
    <row r="299" ht="42" customHeight="1">
      <c r="A299" s="29" t="inlineStr">
        <is>
          <t>BLYP-15-011</t>
        </is>
      </c>
      <c r="B299" s="29" t="inlineStr"/>
      <c r="C299" s="29" t="inlineStr">
        <is>
          <t>Profiles, identity, and privacy</t>
        </is>
      </c>
      <c r="D299" s="29" t="n">
        <v>15</v>
      </c>
      <c r="E299" s="29" t="n">
        <v>11</v>
      </c>
      <c r="F299" s="29" t="inlineStr">
        <is>
          <t>Feature</t>
        </is>
      </c>
      <c r="G299" s="29" t="inlineStr">
        <is>
          <t>Profile activity</t>
        </is>
      </c>
      <c r="H299" s="29" t="inlineStr">
        <is>
          <t>Profile activity</t>
        </is>
      </c>
      <c r="I299" s="29" t="inlineStr">
        <is>
          <t>/home/ubuntu/blyp_product_requirements.md :: Section 15 — Profiles, identity, and privacy</t>
        </is>
      </c>
      <c r="J299" s="29" t="inlineStr">
        <is>
          <t>/home/ubuntu/BLYP_COMPLETE_FEATURE_LIST.md:383</t>
        </is>
      </c>
      <c r="K299" s="29" t="inlineStr">
        <is>
          <t>Required</t>
        </is>
      </c>
      <c r="L299" s="29" t="inlineStr">
        <is>
          <t>Applicable BLYP member</t>
        </is>
      </c>
      <c r="M299" s="29" t="inlineStr">
        <is>
          <t>BLYP mobile application and supporting production services</t>
        </is>
      </c>
      <c r="N299" s="29" t="inlineStr">
        <is>
          <t>Profile activity</t>
        </is>
      </c>
      <c r="O299" s="29" t="inlineStr">
        <is>
          <t>Not explicitly defined in the product source; requires accountable product approval before production sign-off.</t>
        </is>
      </c>
      <c r="P299" s="29" t="inlineStr"/>
      <c r="Q299" s="29" t="inlineStr">
        <is>
          <t>Yes</t>
        </is>
      </c>
      <c r="R299" s="29" t="inlineStr"/>
      <c r="S299" s="29" t="inlineStr">
        <is>
          <t>UI only</t>
        </is>
      </c>
      <c r="T299" s="29" t="inlineStr">
        <is>
          <t>App.js</t>
        </is>
      </c>
      <c r="U299" s="29" t="inlineStr">
        <is>
          <t>src/screens/ProfileScreen.js, src/screens/EditProfileScreen.js, src/screens/UserProfileScreen.js</t>
        </is>
      </c>
      <c r="V299" s="29" t="inlineStr"/>
      <c r="W299" s="29" t="inlineStr"/>
      <c r="X299" s="29" t="inlineStr"/>
      <c r="Y299" s="29" t="inlineStr"/>
      <c r="Z299" s="29" t="inlineStr"/>
      <c r="AA299" s="29" t="inlineStr"/>
      <c r="AB299" s="29" t="inlineStr"/>
      <c r="AC299" s="29" t="inlineStr"/>
      <c r="AD299" s="29" t="inlineStr"/>
      <c r="AE299" s="29" t="inlineStr">
        <is>
          <t>Internally reachable</t>
        </is>
      </c>
      <c r="AF299" s="29" t="inlineStr">
        <is>
          <t>App.js</t>
        </is>
      </c>
      <c r="AG299" s="29" t="inlineStr">
        <is>
          <t>Incomplete</t>
        </is>
      </c>
      <c r="AH299" s="29" t="inlineStr">
        <is>
          <t>No</t>
        </is>
      </c>
      <c r="AI299" s="29" t="inlineStr">
        <is>
          <t>UI exists but no backend persistence or logic found.</t>
        </is>
      </c>
      <c r="AJ299" s="29" t="inlineStr">
        <is>
          <t>Not verified</t>
        </is>
      </c>
      <c r="AK299" s="29" t="inlineStr">
        <is>
          <t>EV-15-0011;EV-15-0012</t>
        </is>
      </c>
      <c r="AL299" s="29" t="inlineStr"/>
      <c r="AM299" s="29" t="inlineStr"/>
      <c r="AN299" s="29" t="inlineStr"/>
      <c r="AO299" s="29" t="inlineStr">
        <is>
          <t>8bc0dcb2a1da1b21368c5536aaeef829d587f316</t>
        </is>
      </c>
      <c r="AP299" s="29" t="inlineStr">
        <is>
          <t>High</t>
        </is>
      </c>
      <c r="AQ299" s="29" t="inlineStr">
        <is>
          <t>Not assessed</t>
        </is>
      </c>
      <c r="AR299" s="29" t="inlineStr">
        <is>
          <t>Not assessed</t>
        </is>
      </c>
      <c r="AS299" s="29" t="inlineStr">
        <is>
          <t>Fail</t>
        </is>
      </c>
      <c r="AT299" s="29" t="inlineStr">
        <is>
          <t>Not assessed</t>
        </is>
      </c>
      <c r="AU299" s="29" t="inlineStr">
        <is>
          <t>Not assessed</t>
        </is>
      </c>
      <c r="AV299" s="29" t="inlineStr">
        <is>
          <t>Not assessed</t>
        </is>
      </c>
      <c r="AW299" s="29" t="inlineStr">
        <is>
          <t>Not assessed</t>
        </is>
      </c>
      <c r="AX299" s="29" t="inlineStr">
        <is>
          <t>Not assessed</t>
        </is>
      </c>
      <c r="AY299" s="29" t="inlineStr">
        <is>
          <t>Not assessed</t>
        </is>
      </c>
      <c r="AZ299" s="29" t="inlineStr">
        <is>
          <t>Not assessed</t>
        </is>
      </c>
      <c r="BA299" s="29" t="inlineStr">
        <is>
          <t>Not assessed</t>
        </is>
      </c>
      <c r="BB299" s="29" t="inlineStr">
        <is>
          <t>Not assessed</t>
        </is>
      </c>
      <c r="BC299" s="29" t="inlineStr">
        <is>
          <t>Not assessed</t>
        </is>
      </c>
      <c r="BD299" s="29" t="inlineStr">
        <is>
          <t>Not assessed</t>
        </is>
      </c>
      <c r="BE299" s="29" t="inlineStr">
        <is>
          <t>Development required</t>
        </is>
      </c>
      <c r="BF299" s="29" t="inlineStr">
        <is>
          <t>Physical implementation is not complete against the stated requirement.; UI exists but no backend persistence or logic found.</t>
        </is>
      </c>
      <c r="BG299" s="29" t="inlineStr"/>
      <c r="BH299" s="29" t="inlineStr"/>
      <c r="BI299" s="29" t="inlineStr"/>
      <c r="BJ299" s="29" t="inlineStr"/>
      <c r="BK299" s="29" t="inlineStr">
        <is>
          <t>Evidence reconciled against the reviewed source revision. No production approval is inferred from implementation or file presence.</t>
        </is>
      </c>
      <c r="BL299" s="29" t="inlineStr">
        <is>
          <t>2026-08-02</t>
        </is>
      </c>
    </row>
    <row r="300" ht="42" customHeight="1">
      <c r="A300" s="29" t="inlineStr">
        <is>
          <t>BLYP-15-012</t>
        </is>
      </c>
      <c r="B300" s="29" t="inlineStr"/>
      <c r="C300" s="29" t="inlineStr">
        <is>
          <t>Profiles, identity, and privacy</t>
        </is>
      </c>
      <c r="D300" s="29" t="n">
        <v>15</v>
      </c>
      <c r="E300" s="29" t="n">
        <v>12</v>
      </c>
      <c r="F300" s="29" t="inlineStr">
        <is>
          <t>Feature</t>
        </is>
      </c>
      <c r="G300" s="29" t="inlineStr">
        <is>
          <t>Profile Interests</t>
        </is>
      </c>
      <c r="H300" s="29" t="inlineStr">
        <is>
          <t>Profile Interests</t>
        </is>
      </c>
      <c r="I300" s="29" t="inlineStr">
        <is>
          <t>/home/ubuntu/blyp_product_requirements.md :: Section 15 — Profiles, identity, and privacy</t>
        </is>
      </c>
      <c r="J300" s="29" t="inlineStr">
        <is>
          <t>/home/ubuntu/BLYP_COMPLETE_FEATURE_LIST.md:384</t>
        </is>
      </c>
      <c r="K300" s="29" t="inlineStr">
        <is>
          <t>Required</t>
        </is>
      </c>
      <c r="L300" s="29" t="inlineStr">
        <is>
          <t>Applicable BLYP member</t>
        </is>
      </c>
      <c r="M300" s="29" t="inlineStr">
        <is>
          <t>BLYP mobile application and supporting production services</t>
        </is>
      </c>
      <c r="N300" s="29" t="inlineStr">
        <is>
          <t>Profile Interests</t>
        </is>
      </c>
      <c r="O300" s="29" t="inlineStr">
        <is>
          <t>Not explicitly defined in the product source; requires accountable product approval before production sign-off.</t>
        </is>
      </c>
      <c r="P300" s="29" t="inlineStr"/>
      <c r="Q300" s="29" t="inlineStr">
        <is>
          <t>Partial</t>
        </is>
      </c>
      <c r="R300" s="29" t="inlineStr"/>
      <c r="S300" s="29" t="inlineStr">
        <is>
          <t>UI only</t>
        </is>
      </c>
      <c r="T300" s="29" t="inlineStr">
        <is>
          <t>App.js</t>
        </is>
      </c>
      <c r="U300" s="29" t="inlineStr">
        <is>
          <t>src/screens/ProfileScreen.js, src/screens/EditProfileScreen.js, src/screens/UserProfileScreen.js</t>
        </is>
      </c>
      <c r="V300" s="29" t="inlineStr"/>
      <c r="W300" s="29" t="inlineStr"/>
      <c r="X300" s="29" t="inlineStr"/>
      <c r="Y300" s="29" t="inlineStr"/>
      <c r="Z300" s="29" t="inlineStr"/>
      <c r="AA300" s="29" t="inlineStr"/>
      <c r="AB300" s="29" t="inlineStr"/>
      <c r="AC300" s="29" t="inlineStr"/>
      <c r="AD300" s="29" t="inlineStr"/>
      <c r="AE300" s="29" t="inlineStr">
        <is>
          <t>Internally reachable</t>
        </is>
      </c>
      <c r="AF300" s="29" t="inlineStr">
        <is>
          <t>App.js</t>
        </is>
      </c>
      <c r="AG300" s="29" t="inlineStr">
        <is>
          <t>Incomplete</t>
        </is>
      </c>
      <c r="AH300" s="29" t="inlineStr">
        <is>
          <t>No</t>
        </is>
      </c>
      <c r="AI300" s="29" t="inlineStr">
        <is>
          <t>UI exists but no backend persistence or logic found.</t>
        </is>
      </c>
      <c r="AJ300" s="29" t="inlineStr">
        <is>
          <t>Not verified</t>
        </is>
      </c>
      <c r="AK300" s="29" t="inlineStr">
        <is>
          <t>EV-15-0013;EV-15-0014</t>
        </is>
      </c>
      <c r="AL300" s="29" t="inlineStr"/>
      <c r="AM300" s="29" t="inlineStr"/>
      <c r="AN300" s="29" t="inlineStr"/>
      <c r="AO300" s="29" t="inlineStr">
        <is>
          <t>8bc0dcb2a1da1b21368c5536aaeef829d587f316</t>
        </is>
      </c>
      <c r="AP300" s="29" t="inlineStr">
        <is>
          <t>High</t>
        </is>
      </c>
      <c r="AQ300" s="29" t="inlineStr">
        <is>
          <t>Not assessed</t>
        </is>
      </c>
      <c r="AR300" s="29" t="inlineStr">
        <is>
          <t>Not assessed</t>
        </is>
      </c>
      <c r="AS300" s="29" t="inlineStr">
        <is>
          <t>Fail</t>
        </is>
      </c>
      <c r="AT300" s="29" t="inlineStr">
        <is>
          <t>Not assessed</t>
        </is>
      </c>
      <c r="AU300" s="29" t="inlineStr">
        <is>
          <t>Not assessed</t>
        </is>
      </c>
      <c r="AV300" s="29" t="inlineStr">
        <is>
          <t>Not assessed</t>
        </is>
      </c>
      <c r="AW300" s="29" t="inlineStr">
        <is>
          <t>Not assessed</t>
        </is>
      </c>
      <c r="AX300" s="29" t="inlineStr">
        <is>
          <t>Not assessed</t>
        </is>
      </c>
      <c r="AY300" s="29" t="inlineStr">
        <is>
          <t>Not assessed</t>
        </is>
      </c>
      <c r="AZ300" s="29" t="inlineStr">
        <is>
          <t>Not assessed</t>
        </is>
      </c>
      <c r="BA300" s="29" t="inlineStr">
        <is>
          <t>Not assessed</t>
        </is>
      </c>
      <c r="BB300" s="29" t="inlineStr">
        <is>
          <t>Not assessed</t>
        </is>
      </c>
      <c r="BC300" s="29" t="inlineStr">
        <is>
          <t>Not assessed</t>
        </is>
      </c>
      <c r="BD300" s="29" t="inlineStr">
        <is>
          <t>Not assessed</t>
        </is>
      </c>
      <c r="BE300" s="29" t="inlineStr">
        <is>
          <t>Development required</t>
        </is>
      </c>
      <c r="BF300" s="29" t="inlineStr">
        <is>
          <t>Physical implementation is not complete against the stated requirement.; UI exists but no backend persistence or logic found.</t>
        </is>
      </c>
      <c r="BG300" s="29" t="inlineStr"/>
      <c r="BH300" s="29" t="inlineStr"/>
      <c r="BI300" s="29" t="inlineStr"/>
      <c r="BJ300" s="29" t="inlineStr"/>
      <c r="BK300" s="29" t="inlineStr">
        <is>
          <t>Evidence reconciled against the reviewed source revision. No production approval is inferred from implementation or file presence.</t>
        </is>
      </c>
      <c r="BL300" s="29" t="inlineStr">
        <is>
          <t>2026-08-02</t>
        </is>
      </c>
    </row>
    <row r="301" ht="42" customHeight="1">
      <c r="A301" s="29" t="inlineStr">
        <is>
          <t>BLYP-15-013</t>
        </is>
      </c>
      <c r="B301" s="29" t="inlineStr"/>
      <c r="C301" s="29" t="inlineStr">
        <is>
          <t>Profiles, identity, and privacy</t>
        </is>
      </c>
      <c r="D301" s="29" t="n">
        <v>15</v>
      </c>
      <c r="E301" s="29" t="n">
        <v>13</v>
      </c>
      <c r="F301" s="29" t="inlineStr">
        <is>
          <t>Feature</t>
        </is>
      </c>
      <c r="G301" s="29" t="inlineStr">
        <is>
          <t>Profile Teams</t>
        </is>
      </c>
      <c r="H301" s="29" t="inlineStr">
        <is>
          <t>Profile Teams</t>
        </is>
      </c>
      <c r="I301" s="29" t="inlineStr">
        <is>
          <t>/home/ubuntu/blyp_product_requirements.md :: Section 15 — Profiles, identity, and privacy</t>
        </is>
      </c>
      <c r="J301" s="29" t="inlineStr">
        <is>
          <t>/home/ubuntu/BLYP_COMPLETE_FEATURE_LIST.md:385</t>
        </is>
      </c>
      <c r="K301" s="29" t="inlineStr">
        <is>
          <t>Required</t>
        </is>
      </c>
      <c r="L301" s="29" t="inlineStr">
        <is>
          <t>Applicable BLYP member</t>
        </is>
      </c>
      <c r="M301" s="29" t="inlineStr">
        <is>
          <t>BLYP mobile application and supporting production services</t>
        </is>
      </c>
      <c r="N301" s="29" t="inlineStr">
        <is>
          <t>Profile Teams</t>
        </is>
      </c>
      <c r="O301" s="29" t="inlineStr">
        <is>
          <t>Not explicitly defined in the product source; requires accountable product approval before production sign-off.</t>
        </is>
      </c>
      <c r="P301" s="29" t="inlineStr"/>
      <c r="Q301" s="29" t="inlineStr">
        <is>
          <t>Scaffold only</t>
        </is>
      </c>
      <c r="R301" s="29" t="inlineStr"/>
      <c r="S301" s="29" t="inlineStr">
        <is>
          <t>UI only</t>
        </is>
      </c>
      <c r="T301" s="29" t="inlineStr">
        <is>
          <t>App.js</t>
        </is>
      </c>
      <c r="U301" s="29" t="inlineStr">
        <is>
          <t>src/screens/ProfileScreen.js, src/screens/EditProfileScreen.js, src/screens/UserProfileScreen.js</t>
        </is>
      </c>
      <c r="V301" s="29" t="inlineStr"/>
      <c r="W301" s="29" t="inlineStr"/>
      <c r="X301" s="29" t="inlineStr"/>
      <c r="Y301" s="29" t="inlineStr"/>
      <c r="Z301" s="29" t="inlineStr"/>
      <c r="AA301" s="29" t="inlineStr"/>
      <c r="AB301" s="29" t="inlineStr"/>
      <c r="AC301" s="29" t="inlineStr"/>
      <c r="AD301" s="29" t="inlineStr"/>
      <c r="AE301" s="29" t="inlineStr">
        <is>
          <t>Internally reachable</t>
        </is>
      </c>
      <c r="AF301" s="29" t="inlineStr">
        <is>
          <t>App.js</t>
        </is>
      </c>
      <c r="AG301" s="29" t="inlineStr">
        <is>
          <t>Incomplete</t>
        </is>
      </c>
      <c r="AH301" s="29" t="inlineStr">
        <is>
          <t>No</t>
        </is>
      </c>
      <c r="AI301" s="29" t="inlineStr">
        <is>
          <t>UI exists but no backend persistence or logic found.</t>
        </is>
      </c>
      <c r="AJ301" s="29" t="inlineStr">
        <is>
          <t>Not verified</t>
        </is>
      </c>
      <c r="AK301" s="29" t="inlineStr">
        <is>
          <t>EV-15-0015;EV-15-0016</t>
        </is>
      </c>
      <c r="AL301" s="29" t="inlineStr"/>
      <c r="AM301" s="29" t="inlineStr"/>
      <c r="AN301" s="29" t="inlineStr"/>
      <c r="AO301" s="29" t="inlineStr">
        <is>
          <t>8bc0dcb2a1da1b21368c5536aaeef829d587f316</t>
        </is>
      </c>
      <c r="AP301" s="29" t="inlineStr">
        <is>
          <t>High</t>
        </is>
      </c>
      <c r="AQ301" s="29" t="inlineStr">
        <is>
          <t>Not assessed</t>
        </is>
      </c>
      <c r="AR301" s="29" t="inlineStr">
        <is>
          <t>Not assessed</t>
        </is>
      </c>
      <c r="AS301" s="29" t="inlineStr">
        <is>
          <t>Fail</t>
        </is>
      </c>
      <c r="AT301" s="29" t="inlineStr">
        <is>
          <t>Not assessed</t>
        </is>
      </c>
      <c r="AU301" s="29" t="inlineStr">
        <is>
          <t>Not assessed</t>
        </is>
      </c>
      <c r="AV301" s="29" t="inlineStr">
        <is>
          <t>Not assessed</t>
        </is>
      </c>
      <c r="AW301" s="29" t="inlineStr">
        <is>
          <t>Not assessed</t>
        </is>
      </c>
      <c r="AX301" s="29" t="inlineStr">
        <is>
          <t>Not assessed</t>
        </is>
      </c>
      <c r="AY301" s="29" t="inlineStr">
        <is>
          <t>Not assessed</t>
        </is>
      </c>
      <c r="AZ301" s="29" t="inlineStr">
        <is>
          <t>Not assessed</t>
        </is>
      </c>
      <c r="BA301" s="29" t="inlineStr">
        <is>
          <t>Not assessed</t>
        </is>
      </c>
      <c r="BB301" s="29" t="inlineStr">
        <is>
          <t>Not assessed</t>
        </is>
      </c>
      <c r="BC301" s="29" t="inlineStr">
        <is>
          <t>Not assessed</t>
        </is>
      </c>
      <c r="BD301" s="29" t="inlineStr">
        <is>
          <t>Not assessed</t>
        </is>
      </c>
      <c r="BE301" s="29" t="inlineStr">
        <is>
          <t>Development required</t>
        </is>
      </c>
      <c r="BF301" s="29" t="inlineStr">
        <is>
          <t>Physical implementation is not complete against the stated requirement.; UI exists but no backend persistence or logic found.</t>
        </is>
      </c>
      <c r="BG301" s="29" t="inlineStr"/>
      <c r="BH301" s="29" t="inlineStr"/>
      <c r="BI301" s="29" t="inlineStr"/>
      <c r="BJ301" s="29" t="inlineStr"/>
      <c r="BK301" s="29" t="inlineStr">
        <is>
          <t>Evidence reconciled against the reviewed source revision. No production approval is inferred from implementation or file presence.</t>
        </is>
      </c>
      <c r="BL301" s="29" t="inlineStr">
        <is>
          <t>2026-08-02</t>
        </is>
      </c>
    </row>
    <row r="302" ht="42" customHeight="1">
      <c r="A302" s="29" t="inlineStr">
        <is>
          <t>BLYP-15-014</t>
        </is>
      </c>
      <c r="B302" s="29" t="inlineStr"/>
      <c r="C302" s="29" t="inlineStr">
        <is>
          <t>Profiles, identity, and privacy</t>
        </is>
      </c>
      <c r="D302" s="29" t="n">
        <v>15</v>
      </c>
      <c r="E302" s="29" t="n">
        <v>14</v>
      </c>
      <c r="F302" s="29" t="inlineStr">
        <is>
          <t>Feature</t>
        </is>
      </c>
      <c r="G302" s="29" t="inlineStr">
        <is>
          <t>Profile achievements</t>
        </is>
      </c>
      <c r="H302" s="29" t="inlineStr">
        <is>
          <t>Profile achievements</t>
        </is>
      </c>
      <c r="I302" s="29" t="inlineStr">
        <is>
          <t>/home/ubuntu/blyp_product_requirements.md :: Section 15 — Profiles, identity, and privacy</t>
        </is>
      </c>
      <c r="J302" s="29" t="inlineStr">
        <is>
          <t>/home/ubuntu/BLYP_COMPLETE_FEATURE_LIST.md:386</t>
        </is>
      </c>
      <c r="K302" s="29" t="inlineStr">
        <is>
          <t>Required</t>
        </is>
      </c>
      <c r="L302" s="29" t="inlineStr">
        <is>
          <t>Applicable BLYP member</t>
        </is>
      </c>
      <c r="M302" s="29" t="inlineStr">
        <is>
          <t>BLYP mobile application and supporting production services</t>
        </is>
      </c>
      <c r="N302" s="29" t="inlineStr">
        <is>
          <t>Profile achievements</t>
        </is>
      </c>
      <c r="O302" s="29" t="inlineStr">
        <is>
          <t>Not explicitly defined in the product source; requires accountable product approval before production sign-off.</t>
        </is>
      </c>
      <c r="P302" s="29" t="inlineStr"/>
      <c r="Q302" s="29" t="inlineStr">
        <is>
          <t>Scaffold only</t>
        </is>
      </c>
      <c r="R302" s="29" t="inlineStr"/>
      <c r="S302" s="29" t="inlineStr">
        <is>
          <t>UI only</t>
        </is>
      </c>
      <c r="T302" s="29" t="inlineStr">
        <is>
          <t>App.js</t>
        </is>
      </c>
      <c r="U302" s="29" t="inlineStr">
        <is>
          <t>src/screens/ProfileScreen.js, src/screens/EditProfileScreen.js, src/screens/UserProfileScreen.js</t>
        </is>
      </c>
      <c r="V302" s="29" t="inlineStr"/>
      <c r="W302" s="29" t="inlineStr"/>
      <c r="X302" s="29" t="inlineStr"/>
      <c r="Y302" s="29" t="inlineStr"/>
      <c r="Z302" s="29" t="inlineStr"/>
      <c r="AA302" s="29" t="inlineStr"/>
      <c r="AB302" s="29" t="inlineStr"/>
      <c r="AC302" s="29" t="inlineStr"/>
      <c r="AD302" s="29" t="inlineStr"/>
      <c r="AE302" s="29" t="inlineStr">
        <is>
          <t>Internally reachable</t>
        </is>
      </c>
      <c r="AF302" s="29" t="inlineStr">
        <is>
          <t>App.js</t>
        </is>
      </c>
      <c r="AG302" s="29" t="inlineStr">
        <is>
          <t>Incomplete</t>
        </is>
      </c>
      <c r="AH302" s="29" t="inlineStr">
        <is>
          <t>No</t>
        </is>
      </c>
      <c r="AI302" s="29" t="inlineStr">
        <is>
          <t>UI exists but no backend persistence or logic found.</t>
        </is>
      </c>
      <c r="AJ302" s="29" t="inlineStr">
        <is>
          <t>Not verified</t>
        </is>
      </c>
      <c r="AK302" s="29" t="inlineStr">
        <is>
          <t>EV-15-0017;EV-15-0018</t>
        </is>
      </c>
      <c r="AL302" s="29" t="inlineStr"/>
      <c r="AM302" s="29" t="inlineStr"/>
      <c r="AN302" s="29" t="inlineStr"/>
      <c r="AO302" s="29" t="inlineStr">
        <is>
          <t>8bc0dcb2a1da1b21368c5536aaeef829d587f316</t>
        </is>
      </c>
      <c r="AP302" s="29" t="inlineStr">
        <is>
          <t>High</t>
        </is>
      </c>
      <c r="AQ302" s="29" t="inlineStr">
        <is>
          <t>Not assessed</t>
        </is>
      </c>
      <c r="AR302" s="29" t="inlineStr">
        <is>
          <t>Not assessed</t>
        </is>
      </c>
      <c r="AS302" s="29" t="inlineStr">
        <is>
          <t>Fail</t>
        </is>
      </c>
      <c r="AT302" s="29" t="inlineStr">
        <is>
          <t>Not assessed</t>
        </is>
      </c>
      <c r="AU302" s="29" t="inlineStr">
        <is>
          <t>Not assessed</t>
        </is>
      </c>
      <c r="AV302" s="29" t="inlineStr">
        <is>
          <t>Not assessed</t>
        </is>
      </c>
      <c r="AW302" s="29" t="inlineStr">
        <is>
          <t>Not assessed</t>
        </is>
      </c>
      <c r="AX302" s="29" t="inlineStr">
        <is>
          <t>Not assessed</t>
        </is>
      </c>
      <c r="AY302" s="29" t="inlineStr">
        <is>
          <t>Not assessed</t>
        </is>
      </c>
      <c r="AZ302" s="29" t="inlineStr">
        <is>
          <t>Not assessed</t>
        </is>
      </c>
      <c r="BA302" s="29" t="inlineStr">
        <is>
          <t>Not assessed</t>
        </is>
      </c>
      <c r="BB302" s="29" t="inlineStr">
        <is>
          <t>Not assessed</t>
        </is>
      </c>
      <c r="BC302" s="29" t="inlineStr">
        <is>
          <t>Not assessed</t>
        </is>
      </c>
      <c r="BD302" s="29" t="inlineStr">
        <is>
          <t>Not assessed</t>
        </is>
      </c>
      <c r="BE302" s="29" t="inlineStr">
        <is>
          <t>Development required</t>
        </is>
      </c>
      <c r="BF302" s="29" t="inlineStr">
        <is>
          <t>Physical implementation is not complete against the stated requirement.; UI exists but no backend persistence or logic found.</t>
        </is>
      </c>
      <c r="BG302" s="29" t="inlineStr"/>
      <c r="BH302" s="29" t="inlineStr"/>
      <c r="BI302" s="29" t="inlineStr"/>
      <c r="BJ302" s="29" t="inlineStr"/>
      <c r="BK302" s="29" t="inlineStr">
        <is>
          <t>Evidence reconciled against the reviewed source revision. No production approval is inferred from implementation or file presence.</t>
        </is>
      </c>
      <c r="BL302" s="29" t="inlineStr">
        <is>
          <t>2026-08-02</t>
        </is>
      </c>
    </row>
    <row r="303" ht="42" customHeight="1">
      <c r="A303" s="29" t="inlineStr">
        <is>
          <t>BLYP-15-015</t>
        </is>
      </c>
      <c r="B303" s="29" t="inlineStr"/>
      <c r="C303" s="29" t="inlineStr">
        <is>
          <t>Profiles, identity, and privacy</t>
        </is>
      </c>
      <c r="D303" s="29" t="n">
        <v>15</v>
      </c>
      <c r="E303" s="29" t="n">
        <v>15</v>
      </c>
      <c r="F303" s="29" t="inlineStr">
        <is>
          <t>Feature</t>
        </is>
      </c>
      <c r="G303" s="29" t="inlineStr">
        <is>
          <t>Verification indicator</t>
        </is>
      </c>
      <c r="H303" s="29" t="inlineStr">
        <is>
          <t>Verification indicator</t>
        </is>
      </c>
      <c r="I303" s="29" t="inlineStr">
        <is>
          <t>/home/ubuntu/blyp_product_requirements.md :: Section 15 — Profiles, identity, and privacy</t>
        </is>
      </c>
      <c r="J303" s="29" t="inlineStr">
        <is>
          <t>/home/ubuntu/BLYP_COMPLETE_FEATURE_LIST.md:387</t>
        </is>
      </c>
      <c r="K303" s="29" t="inlineStr">
        <is>
          <t>Required</t>
        </is>
      </c>
      <c r="L303" s="29" t="inlineStr">
        <is>
          <t>Applicable BLYP member</t>
        </is>
      </c>
      <c r="M303" s="29" t="inlineStr">
        <is>
          <t>BLYP mobile application and supporting production services</t>
        </is>
      </c>
      <c r="N303" s="29" t="inlineStr">
        <is>
          <t>Verification indicator</t>
        </is>
      </c>
      <c r="O303" s="29" t="inlineStr">
        <is>
          <t>Not explicitly defined in the product source; requires accountable product approval before production sign-off.</t>
        </is>
      </c>
      <c r="P303" s="29" t="inlineStr"/>
      <c r="Q303" s="29" t="inlineStr">
        <is>
          <t>Yes</t>
        </is>
      </c>
      <c r="R303" s="29" t="inlineStr">
        <is>
          <t>administrator-controlled fields exist.</t>
        </is>
      </c>
      <c r="S303" s="29" t="inlineStr">
        <is>
          <t>Not found</t>
        </is>
      </c>
      <c r="T303" s="29" t="inlineStr"/>
      <c r="U303" s="29" t="inlineStr"/>
      <c r="V303" s="29" t="inlineStr"/>
      <c r="W303" s="29" t="inlineStr"/>
      <c r="X303" s="29" t="inlineStr"/>
      <c r="Y303" s="29" t="inlineStr"/>
      <c r="Z303" s="29" t="inlineStr"/>
      <c r="AA303" s="29" t="inlineStr"/>
      <c r="AB303" s="29" t="inlineStr"/>
      <c r="AC303" s="29" t="inlineStr"/>
      <c r="AD303" s="29" t="inlineStr"/>
      <c r="AE303" s="29" t="inlineStr">
        <is>
          <t>Unknown</t>
        </is>
      </c>
      <c r="AF303" s="29" t="inlineStr"/>
      <c r="AG303" s="29" t="inlineStr">
        <is>
          <t>Unknown</t>
        </is>
      </c>
      <c r="AH303" s="29" t="inlineStr">
        <is>
          <t>Unknown</t>
        </is>
      </c>
      <c r="AI303" s="29" t="inlineStr">
        <is>
          <t>Searched source code for profile, identity, privacy, settings, block, account, download, delete. No implementation found.</t>
        </is>
      </c>
      <c r="AJ303" s="29" t="inlineStr">
        <is>
          <t>Not verified</t>
        </is>
      </c>
      <c r="AK303" s="29" t="inlineStr">
        <is>
          <t>EV-15-0019</t>
        </is>
      </c>
      <c r="AL303" s="29" t="inlineStr"/>
      <c r="AM303" s="29" t="inlineStr"/>
      <c r="AN303" s="29" t="inlineStr"/>
      <c r="AO303" s="29" t="inlineStr">
        <is>
          <t>8bc0dcb2a1da1b21368c5536aaeef829d587f316</t>
        </is>
      </c>
      <c r="AP303" s="29" t="inlineStr">
        <is>
          <t>High</t>
        </is>
      </c>
      <c r="AQ303" s="29" t="inlineStr">
        <is>
          <t>Not assessed</t>
        </is>
      </c>
      <c r="AR303" s="29" t="inlineStr">
        <is>
          <t>Not assessed</t>
        </is>
      </c>
      <c r="AS303" s="29" t="inlineStr">
        <is>
          <t>Not assessed</t>
        </is>
      </c>
      <c r="AT303" s="29" t="inlineStr">
        <is>
          <t>Not assessed</t>
        </is>
      </c>
      <c r="AU303" s="29" t="inlineStr">
        <is>
          <t>Not assessed</t>
        </is>
      </c>
      <c r="AV303" s="29" t="inlineStr">
        <is>
          <t>Not assessed</t>
        </is>
      </c>
      <c r="AW303" s="29" t="inlineStr">
        <is>
          <t>Not assessed</t>
        </is>
      </c>
      <c r="AX303" s="29" t="inlineStr">
        <is>
          <t>Not assessed</t>
        </is>
      </c>
      <c r="AY303" s="29" t="inlineStr">
        <is>
          <t>Not assessed</t>
        </is>
      </c>
      <c r="AZ303" s="29" t="inlineStr">
        <is>
          <t>Not assessed</t>
        </is>
      </c>
      <c r="BA303" s="29" t="inlineStr">
        <is>
          <t>Not assessed</t>
        </is>
      </c>
      <c r="BB303" s="29" t="inlineStr">
        <is>
          <t>Not assessed</t>
        </is>
      </c>
      <c r="BC303" s="29" t="inlineStr">
        <is>
          <t>Not assessed</t>
        </is>
      </c>
      <c r="BD303" s="29" t="inlineStr">
        <is>
          <t>Not assessed</t>
        </is>
      </c>
      <c r="BE303" s="29" t="inlineStr">
        <is>
          <t>Development required</t>
        </is>
      </c>
      <c r="BF303" s="29" t="inlineStr">
        <is>
          <t>Physical implementation is not complete against the stated requirement.; Searched source code for profile, identity, privacy, settings, block, account, download, delete. No implementation found.</t>
        </is>
      </c>
      <c r="BG303" s="29" t="inlineStr"/>
      <c r="BH303" s="29" t="inlineStr"/>
      <c r="BI303" s="29" t="inlineStr"/>
      <c r="BJ303" s="29" t="inlineStr"/>
      <c r="BK303" s="29" t="inlineStr">
        <is>
          <t>Evidence reconciled against the reviewed source revision. No production approval is inferred from implementation or file presence.</t>
        </is>
      </c>
      <c r="BL303" s="29" t="inlineStr">
        <is>
          <t>2026-08-02</t>
        </is>
      </c>
    </row>
    <row r="304" ht="42" customHeight="1">
      <c r="A304" s="29" t="inlineStr">
        <is>
          <t>BLYP-15-016</t>
        </is>
      </c>
      <c r="B304" s="29" t="inlineStr"/>
      <c r="C304" s="29" t="inlineStr">
        <is>
          <t>Profiles, identity, and privacy</t>
        </is>
      </c>
      <c r="D304" s="29" t="n">
        <v>15</v>
      </c>
      <c r="E304" s="29" t="n">
        <v>16</v>
      </c>
      <c r="F304" s="29" t="inlineStr">
        <is>
          <t>Feature</t>
        </is>
      </c>
      <c r="G304" s="29" t="inlineStr">
        <is>
          <t>Separate Dating profile</t>
        </is>
      </c>
      <c r="H304" s="29" t="inlineStr">
        <is>
          <t>Separate Dating profile</t>
        </is>
      </c>
      <c r="I304" s="29" t="inlineStr">
        <is>
          <t>/home/ubuntu/blyp_product_requirements.md :: Section 15 — Profiles, identity, and privacy</t>
        </is>
      </c>
      <c r="J304" s="29" t="inlineStr">
        <is>
          <t>/home/ubuntu/BLYP_COMPLETE_FEATURE_LIST.md:388</t>
        </is>
      </c>
      <c r="K304" s="29" t="inlineStr">
        <is>
          <t>Required</t>
        </is>
      </c>
      <c r="L304" s="29" t="inlineStr">
        <is>
          <t>Applicable BLYP member</t>
        </is>
      </c>
      <c r="M304" s="29" t="inlineStr">
        <is>
          <t>BLYP mobile application and supporting production services</t>
        </is>
      </c>
      <c r="N304" s="29" t="inlineStr">
        <is>
          <t>Separate Dating profile</t>
        </is>
      </c>
      <c r="O304" s="29" t="inlineStr">
        <is>
          <t>Not explicitly defined in the product source; requires accountable product approval before production sign-off.</t>
        </is>
      </c>
      <c r="P304" s="29" t="inlineStr"/>
      <c r="Q304" s="29" t="inlineStr">
        <is>
          <t>No evidence</t>
        </is>
      </c>
      <c r="R304" s="29" t="inlineStr"/>
      <c r="S304" s="29" t="inlineStr">
        <is>
          <t>Not found</t>
        </is>
      </c>
      <c r="T304" s="29" t="inlineStr"/>
      <c r="U304" s="29" t="inlineStr"/>
      <c r="V304" s="29" t="inlineStr"/>
      <c r="W304" s="29" t="inlineStr"/>
      <c r="X304" s="29" t="inlineStr"/>
      <c r="Y304" s="29" t="inlineStr"/>
      <c r="Z304" s="29" t="inlineStr"/>
      <c r="AA304" s="29" t="inlineStr"/>
      <c r="AB304" s="29" t="inlineStr"/>
      <c r="AC304" s="29" t="inlineStr"/>
      <c r="AD304" s="29" t="inlineStr"/>
      <c r="AE304" s="29" t="inlineStr">
        <is>
          <t>Unknown</t>
        </is>
      </c>
      <c r="AF304" s="29" t="inlineStr"/>
      <c r="AG304" s="29" t="inlineStr">
        <is>
          <t>Unknown</t>
        </is>
      </c>
      <c r="AH304" s="29" t="inlineStr">
        <is>
          <t>Unknown</t>
        </is>
      </c>
      <c r="AI304" s="29" t="inlineStr">
        <is>
          <t>Searched source code for profile, identity, privacy, settings, block, account, download, delete. No implementation found.</t>
        </is>
      </c>
      <c r="AJ304" s="29" t="inlineStr">
        <is>
          <t>Not verified</t>
        </is>
      </c>
      <c r="AK304" s="29" t="inlineStr">
        <is>
          <t>EV-15-0020</t>
        </is>
      </c>
      <c r="AL304" s="29" t="inlineStr"/>
      <c r="AM304" s="29" t="inlineStr"/>
      <c r="AN304" s="29" t="inlineStr"/>
      <c r="AO304" s="29" t="inlineStr">
        <is>
          <t>8bc0dcb2a1da1b21368c5536aaeef829d587f316</t>
        </is>
      </c>
      <c r="AP304" s="29" t="inlineStr">
        <is>
          <t>High</t>
        </is>
      </c>
      <c r="AQ304" s="29" t="inlineStr">
        <is>
          <t>Not assessed</t>
        </is>
      </c>
      <c r="AR304" s="29" t="inlineStr">
        <is>
          <t>Not assessed</t>
        </is>
      </c>
      <c r="AS304" s="29" t="inlineStr">
        <is>
          <t>Not assessed</t>
        </is>
      </c>
      <c r="AT304" s="29" t="inlineStr">
        <is>
          <t>Not assessed</t>
        </is>
      </c>
      <c r="AU304" s="29" t="inlineStr">
        <is>
          <t>Not assessed</t>
        </is>
      </c>
      <c r="AV304" s="29" t="inlineStr">
        <is>
          <t>Not assessed</t>
        </is>
      </c>
      <c r="AW304" s="29" t="inlineStr">
        <is>
          <t>Not assessed</t>
        </is>
      </c>
      <c r="AX304" s="29" t="inlineStr">
        <is>
          <t>Not assessed</t>
        </is>
      </c>
      <c r="AY304" s="29" t="inlineStr">
        <is>
          <t>Not assessed</t>
        </is>
      </c>
      <c r="AZ304" s="29" t="inlineStr">
        <is>
          <t>Not assessed</t>
        </is>
      </c>
      <c r="BA304" s="29" t="inlineStr">
        <is>
          <t>Not assessed</t>
        </is>
      </c>
      <c r="BB304" s="29" t="inlineStr">
        <is>
          <t>Not assessed</t>
        </is>
      </c>
      <c r="BC304" s="29" t="inlineStr">
        <is>
          <t>Not assessed</t>
        </is>
      </c>
      <c r="BD304" s="29" t="inlineStr">
        <is>
          <t>Not assessed</t>
        </is>
      </c>
      <c r="BE304" s="29" t="inlineStr">
        <is>
          <t>Development required</t>
        </is>
      </c>
      <c r="BF304" s="29" t="inlineStr">
        <is>
          <t>Physical implementation is not complete against the stated requirement.; Searched source code for profile, identity, privacy, settings, block, account, download, delete. No implementation found.</t>
        </is>
      </c>
      <c r="BG304" s="29" t="inlineStr"/>
      <c r="BH304" s="29" t="inlineStr"/>
      <c r="BI304" s="29" t="inlineStr"/>
      <c r="BJ304" s="29" t="inlineStr"/>
      <c r="BK304" s="29" t="inlineStr">
        <is>
          <t>Evidence reconciled against the reviewed source revision. No production approval is inferred from implementation or file presence.</t>
        </is>
      </c>
      <c r="BL304" s="29" t="inlineStr">
        <is>
          <t>2026-08-02</t>
        </is>
      </c>
    </row>
    <row r="305" ht="42" customHeight="1">
      <c r="A305" s="29" t="inlineStr">
        <is>
          <t>BLYP-15-017</t>
        </is>
      </c>
      <c r="B305" s="29" t="inlineStr"/>
      <c r="C305" s="29" t="inlineStr">
        <is>
          <t>Profiles, identity, and privacy</t>
        </is>
      </c>
      <c r="D305" s="29" t="n">
        <v>15</v>
      </c>
      <c r="E305" s="29" t="n">
        <v>17</v>
      </c>
      <c r="F305" s="29" t="inlineStr">
        <is>
          <t>Feature</t>
        </is>
      </c>
      <c r="G305" s="29" t="inlineStr">
        <is>
          <t>Separate Dating photos</t>
        </is>
      </c>
      <c r="H305" s="29" t="inlineStr">
        <is>
          <t>Separate Dating photos</t>
        </is>
      </c>
      <c r="I305" s="29" t="inlineStr">
        <is>
          <t>/home/ubuntu/blyp_product_requirements.md :: Section 15 — Profiles, identity, and privacy</t>
        </is>
      </c>
      <c r="J305" s="29" t="inlineStr">
        <is>
          <t>/home/ubuntu/BLYP_COMPLETE_FEATURE_LIST.md:389</t>
        </is>
      </c>
      <c r="K305" s="29" t="inlineStr">
        <is>
          <t>Required</t>
        </is>
      </c>
      <c r="L305" s="29" t="inlineStr">
        <is>
          <t>Applicable BLYP member</t>
        </is>
      </c>
      <c r="M305" s="29" t="inlineStr">
        <is>
          <t>BLYP mobile application and supporting production services</t>
        </is>
      </c>
      <c r="N305" s="29" t="inlineStr">
        <is>
          <t>Separate Dating photos</t>
        </is>
      </c>
      <c r="O305" s="29" t="inlineStr">
        <is>
          <t>Not explicitly defined in the product source; requires accountable product approval before production sign-off.</t>
        </is>
      </c>
      <c r="P305" s="29" t="inlineStr"/>
      <c r="Q305" s="29" t="inlineStr">
        <is>
          <t>No evidence</t>
        </is>
      </c>
      <c r="R305" s="29" t="inlineStr"/>
      <c r="S305" s="29" t="inlineStr">
        <is>
          <t>Not found</t>
        </is>
      </c>
      <c r="T305" s="29" t="inlineStr"/>
      <c r="U305" s="29" t="inlineStr"/>
      <c r="V305" s="29" t="inlineStr"/>
      <c r="W305" s="29" t="inlineStr"/>
      <c r="X305" s="29" t="inlineStr"/>
      <c r="Y305" s="29" t="inlineStr"/>
      <c r="Z305" s="29" t="inlineStr"/>
      <c r="AA305" s="29" t="inlineStr"/>
      <c r="AB305" s="29" t="inlineStr"/>
      <c r="AC305" s="29" t="inlineStr"/>
      <c r="AD305" s="29" t="inlineStr"/>
      <c r="AE305" s="29" t="inlineStr">
        <is>
          <t>Unknown</t>
        </is>
      </c>
      <c r="AF305" s="29" t="inlineStr"/>
      <c r="AG305" s="29" t="inlineStr">
        <is>
          <t>Unknown</t>
        </is>
      </c>
      <c r="AH305" s="29" t="inlineStr">
        <is>
          <t>Unknown</t>
        </is>
      </c>
      <c r="AI305" s="29" t="inlineStr">
        <is>
          <t>Searched source code for profile, identity, privacy, settings, block, account, download, delete. No implementation found.</t>
        </is>
      </c>
      <c r="AJ305" s="29" t="inlineStr">
        <is>
          <t>Not verified</t>
        </is>
      </c>
      <c r="AK305" s="29" t="inlineStr">
        <is>
          <t>EV-15-0021</t>
        </is>
      </c>
      <c r="AL305" s="29" t="inlineStr"/>
      <c r="AM305" s="29" t="inlineStr"/>
      <c r="AN305" s="29" t="inlineStr"/>
      <c r="AO305" s="29" t="inlineStr">
        <is>
          <t>8bc0dcb2a1da1b21368c5536aaeef829d587f316</t>
        </is>
      </c>
      <c r="AP305" s="29" t="inlineStr">
        <is>
          <t>High</t>
        </is>
      </c>
      <c r="AQ305" s="29" t="inlineStr">
        <is>
          <t>Not assessed</t>
        </is>
      </c>
      <c r="AR305" s="29" t="inlineStr">
        <is>
          <t>Not assessed</t>
        </is>
      </c>
      <c r="AS305" s="29" t="inlineStr">
        <is>
          <t>Not assessed</t>
        </is>
      </c>
      <c r="AT305" s="29" t="inlineStr">
        <is>
          <t>Not assessed</t>
        </is>
      </c>
      <c r="AU305" s="29" t="inlineStr">
        <is>
          <t>Not assessed</t>
        </is>
      </c>
      <c r="AV305" s="29" t="inlineStr">
        <is>
          <t>Not assessed</t>
        </is>
      </c>
      <c r="AW305" s="29" t="inlineStr">
        <is>
          <t>Not assessed</t>
        </is>
      </c>
      <c r="AX305" s="29" t="inlineStr">
        <is>
          <t>Not assessed</t>
        </is>
      </c>
      <c r="AY305" s="29" t="inlineStr">
        <is>
          <t>Not assessed</t>
        </is>
      </c>
      <c r="AZ305" s="29" t="inlineStr">
        <is>
          <t>Not assessed</t>
        </is>
      </c>
      <c r="BA305" s="29" t="inlineStr">
        <is>
          <t>Not assessed</t>
        </is>
      </c>
      <c r="BB305" s="29" t="inlineStr">
        <is>
          <t>Not assessed</t>
        </is>
      </c>
      <c r="BC305" s="29" t="inlineStr">
        <is>
          <t>Not assessed</t>
        </is>
      </c>
      <c r="BD305" s="29" t="inlineStr">
        <is>
          <t>Not assessed</t>
        </is>
      </c>
      <c r="BE305" s="29" t="inlineStr">
        <is>
          <t>Development required</t>
        </is>
      </c>
      <c r="BF305" s="29" t="inlineStr">
        <is>
          <t>Physical implementation is not complete against the stated requirement.; Searched source code for profile, identity, privacy, settings, block, account, download, delete. No implementation found.</t>
        </is>
      </c>
      <c r="BG305" s="29" t="inlineStr"/>
      <c r="BH305" s="29" t="inlineStr"/>
      <c r="BI305" s="29" t="inlineStr"/>
      <c r="BJ305" s="29" t="inlineStr"/>
      <c r="BK305" s="29" t="inlineStr">
        <is>
          <t>Evidence reconciled against the reviewed source revision. No production approval is inferred from implementation or file presence.</t>
        </is>
      </c>
      <c r="BL305" s="29" t="inlineStr">
        <is>
          <t>2026-08-02</t>
        </is>
      </c>
    </row>
    <row r="306" ht="42" customHeight="1">
      <c r="A306" s="29" t="inlineStr">
        <is>
          <t>BLYP-15-018</t>
        </is>
      </c>
      <c r="B306" s="29" t="inlineStr"/>
      <c r="C306" s="29" t="inlineStr">
        <is>
          <t>Profiles, identity, and privacy</t>
        </is>
      </c>
      <c r="D306" s="29" t="n">
        <v>15</v>
      </c>
      <c r="E306" s="29" t="n">
        <v>18</v>
      </c>
      <c r="F306" s="29" t="inlineStr">
        <is>
          <t>Feature</t>
        </is>
      </c>
      <c r="G306" s="29" t="inlineStr">
        <is>
          <t>Separate Dating biography</t>
        </is>
      </c>
      <c r="H306" s="29" t="inlineStr">
        <is>
          <t>Separate Dating biography</t>
        </is>
      </c>
      <c r="I306" s="29" t="inlineStr">
        <is>
          <t>/home/ubuntu/blyp_product_requirements.md :: Section 15 — Profiles, identity, and privacy</t>
        </is>
      </c>
      <c r="J306" s="29" t="inlineStr">
        <is>
          <t>/home/ubuntu/BLYP_COMPLETE_FEATURE_LIST.md:390</t>
        </is>
      </c>
      <c r="K306" s="29" t="inlineStr">
        <is>
          <t>Required</t>
        </is>
      </c>
      <c r="L306" s="29" t="inlineStr">
        <is>
          <t>Applicable BLYP member</t>
        </is>
      </c>
      <c r="M306" s="29" t="inlineStr">
        <is>
          <t>BLYP mobile application and supporting production services</t>
        </is>
      </c>
      <c r="N306" s="29" t="inlineStr">
        <is>
          <t>Separate Dating biography</t>
        </is>
      </c>
      <c r="O306" s="29" t="inlineStr">
        <is>
          <t>Not explicitly defined in the product source; requires accountable product approval before production sign-off.</t>
        </is>
      </c>
      <c r="P306" s="29" t="inlineStr"/>
      <c r="Q306" s="29" t="inlineStr">
        <is>
          <t>No evidence</t>
        </is>
      </c>
      <c r="R306" s="29" t="inlineStr"/>
      <c r="S306" s="29" t="inlineStr">
        <is>
          <t>Not found</t>
        </is>
      </c>
      <c r="T306" s="29" t="inlineStr"/>
      <c r="U306" s="29" t="inlineStr"/>
      <c r="V306" s="29" t="inlineStr"/>
      <c r="W306" s="29" t="inlineStr"/>
      <c r="X306" s="29" t="inlineStr"/>
      <c r="Y306" s="29" t="inlineStr"/>
      <c r="Z306" s="29" t="inlineStr"/>
      <c r="AA306" s="29" t="inlineStr"/>
      <c r="AB306" s="29" t="inlineStr"/>
      <c r="AC306" s="29" t="inlineStr"/>
      <c r="AD306" s="29" t="inlineStr"/>
      <c r="AE306" s="29" t="inlineStr">
        <is>
          <t>Unknown</t>
        </is>
      </c>
      <c r="AF306" s="29" t="inlineStr"/>
      <c r="AG306" s="29" t="inlineStr">
        <is>
          <t>Unknown</t>
        </is>
      </c>
      <c r="AH306" s="29" t="inlineStr">
        <is>
          <t>Unknown</t>
        </is>
      </c>
      <c r="AI306" s="29" t="inlineStr">
        <is>
          <t>Searched source code for profile, identity, privacy, settings, block, account, download, delete. No implementation found.</t>
        </is>
      </c>
      <c r="AJ306" s="29" t="inlineStr">
        <is>
          <t>Not verified</t>
        </is>
      </c>
      <c r="AK306" s="29" t="inlineStr">
        <is>
          <t>EV-15-0022</t>
        </is>
      </c>
      <c r="AL306" s="29" t="inlineStr"/>
      <c r="AM306" s="29" t="inlineStr"/>
      <c r="AN306" s="29" t="inlineStr"/>
      <c r="AO306" s="29" t="inlineStr">
        <is>
          <t>8bc0dcb2a1da1b21368c5536aaeef829d587f316</t>
        </is>
      </c>
      <c r="AP306" s="29" t="inlineStr">
        <is>
          <t>High</t>
        </is>
      </c>
      <c r="AQ306" s="29" t="inlineStr">
        <is>
          <t>Not assessed</t>
        </is>
      </c>
      <c r="AR306" s="29" t="inlineStr">
        <is>
          <t>Not assessed</t>
        </is>
      </c>
      <c r="AS306" s="29" t="inlineStr">
        <is>
          <t>Not assessed</t>
        </is>
      </c>
      <c r="AT306" s="29" t="inlineStr">
        <is>
          <t>Not assessed</t>
        </is>
      </c>
      <c r="AU306" s="29" t="inlineStr">
        <is>
          <t>Not assessed</t>
        </is>
      </c>
      <c r="AV306" s="29" t="inlineStr">
        <is>
          <t>Not assessed</t>
        </is>
      </c>
      <c r="AW306" s="29" t="inlineStr">
        <is>
          <t>Not assessed</t>
        </is>
      </c>
      <c r="AX306" s="29" t="inlineStr">
        <is>
          <t>Not assessed</t>
        </is>
      </c>
      <c r="AY306" s="29" t="inlineStr">
        <is>
          <t>Not assessed</t>
        </is>
      </c>
      <c r="AZ306" s="29" t="inlineStr">
        <is>
          <t>Not assessed</t>
        </is>
      </c>
      <c r="BA306" s="29" t="inlineStr">
        <is>
          <t>Not assessed</t>
        </is>
      </c>
      <c r="BB306" s="29" t="inlineStr">
        <is>
          <t>Not assessed</t>
        </is>
      </c>
      <c r="BC306" s="29" t="inlineStr">
        <is>
          <t>Not assessed</t>
        </is>
      </c>
      <c r="BD306" s="29" t="inlineStr">
        <is>
          <t>Not assessed</t>
        </is>
      </c>
      <c r="BE306" s="29" t="inlineStr">
        <is>
          <t>Development required</t>
        </is>
      </c>
      <c r="BF306" s="29" t="inlineStr">
        <is>
          <t>Physical implementation is not complete against the stated requirement.; Searched source code for profile, identity, privacy, settings, block, account, download, delete. No implementation found.</t>
        </is>
      </c>
      <c r="BG306" s="29" t="inlineStr"/>
      <c r="BH306" s="29" t="inlineStr"/>
      <c r="BI306" s="29" t="inlineStr"/>
      <c r="BJ306" s="29" t="inlineStr"/>
      <c r="BK306" s="29" t="inlineStr">
        <is>
          <t>Evidence reconciled against the reviewed source revision. No production approval is inferred from implementation or file presence.</t>
        </is>
      </c>
      <c r="BL306" s="29" t="inlineStr">
        <is>
          <t>2026-08-02</t>
        </is>
      </c>
    </row>
    <row r="307" ht="42" customHeight="1">
      <c r="A307" s="29" t="inlineStr">
        <is>
          <t>BLYP-15-019</t>
        </is>
      </c>
      <c r="B307" s="29" t="inlineStr"/>
      <c r="C307" s="29" t="inlineStr">
        <is>
          <t>Profiles, identity, and privacy</t>
        </is>
      </c>
      <c r="D307" s="29" t="n">
        <v>15</v>
      </c>
      <c r="E307" s="29" t="n">
        <v>19</v>
      </c>
      <c r="F307" s="29" t="inlineStr">
        <is>
          <t>Feature</t>
        </is>
      </c>
      <c r="G307" s="29" t="inlineStr">
        <is>
          <t>Dating preferences</t>
        </is>
      </c>
      <c r="H307" s="29" t="inlineStr">
        <is>
          <t>Dating preferences</t>
        </is>
      </c>
      <c r="I307" s="29" t="inlineStr">
        <is>
          <t>/home/ubuntu/blyp_product_requirements.md :: Section 15 — Profiles, identity, and privacy</t>
        </is>
      </c>
      <c r="J307" s="29" t="inlineStr">
        <is>
          <t>/home/ubuntu/BLYP_COMPLETE_FEATURE_LIST.md:391</t>
        </is>
      </c>
      <c r="K307" s="29" t="inlineStr">
        <is>
          <t>Required</t>
        </is>
      </c>
      <c r="L307" s="29" t="inlineStr">
        <is>
          <t>Applicable BLYP member</t>
        </is>
      </c>
      <c r="M307" s="29" t="inlineStr">
        <is>
          <t>BLYP mobile application and supporting production services</t>
        </is>
      </c>
      <c r="N307" s="29" t="inlineStr">
        <is>
          <t>Dating preferences</t>
        </is>
      </c>
      <c r="O307" s="29" t="inlineStr">
        <is>
          <t>Not explicitly defined in the product source; requires accountable product approval before production sign-off.</t>
        </is>
      </c>
      <c r="P307" s="29" t="inlineStr"/>
      <c r="Q307" s="29" t="inlineStr">
        <is>
          <t>No evidence</t>
        </is>
      </c>
      <c r="R307" s="29" t="inlineStr"/>
      <c r="S307" s="29" t="inlineStr">
        <is>
          <t>Not found</t>
        </is>
      </c>
      <c r="T307" s="29" t="inlineStr"/>
      <c r="U307" s="29" t="inlineStr"/>
      <c r="V307" s="29" t="inlineStr"/>
      <c r="W307" s="29" t="inlineStr"/>
      <c r="X307" s="29" t="inlineStr"/>
      <c r="Y307" s="29" t="inlineStr"/>
      <c r="Z307" s="29" t="inlineStr"/>
      <c r="AA307" s="29" t="inlineStr"/>
      <c r="AB307" s="29" t="inlineStr"/>
      <c r="AC307" s="29" t="inlineStr"/>
      <c r="AD307" s="29" t="inlineStr"/>
      <c r="AE307" s="29" t="inlineStr">
        <is>
          <t>Unknown</t>
        </is>
      </c>
      <c r="AF307" s="29" t="inlineStr"/>
      <c r="AG307" s="29" t="inlineStr">
        <is>
          <t>Unknown</t>
        </is>
      </c>
      <c r="AH307" s="29" t="inlineStr">
        <is>
          <t>Unknown</t>
        </is>
      </c>
      <c r="AI307" s="29" t="inlineStr">
        <is>
          <t>Searched source code for profile, identity, privacy, settings, block, account, download, delete. No implementation found.</t>
        </is>
      </c>
      <c r="AJ307" s="29" t="inlineStr">
        <is>
          <t>Not verified</t>
        </is>
      </c>
      <c r="AK307" s="29" t="inlineStr">
        <is>
          <t>EV-15-0023</t>
        </is>
      </c>
      <c r="AL307" s="29" t="inlineStr"/>
      <c r="AM307" s="29" t="inlineStr"/>
      <c r="AN307" s="29" t="inlineStr"/>
      <c r="AO307" s="29" t="inlineStr">
        <is>
          <t>8bc0dcb2a1da1b21368c5536aaeef829d587f316</t>
        </is>
      </c>
      <c r="AP307" s="29" t="inlineStr">
        <is>
          <t>High</t>
        </is>
      </c>
      <c r="AQ307" s="29" t="inlineStr">
        <is>
          <t>Not assessed</t>
        </is>
      </c>
      <c r="AR307" s="29" t="inlineStr">
        <is>
          <t>Not assessed</t>
        </is>
      </c>
      <c r="AS307" s="29" t="inlineStr">
        <is>
          <t>Not assessed</t>
        </is>
      </c>
      <c r="AT307" s="29" t="inlineStr">
        <is>
          <t>Not assessed</t>
        </is>
      </c>
      <c r="AU307" s="29" t="inlineStr">
        <is>
          <t>Not assessed</t>
        </is>
      </c>
      <c r="AV307" s="29" t="inlineStr">
        <is>
          <t>Not assessed</t>
        </is>
      </c>
      <c r="AW307" s="29" t="inlineStr">
        <is>
          <t>Not assessed</t>
        </is>
      </c>
      <c r="AX307" s="29" t="inlineStr">
        <is>
          <t>Not assessed</t>
        </is>
      </c>
      <c r="AY307" s="29" t="inlineStr">
        <is>
          <t>Not assessed</t>
        </is>
      </c>
      <c r="AZ307" s="29" t="inlineStr">
        <is>
          <t>Not assessed</t>
        </is>
      </c>
      <c r="BA307" s="29" t="inlineStr">
        <is>
          <t>Not assessed</t>
        </is>
      </c>
      <c r="BB307" s="29" t="inlineStr">
        <is>
          <t>Not assessed</t>
        </is>
      </c>
      <c r="BC307" s="29" t="inlineStr">
        <is>
          <t>Not assessed</t>
        </is>
      </c>
      <c r="BD307" s="29" t="inlineStr">
        <is>
          <t>Not assessed</t>
        </is>
      </c>
      <c r="BE307" s="29" t="inlineStr">
        <is>
          <t>Development required</t>
        </is>
      </c>
      <c r="BF307" s="29" t="inlineStr">
        <is>
          <t>Physical implementation is not complete against the stated requirement.; Searched source code for profile, identity, privacy, settings, block, account, download, delete. No implementation found.</t>
        </is>
      </c>
      <c r="BG307" s="29" t="inlineStr"/>
      <c r="BH307" s="29" t="inlineStr"/>
      <c r="BI307" s="29" t="inlineStr"/>
      <c r="BJ307" s="29" t="inlineStr"/>
      <c r="BK307" s="29" t="inlineStr">
        <is>
          <t>Evidence reconciled against the reviewed source revision. No production approval is inferred from implementation or file presence.</t>
        </is>
      </c>
      <c r="BL307" s="29" t="inlineStr">
        <is>
          <t>2026-08-02</t>
        </is>
      </c>
    </row>
    <row r="308" ht="42" customHeight="1">
      <c r="A308" s="29" t="inlineStr">
        <is>
          <t>BLYP-15-020</t>
        </is>
      </c>
      <c r="B308" s="29" t="inlineStr"/>
      <c r="C308" s="29" t="inlineStr">
        <is>
          <t>Profiles, identity, and privacy</t>
        </is>
      </c>
      <c r="D308" s="29" t="n">
        <v>15</v>
      </c>
      <c r="E308" s="29" t="n">
        <v>20</v>
      </c>
      <c r="F308" s="29" t="inlineStr">
        <is>
          <t>Feature</t>
        </is>
      </c>
      <c r="G308" s="29" t="inlineStr">
        <is>
          <t>Dating visibility boundary</t>
        </is>
      </c>
      <c r="H308" s="29" t="inlineStr">
        <is>
          <t>Dating visibility boundary</t>
        </is>
      </c>
      <c r="I308" s="29" t="inlineStr">
        <is>
          <t>/home/ubuntu/blyp_product_requirements.md :: Section 15 — Profiles, identity, and privacy</t>
        </is>
      </c>
      <c r="J308" s="29" t="inlineStr">
        <is>
          <t>/home/ubuntu/BLYP_COMPLETE_FEATURE_LIST.md:392</t>
        </is>
      </c>
      <c r="K308" s="29" t="inlineStr">
        <is>
          <t>Required</t>
        </is>
      </c>
      <c r="L308" s="29" t="inlineStr">
        <is>
          <t>Applicable BLYP member</t>
        </is>
      </c>
      <c r="M308" s="29" t="inlineStr">
        <is>
          <t>BLYP mobile application and supporting production services</t>
        </is>
      </c>
      <c r="N308" s="29" t="inlineStr">
        <is>
          <t>Dating visibility boundary</t>
        </is>
      </c>
      <c r="O308" s="29" t="inlineStr">
        <is>
          <t>Not explicitly defined in the product source; requires accountable product approval before production sign-off.</t>
        </is>
      </c>
      <c r="P308" s="29" t="inlineStr"/>
      <c r="Q308" s="29" t="inlineStr">
        <is>
          <t>No evidence</t>
        </is>
      </c>
      <c r="R308" s="29" t="inlineStr"/>
      <c r="S308" s="29" t="inlineStr">
        <is>
          <t>Not found</t>
        </is>
      </c>
      <c r="T308" s="29" t="inlineStr"/>
      <c r="U308" s="29" t="inlineStr"/>
      <c r="V308" s="29" t="inlineStr"/>
      <c r="W308" s="29" t="inlineStr"/>
      <c r="X308" s="29" t="inlineStr"/>
      <c r="Y308" s="29" t="inlineStr"/>
      <c r="Z308" s="29" t="inlineStr"/>
      <c r="AA308" s="29" t="inlineStr"/>
      <c r="AB308" s="29" t="inlineStr"/>
      <c r="AC308" s="29" t="inlineStr"/>
      <c r="AD308" s="29" t="inlineStr"/>
      <c r="AE308" s="29" t="inlineStr">
        <is>
          <t>Unknown</t>
        </is>
      </c>
      <c r="AF308" s="29" t="inlineStr"/>
      <c r="AG308" s="29" t="inlineStr">
        <is>
          <t>Unknown</t>
        </is>
      </c>
      <c r="AH308" s="29" t="inlineStr">
        <is>
          <t>Unknown</t>
        </is>
      </c>
      <c r="AI308" s="29" t="inlineStr">
        <is>
          <t>Searched source code for profile, identity, privacy, settings, block, account, download, delete. No implementation found.</t>
        </is>
      </c>
      <c r="AJ308" s="29" t="inlineStr">
        <is>
          <t>Not verified</t>
        </is>
      </c>
      <c r="AK308" s="29" t="inlineStr">
        <is>
          <t>EV-15-0024</t>
        </is>
      </c>
      <c r="AL308" s="29" t="inlineStr"/>
      <c r="AM308" s="29" t="inlineStr"/>
      <c r="AN308" s="29" t="inlineStr"/>
      <c r="AO308" s="29" t="inlineStr">
        <is>
          <t>8bc0dcb2a1da1b21368c5536aaeef829d587f316</t>
        </is>
      </c>
      <c r="AP308" s="29" t="inlineStr">
        <is>
          <t>High</t>
        </is>
      </c>
      <c r="AQ308" s="29" t="inlineStr">
        <is>
          <t>Not assessed</t>
        </is>
      </c>
      <c r="AR308" s="29" t="inlineStr">
        <is>
          <t>Not assessed</t>
        </is>
      </c>
      <c r="AS308" s="29" t="inlineStr">
        <is>
          <t>Not assessed</t>
        </is>
      </c>
      <c r="AT308" s="29" t="inlineStr">
        <is>
          <t>Not assessed</t>
        </is>
      </c>
      <c r="AU308" s="29" t="inlineStr">
        <is>
          <t>Not assessed</t>
        </is>
      </c>
      <c r="AV308" s="29" t="inlineStr">
        <is>
          <t>Not assessed</t>
        </is>
      </c>
      <c r="AW308" s="29" t="inlineStr">
        <is>
          <t>Not assessed</t>
        </is>
      </c>
      <c r="AX308" s="29" t="inlineStr">
        <is>
          <t>Not assessed</t>
        </is>
      </c>
      <c r="AY308" s="29" t="inlineStr">
        <is>
          <t>Not assessed</t>
        </is>
      </c>
      <c r="AZ308" s="29" t="inlineStr">
        <is>
          <t>Not assessed</t>
        </is>
      </c>
      <c r="BA308" s="29" t="inlineStr">
        <is>
          <t>Not assessed</t>
        </is>
      </c>
      <c r="BB308" s="29" t="inlineStr">
        <is>
          <t>Not assessed</t>
        </is>
      </c>
      <c r="BC308" s="29" t="inlineStr">
        <is>
          <t>Not assessed</t>
        </is>
      </c>
      <c r="BD308" s="29" t="inlineStr">
        <is>
          <t>Not assessed</t>
        </is>
      </c>
      <c r="BE308" s="29" t="inlineStr">
        <is>
          <t>Development required</t>
        </is>
      </c>
      <c r="BF308" s="29" t="inlineStr">
        <is>
          <t>Physical implementation is not complete against the stated requirement.; Searched source code for profile, identity, privacy, settings, block, account, download, delete. No implementation found.</t>
        </is>
      </c>
      <c r="BG308" s="29" t="inlineStr"/>
      <c r="BH308" s="29" t="inlineStr"/>
      <c r="BI308" s="29" t="inlineStr"/>
      <c r="BJ308" s="29" t="inlineStr"/>
      <c r="BK308" s="29" t="inlineStr">
        <is>
          <t>Evidence reconciled against the reviewed source revision. No production approval is inferred from implementation or file presence.</t>
        </is>
      </c>
      <c r="BL308" s="29" t="inlineStr">
        <is>
          <t>2026-08-02</t>
        </is>
      </c>
    </row>
    <row r="309" ht="42" customHeight="1">
      <c r="A309" s="29" t="inlineStr">
        <is>
          <t>BLYP-15-021</t>
        </is>
      </c>
      <c r="B309" s="29" t="inlineStr"/>
      <c r="C309" s="29" t="inlineStr">
        <is>
          <t>Profiles, identity, and privacy</t>
        </is>
      </c>
      <c r="D309" s="29" t="n">
        <v>15</v>
      </c>
      <c r="E309" s="29" t="n">
        <v>21</v>
      </c>
      <c r="F309" s="29" t="inlineStr">
        <is>
          <t>Feature</t>
        </is>
      </c>
      <c r="G309" s="29" t="inlineStr">
        <is>
          <t>Profile visibility settings</t>
        </is>
      </c>
      <c r="H309" s="29" t="inlineStr">
        <is>
          <t>Profile visibility settings</t>
        </is>
      </c>
      <c r="I309" s="29" t="inlineStr">
        <is>
          <t>/home/ubuntu/blyp_product_requirements.md :: Section 15 — Profiles, identity, and privacy</t>
        </is>
      </c>
      <c r="J309" s="29" t="inlineStr">
        <is>
          <t>/home/ubuntu/BLYP_COMPLETE_FEATURE_LIST.md:393</t>
        </is>
      </c>
      <c r="K309" s="29" t="inlineStr">
        <is>
          <t>Required</t>
        </is>
      </c>
      <c r="L309" s="29" t="inlineStr">
        <is>
          <t>Applicable BLYP member</t>
        </is>
      </c>
      <c r="M309" s="29" t="inlineStr">
        <is>
          <t>BLYP mobile application and supporting production services</t>
        </is>
      </c>
      <c r="N309" s="29" t="inlineStr">
        <is>
          <t>Profile visibility settings</t>
        </is>
      </c>
      <c r="O309" s="29" t="inlineStr">
        <is>
          <t>Not explicitly defined in the product source; requires accountable product approval before production sign-off.</t>
        </is>
      </c>
      <c r="P309" s="29" t="inlineStr"/>
      <c r="Q309" s="29" t="inlineStr">
        <is>
          <t>Partial</t>
        </is>
      </c>
      <c r="R309" s="29" t="inlineStr"/>
      <c r="S309" s="29" t="inlineStr">
        <is>
          <t>Not found</t>
        </is>
      </c>
      <c r="T309" s="29" t="inlineStr"/>
      <c r="U309" s="29" t="inlineStr"/>
      <c r="V309" s="29" t="inlineStr"/>
      <c r="W309" s="29" t="inlineStr"/>
      <c r="X309" s="29" t="inlineStr"/>
      <c r="Y309" s="29" t="inlineStr"/>
      <c r="Z309" s="29" t="inlineStr"/>
      <c r="AA309" s="29" t="inlineStr"/>
      <c r="AB309" s="29" t="inlineStr"/>
      <c r="AC309" s="29" t="inlineStr"/>
      <c r="AD309" s="29" t="inlineStr"/>
      <c r="AE309" s="29" t="inlineStr">
        <is>
          <t>Unknown</t>
        </is>
      </c>
      <c r="AF309" s="29" t="inlineStr"/>
      <c r="AG309" s="29" t="inlineStr">
        <is>
          <t>Unknown</t>
        </is>
      </c>
      <c r="AH309" s="29" t="inlineStr">
        <is>
          <t>Unknown</t>
        </is>
      </c>
      <c r="AI309" s="29" t="inlineStr">
        <is>
          <t>Searched source code for profile, identity, privacy, settings, block, account, download, delete. No implementation found.</t>
        </is>
      </c>
      <c r="AJ309" s="29" t="inlineStr">
        <is>
          <t>Not verified</t>
        </is>
      </c>
      <c r="AK309" s="29" t="inlineStr">
        <is>
          <t>EV-15-0025</t>
        </is>
      </c>
      <c r="AL309" s="29" t="inlineStr"/>
      <c r="AM309" s="29" t="inlineStr"/>
      <c r="AN309" s="29" t="inlineStr"/>
      <c r="AO309" s="29" t="inlineStr">
        <is>
          <t>8bc0dcb2a1da1b21368c5536aaeef829d587f316</t>
        </is>
      </c>
      <c r="AP309" s="29" t="inlineStr">
        <is>
          <t>High</t>
        </is>
      </c>
      <c r="AQ309" s="29" t="inlineStr">
        <is>
          <t>Not assessed</t>
        </is>
      </c>
      <c r="AR309" s="29" t="inlineStr">
        <is>
          <t>Not assessed</t>
        </is>
      </c>
      <c r="AS309" s="29" t="inlineStr">
        <is>
          <t>Not assessed</t>
        </is>
      </c>
      <c r="AT309" s="29" t="inlineStr">
        <is>
          <t>Not assessed</t>
        </is>
      </c>
      <c r="AU309" s="29" t="inlineStr">
        <is>
          <t>Not assessed</t>
        </is>
      </c>
      <c r="AV309" s="29" t="inlineStr">
        <is>
          <t>Not assessed</t>
        </is>
      </c>
      <c r="AW309" s="29" t="inlineStr">
        <is>
          <t>Not assessed</t>
        </is>
      </c>
      <c r="AX309" s="29" t="inlineStr">
        <is>
          <t>Not assessed</t>
        </is>
      </c>
      <c r="AY309" s="29" t="inlineStr">
        <is>
          <t>Not assessed</t>
        </is>
      </c>
      <c r="AZ309" s="29" t="inlineStr">
        <is>
          <t>Not assessed</t>
        </is>
      </c>
      <c r="BA309" s="29" t="inlineStr">
        <is>
          <t>Not assessed</t>
        </is>
      </c>
      <c r="BB309" s="29" t="inlineStr">
        <is>
          <t>Not assessed</t>
        </is>
      </c>
      <c r="BC309" s="29" t="inlineStr">
        <is>
          <t>Not assessed</t>
        </is>
      </c>
      <c r="BD309" s="29" t="inlineStr">
        <is>
          <t>Not assessed</t>
        </is>
      </c>
      <c r="BE309" s="29" t="inlineStr">
        <is>
          <t>Development required</t>
        </is>
      </c>
      <c r="BF309" s="29" t="inlineStr">
        <is>
          <t>Physical implementation is not complete against the stated requirement.; Searched source code for profile, identity, privacy, settings, block, account, download, delete. No implementation found.</t>
        </is>
      </c>
      <c r="BG309" s="29" t="inlineStr"/>
      <c r="BH309" s="29" t="inlineStr"/>
      <c r="BI309" s="29" t="inlineStr"/>
      <c r="BJ309" s="29" t="inlineStr"/>
      <c r="BK309" s="29" t="inlineStr">
        <is>
          <t>Evidence reconciled against the reviewed source revision. No production approval is inferred from implementation or file presence.</t>
        </is>
      </c>
      <c r="BL309" s="29" t="inlineStr">
        <is>
          <t>2026-08-02</t>
        </is>
      </c>
    </row>
    <row r="310" ht="42" customHeight="1">
      <c r="A310" s="29" t="inlineStr">
        <is>
          <t>BLYP-15-022</t>
        </is>
      </c>
      <c r="B310" s="29" t="inlineStr"/>
      <c r="C310" s="29" t="inlineStr">
        <is>
          <t>Profiles, identity, and privacy</t>
        </is>
      </c>
      <c r="D310" s="29" t="n">
        <v>15</v>
      </c>
      <c r="E310" s="29" t="n">
        <v>22</v>
      </c>
      <c r="F310" s="29" t="inlineStr">
        <is>
          <t>Rule</t>
        </is>
      </c>
      <c r="G310" s="29" t="inlineStr">
        <is>
          <t>Messaging-permission settings</t>
        </is>
      </c>
      <c r="H310" s="29" t="inlineStr">
        <is>
          <t>Messaging-permission settings</t>
        </is>
      </c>
      <c r="I310" s="29" t="inlineStr">
        <is>
          <t>/home/ubuntu/blyp_product_requirements.md :: Section 15 — Profiles, identity, and privacy</t>
        </is>
      </c>
      <c r="J310" s="29" t="inlineStr">
        <is>
          <t>/home/ubuntu/BLYP_COMPLETE_FEATURE_LIST.md:394</t>
        </is>
      </c>
      <c r="K310" s="29" t="inlineStr">
        <is>
          <t>Required</t>
        </is>
      </c>
      <c r="L310" s="29" t="inlineStr">
        <is>
          <t>Applicable BLYP member</t>
        </is>
      </c>
      <c r="M310" s="29" t="inlineStr">
        <is>
          <t>BLYP mobile application and supporting production services</t>
        </is>
      </c>
      <c r="N310" s="29" t="inlineStr">
        <is>
          <t>Messaging-permission settings</t>
        </is>
      </c>
      <c r="O310" s="29" t="inlineStr">
        <is>
          <t>Not explicitly defined in the product source; requires accountable product approval before production sign-off.</t>
        </is>
      </c>
      <c r="P310" s="29" t="inlineStr"/>
      <c r="Q310" s="29" t="inlineStr">
        <is>
          <t>Partial</t>
        </is>
      </c>
      <c r="R310" s="29" t="inlineStr"/>
      <c r="S310" s="29" t="inlineStr">
        <is>
          <t>Not found</t>
        </is>
      </c>
      <c r="T310" s="29" t="inlineStr"/>
      <c r="U310" s="29" t="inlineStr"/>
      <c r="V310" s="29" t="inlineStr"/>
      <c r="W310" s="29" t="inlineStr"/>
      <c r="X310" s="29" t="inlineStr"/>
      <c r="Y310" s="29" t="inlineStr"/>
      <c r="Z310" s="29" t="inlineStr"/>
      <c r="AA310" s="29" t="inlineStr"/>
      <c r="AB310" s="29" t="inlineStr"/>
      <c r="AC310" s="29" t="inlineStr"/>
      <c r="AD310" s="29" t="inlineStr"/>
      <c r="AE310" s="29" t="inlineStr">
        <is>
          <t>Unknown</t>
        </is>
      </c>
      <c r="AF310" s="29" t="inlineStr"/>
      <c r="AG310" s="29" t="inlineStr">
        <is>
          <t>Unknown</t>
        </is>
      </c>
      <c r="AH310" s="29" t="inlineStr">
        <is>
          <t>Unknown</t>
        </is>
      </c>
      <c r="AI310" s="29" t="inlineStr">
        <is>
          <t>Searched source code for profile, identity, privacy, settings, block, account, download, delete. No implementation found.</t>
        </is>
      </c>
      <c r="AJ310" s="29" t="inlineStr">
        <is>
          <t>Not verified</t>
        </is>
      </c>
      <c r="AK310" s="29" t="inlineStr">
        <is>
          <t>EV-15-0026</t>
        </is>
      </c>
      <c r="AL310" s="29" t="inlineStr"/>
      <c r="AM310" s="29" t="inlineStr"/>
      <c r="AN310" s="29" t="inlineStr"/>
      <c r="AO310" s="29" t="inlineStr">
        <is>
          <t>8bc0dcb2a1da1b21368c5536aaeef829d587f316</t>
        </is>
      </c>
      <c r="AP310" s="29" t="inlineStr">
        <is>
          <t>High</t>
        </is>
      </c>
      <c r="AQ310" s="29" t="inlineStr">
        <is>
          <t>Not assessed</t>
        </is>
      </c>
      <c r="AR310" s="29" t="inlineStr">
        <is>
          <t>Not assessed</t>
        </is>
      </c>
      <c r="AS310" s="29" t="inlineStr">
        <is>
          <t>Not assessed</t>
        </is>
      </c>
      <c r="AT310" s="29" t="inlineStr">
        <is>
          <t>Not assessed</t>
        </is>
      </c>
      <c r="AU310" s="29" t="inlineStr">
        <is>
          <t>Not assessed</t>
        </is>
      </c>
      <c r="AV310" s="29" t="inlineStr">
        <is>
          <t>Not assessed</t>
        </is>
      </c>
      <c r="AW310" s="29" t="inlineStr">
        <is>
          <t>Not assessed</t>
        </is>
      </c>
      <c r="AX310" s="29" t="inlineStr">
        <is>
          <t>Not assessed</t>
        </is>
      </c>
      <c r="AY310" s="29" t="inlineStr">
        <is>
          <t>Not assessed</t>
        </is>
      </c>
      <c r="AZ310" s="29" t="inlineStr">
        <is>
          <t>Not assessed</t>
        </is>
      </c>
      <c r="BA310" s="29" t="inlineStr">
        <is>
          <t>Not assessed</t>
        </is>
      </c>
      <c r="BB310" s="29" t="inlineStr">
        <is>
          <t>Not assessed</t>
        </is>
      </c>
      <c r="BC310" s="29" t="inlineStr">
        <is>
          <t>Not assessed</t>
        </is>
      </c>
      <c r="BD310" s="29" t="inlineStr">
        <is>
          <t>Not assessed</t>
        </is>
      </c>
      <c r="BE310" s="29" t="inlineStr">
        <is>
          <t>Development required</t>
        </is>
      </c>
      <c r="BF310" s="29" t="inlineStr">
        <is>
          <t>Physical implementation is not complete against the stated requirement.; Searched source code for profile, identity, privacy, settings, block, account, download, delete. No implementation found.</t>
        </is>
      </c>
      <c r="BG310" s="29" t="inlineStr"/>
      <c r="BH310" s="29" t="inlineStr"/>
      <c r="BI310" s="29" t="inlineStr"/>
      <c r="BJ310" s="29" t="inlineStr"/>
      <c r="BK310" s="29" t="inlineStr">
        <is>
          <t>Evidence reconciled against the reviewed source revision. No production approval is inferred from implementation or file presence.</t>
        </is>
      </c>
      <c r="BL310" s="29" t="inlineStr">
        <is>
          <t>2026-08-02</t>
        </is>
      </c>
    </row>
    <row r="311" ht="42" customHeight="1">
      <c r="A311" s="29" t="inlineStr">
        <is>
          <t>BLYP-15-023</t>
        </is>
      </c>
      <c r="B311" s="29" t="inlineStr"/>
      <c r="C311" s="29" t="inlineStr">
        <is>
          <t>Profiles, identity, and privacy</t>
        </is>
      </c>
      <c r="D311" s="29" t="n">
        <v>15</v>
      </c>
      <c r="E311" s="29" t="n">
        <v>23</v>
      </c>
      <c r="F311" s="29" t="inlineStr">
        <is>
          <t>Feature</t>
        </is>
      </c>
      <c r="G311" s="29" t="inlineStr">
        <is>
          <t>Discoverability settings</t>
        </is>
      </c>
      <c r="H311" s="29" t="inlineStr">
        <is>
          <t>Discoverability settings</t>
        </is>
      </c>
      <c r="I311" s="29" t="inlineStr">
        <is>
          <t>/home/ubuntu/blyp_product_requirements.md :: Section 15 — Profiles, identity, and privacy</t>
        </is>
      </c>
      <c r="J311" s="29" t="inlineStr">
        <is>
          <t>/home/ubuntu/BLYP_COMPLETE_FEATURE_LIST.md:395</t>
        </is>
      </c>
      <c r="K311" s="29" t="inlineStr">
        <is>
          <t>Required</t>
        </is>
      </c>
      <c r="L311" s="29" t="inlineStr">
        <is>
          <t>Applicable BLYP member</t>
        </is>
      </c>
      <c r="M311" s="29" t="inlineStr">
        <is>
          <t>BLYP mobile application and supporting production services</t>
        </is>
      </c>
      <c r="N311" s="29" t="inlineStr">
        <is>
          <t>Discoverability settings</t>
        </is>
      </c>
      <c r="O311" s="29" t="inlineStr">
        <is>
          <t>Not explicitly defined in the product source; requires accountable product approval before production sign-off.</t>
        </is>
      </c>
      <c r="P311" s="29" t="inlineStr"/>
      <c r="Q311" s="29" t="inlineStr">
        <is>
          <t>Partial</t>
        </is>
      </c>
      <c r="R311" s="29" t="inlineStr"/>
      <c r="S311" s="29" t="inlineStr">
        <is>
          <t>Not found</t>
        </is>
      </c>
      <c r="T311" s="29" t="inlineStr"/>
      <c r="U311" s="29" t="inlineStr"/>
      <c r="V311" s="29" t="inlineStr"/>
      <c r="W311" s="29" t="inlineStr"/>
      <c r="X311" s="29" t="inlineStr"/>
      <c r="Y311" s="29" t="inlineStr"/>
      <c r="Z311" s="29" t="inlineStr"/>
      <c r="AA311" s="29" t="inlineStr"/>
      <c r="AB311" s="29" t="inlineStr"/>
      <c r="AC311" s="29" t="inlineStr"/>
      <c r="AD311" s="29" t="inlineStr"/>
      <c r="AE311" s="29" t="inlineStr">
        <is>
          <t>Unknown</t>
        </is>
      </c>
      <c r="AF311" s="29" t="inlineStr"/>
      <c r="AG311" s="29" t="inlineStr">
        <is>
          <t>Unknown</t>
        </is>
      </c>
      <c r="AH311" s="29" t="inlineStr">
        <is>
          <t>Unknown</t>
        </is>
      </c>
      <c r="AI311" s="29" t="inlineStr">
        <is>
          <t>Searched source code for profile, identity, privacy, settings, block, account, download, delete. No implementation found.</t>
        </is>
      </c>
      <c r="AJ311" s="29" t="inlineStr">
        <is>
          <t>Not verified</t>
        </is>
      </c>
      <c r="AK311" s="29" t="inlineStr">
        <is>
          <t>EV-15-0027</t>
        </is>
      </c>
      <c r="AL311" s="29" t="inlineStr"/>
      <c r="AM311" s="29" t="inlineStr"/>
      <c r="AN311" s="29" t="inlineStr"/>
      <c r="AO311" s="29" t="inlineStr">
        <is>
          <t>8bc0dcb2a1da1b21368c5536aaeef829d587f316</t>
        </is>
      </c>
      <c r="AP311" s="29" t="inlineStr">
        <is>
          <t>High</t>
        </is>
      </c>
      <c r="AQ311" s="29" t="inlineStr">
        <is>
          <t>Not assessed</t>
        </is>
      </c>
      <c r="AR311" s="29" t="inlineStr">
        <is>
          <t>Not assessed</t>
        </is>
      </c>
      <c r="AS311" s="29" t="inlineStr">
        <is>
          <t>Not assessed</t>
        </is>
      </c>
      <c r="AT311" s="29" t="inlineStr">
        <is>
          <t>Not assessed</t>
        </is>
      </c>
      <c r="AU311" s="29" t="inlineStr">
        <is>
          <t>Not assessed</t>
        </is>
      </c>
      <c r="AV311" s="29" t="inlineStr">
        <is>
          <t>Not assessed</t>
        </is>
      </c>
      <c r="AW311" s="29" t="inlineStr">
        <is>
          <t>Not assessed</t>
        </is>
      </c>
      <c r="AX311" s="29" t="inlineStr">
        <is>
          <t>Not assessed</t>
        </is>
      </c>
      <c r="AY311" s="29" t="inlineStr">
        <is>
          <t>Not assessed</t>
        </is>
      </c>
      <c r="AZ311" s="29" t="inlineStr">
        <is>
          <t>Not assessed</t>
        </is>
      </c>
      <c r="BA311" s="29" t="inlineStr">
        <is>
          <t>Not assessed</t>
        </is>
      </c>
      <c r="BB311" s="29" t="inlineStr">
        <is>
          <t>Not assessed</t>
        </is>
      </c>
      <c r="BC311" s="29" t="inlineStr">
        <is>
          <t>Not assessed</t>
        </is>
      </c>
      <c r="BD311" s="29" t="inlineStr">
        <is>
          <t>Not assessed</t>
        </is>
      </c>
      <c r="BE311" s="29" t="inlineStr">
        <is>
          <t>Development required</t>
        </is>
      </c>
      <c r="BF311" s="29" t="inlineStr">
        <is>
          <t>Physical implementation is not complete against the stated requirement.; Searched source code for profile, identity, privacy, settings, block, account, download, delete. No implementation found.</t>
        </is>
      </c>
      <c r="BG311" s="29" t="inlineStr"/>
      <c r="BH311" s="29" t="inlineStr"/>
      <c r="BI311" s="29" t="inlineStr"/>
      <c r="BJ311" s="29" t="inlineStr"/>
      <c r="BK311" s="29" t="inlineStr">
        <is>
          <t>Evidence reconciled against the reviewed source revision. No production approval is inferred from implementation or file presence.</t>
        </is>
      </c>
      <c r="BL311" s="29" t="inlineStr">
        <is>
          <t>2026-08-02</t>
        </is>
      </c>
    </row>
    <row r="312" ht="42" customHeight="1">
      <c r="A312" s="29" t="inlineStr">
        <is>
          <t>BLYP-15-024</t>
        </is>
      </c>
      <c r="B312" s="29" t="inlineStr"/>
      <c r="C312" s="29" t="inlineStr">
        <is>
          <t>Profiles, identity, and privacy</t>
        </is>
      </c>
      <c r="D312" s="29" t="n">
        <v>15</v>
      </c>
      <c r="E312" s="29" t="n">
        <v>24</v>
      </c>
      <c r="F312" s="29" t="inlineStr">
        <is>
          <t>Feature</t>
        </is>
      </c>
      <c r="G312" s="29" t="inlineStr">
        <is>
          <t>Activity-status settings</t>
        </is>
      </c>
      <c r="H312" s="29" t="inlineStr">
        <is>
          <t>Activity-status settings</t>
        </is>
      </c>
      <c r="I312" s="29" t="inlineStr">
        <is>
          <t>/home/ubuntu/blyp_product_requirements.md :: Section 15 — Profiles, identity, and privacy</t>
        </is>
      </c>
      <c r="J312" s="29" t="inlineStr">
        <is>
          <t>/home/ubuntu/BLYP_COMPLETE_FEATURE_LIST.md:396</t>
        </is>
      </c>
      <c r="K312" s="29" t="inlineStr">
        <is>
          <t>Required</t>
        </is>
      </c>
      <c r="L312" s="29" t="inlineStr">
        <is>
          <t>Applicable BLYP member</t>
        </is>
      </c>
      <c r="M312" s="29" t="inlineStr">
        <is>
          <t>BLYP mobile application and supporting production services</t>
        </is>
      </c>
      <c r="N312" s="29" t="inlineStr">
        <is>
          <t>Activity-status settings</t>
        </is>
      </c>
      <c r="O312" s="29" t="inlineStr">
        <is>
          <t>Not explicitly defined in the product source; requires accountable product approval before production sign-off.</t>
        </is>
      </c>
      <c r="P312" s="29" t="inlineStr"/>
      <c r="Q312" s="29" t="inlineStr">
        <is>
          <t>Partial</t>
        </is>
      </c>
      <c r="R312" s="29" t="inlineStr"/>
      <c r="S312" s="29" t="inlineStr">
        <is>
          <t>Not found</t>
        </is>
      </c>
      <c r="T312" s="29" t="inlineStr"/>
      <c r="U312" s="29" t="inlineStr"/>
      <c r="V312" s="29" t="inlineStr"/>
      <c r="W312" s="29" t="inlineStr"/>
      <c r="X312" s="29" t="inlineStr"/>
      <c r="Y312" s="29" t="inlineStr"/>
      <c r="Z312" s="29" t="inlineStr"/>
      <c r="AA312" s="29" t="inlineStr"/>
      <c r="AB312" s="29" t="inlineStr"/>
      <c r="AC312" s="29" t="inlineStr"/>
      <c r="AD312" s="29" t="inlineStr"/>
      <c r="AE312" s="29" t="inlineStr">
        <is>
          <t>Unknown</t>
        </is>
      </c>
      <c r="AF312" s="29" t="inlineStr"/>
      <c r="AG312" s="29" t="inlineStr">
        <is>
          <t>Unknown</t>
        </is>
      </c>
      <c r="AH312" s="29" t="inlineStr">
        <is>
          <t>Unknown</t>
        </is>
      </c>
      <c r="AI312" s="29" t="inlineStr">
        <is>
          <t>Searched source code for profile, identity, privacy, settings, block, account, download, delete. No implementation found.</t>
        </is>
      </c>
      <c r="AJ312" s="29" t="inlineStr">
        <is>
          <t>Not verified</t>
        </is>
      </c>
      <c r="AK312" s="29" t="inlineStr">
        <is>
          <t>EV-15-0028</t>
        </is>
      </c>
      <c r="AL312" s="29" t="inlineStr"/>
      <c r="AM312" s="29" t="inlineStr"/>
      <c r="AN312" s="29" t="inlineStr"/>
      <c r="AO312" s="29" t="inlineStr">
        <is>
          <t>8bc0dcb2a1da1b21368c5536aaeef829d587f316</t>
        </is>
      </c>
      <c r="AP312" s="29" t="inlineStr">
        <is>
          <t>High</t>
        </is>
      </c>
      <c r="AQ312" s="29" t="inlineStr">
        <is>
          <t>Not assessed</t>
        </is>
      </c>
      <c r="AR312" s="29" t="inlineStr">
        <is>
          <t>Not assessed</t>
        </is>
      </c>
      <c r="AS312" s="29" t="inlineStr">
        <is>
          <t>Not assessed</t>
        </is>
      </c>
      <c r="AT312" s="29" t="inlineStr">
        <is>
          <t>Not assessed</t>
        </is>
      </c>
      <c r="AU312" s="29" t="inlineStr">
        <is>
          <t>Not assessed</t>
        </is>
      </c>
      <c r="AV312" s="29" t="inlineStr">
        <is>
          <t>Not assessed</t>
        </is>
      </c>
      <c r="AW312" s="29" t="inlineStr">
        <is>
          <t>Not assessed</t>
        </is>
      </c>
      <c r="AX312" s="29" t="inlineStr">
        <is>
          <t>Not assessed</t>
        </is>
      </c>
      <c r="AY312" s="29" t="inlineStr">
        <is>
          <t>Not assessed</t>
        </is>
      </c>
      <c r="AZ312" s="29" t="inlineStr">
        <is>
          <t>Not assessed</t>
        </is>
      </c>
      <c r="BA312" s="29" t="inlineStr">
        <is>
          <t>Not assessed</t>
        </is>
      </c>
      <c r="BB312" s="29" t="inlineStr">
        <is>
          <t>Not assessed</t>
        </is>
      </c>
      <c r="BC312" s="29" t="inlineStr">
        <is>
          <t>Not assessed</t>
        </is>
      </c>
      <c r="BD312" s="29" t="inlineStr">
        <is>
          <t>Not assessed</t>
        </is>
      </c>
      <c r="BE312" s="29" t="inlineStr">
        <is>
          <t>Development required</t>
        </is>
      </c>
      <c r="BF312" s="29" t="inlineStr">
        <is>
          <t>Physical implementation is not complete against the stated requirement.; Searched source code for profile, identity, privacy, settings, block, account, download, delete. No implementation found.</t>
        </is>
      </c>
      <c r="BG312" s="29" t="inlineStr"/>
      <c r="BH312" s="29" t="inlineStr"/>
      <c r="BI312" s="29" t="inlineStr"/>
      <c r="BJ312" s="29" t="inlineStr"/>
      <c r="BK312" s="29" t="inlineStr">
        <is>
          <t>Evidence reconciled against the reviewed source revision. No production approval is inferred from implementation or file presence.</t>
        </is>
      </c>
      <c r="BL312" s="29" t="inlineStr">
        <is>
          <t>2026-08-02</t>
        </is>
      </c>
    </row>
    <row r="313" ht="42" customHeight="1">
      <c r="A313" s="29" t="inlineStr">
        <is>
          <t>BLYP-15-025</t>
        </is>
      </c>
      <c r="B313" s="29" t="inlineStr"/>
      <c r="C313" s="29" t="inlineStr">
        <is>
          <t>Profiles, identity, and privacy</t>
        </is>
      </c>
      <c r="D313" s="29" t="n">
        <v>15</v>
      </c>
      <c r="E313" s="29" t="n">
        <v>25</v>
      </c>
      <c r="F313" s="29" t="inlineStr">
        <is>
          <t>Feature</t>
        </is>
      </c>
      <c r="G313" s="29" t="inlineStr">
        <is>
          <t>Blocked-accounts management</t>
        </is>
      </c>
      <c r="H313" s="29" t="inlineStr">
        <is>
          <t>Blocked-accounts management</t>
        </is>
      </c>
      <c r="I313" s="29" t="inlineStr">
        <is>
          <t>/home/ubuntu/blyp_product_requirements.md :: Section 15 — Profiles, identity, and privacy</t>
        </is>
      </c>
      <c r="J313" s="29" t="inlineStr">
        <is>
          <t>/home/ubuntu/BLYP_COMPLETE_FEATURE_LIST.md:397</t>
        </is>
      </c>
      <c r="K313" s="29" t="inlineStr">
        <is>
          <t>Required</t>
        </is>
      </c>
      <c r="L313" s="29" t="inlineStr">
        <is>
          <t>Applicable BLYP member</t>
        </is>
      </c>
      <c r="M313" s="29" t="inlineStr">
        <is>
          <t>BLYP mobile application and supporting production services</t>
        </is>
      </c>
      <c r="N313" s="29" t="inlineStr">
        <is>
          <t>Blocked-accounts management</t>
        </is>
      </c>
      <c r="O313" s="29" t="inlineStr">
        <is>
          <t>Not explicitly defined in the product source; requires accountable product approval before production sign-off.</t>
        </is>
      </c>
      <c r="P313" s="29" t="inlineStr"/>
      <c r="Q313" s="29" t="inlineStr">
        <is>
          <t>Partial</t>
        </is>
      </c>
      <c r="R313" s="29" t="inlineStr"/>
      <c r="S313" s="29" t="inlineStr">
        <is>
          <t>Not found</t>
        </is>
      </c>
      <c r="T313" s="29" t="inlineStr"/>
      <c r="U313" s="29" t="inlineStr"/>
      <c r="V313" s="29" t="inlineStr"/>
      <c r="W313" s="29" t="inlineStr"/>
      <c r="X313" s="29" t="inlineStr"/>
      <c r="Y313" s="29" t="inlineStr"/>
      <c r="Z313" s="29" t="inlineStr"/>
      <c r="AA313" s="29" t="inlineStr"/>
      <c r="AB313" s="29" t="inlineStr"/>
      <c r="AC313" s="29" t="inlineStr"/>
      <c r="AD313" s="29" t="inlineStr"/>
      <c r="AE313" s="29" t="inlineStr">
        <is>
          <t>Unknown</t>
        </is>
      </c>
      <c r="AF313" s="29" t="inlineStr"/>
      <c r="AG313" s="29" t="inlineStr">
        <is>
          <t>Unknown</t>
        </is>
      </c>
      <c r="AH313" s="29" t="inlineStr">
        <is>
          <t>Unknown</t>
        </is>
      </c>
      <c r="AI313" s="29" t="inlineStr">
        <is>
          <t>Searched source code for profile, identity, privacy, settings, block, account, download, delete. No implementation found.</t>
        </is>
      </c>
      <c r="AJ313" s="29" t="inlineStr">
        <is>
          <t>Not verified</t>
        </is>
      </c>
      <c r="AK313" s="29" t="inlineStr">
        <is>
          <t>EV-15-0029</t>
        </is>
      </c>
      <c r="AL313" s="29" t="inlineStr"/>
      <c r="AM313" s="29" t="inlineStr"/>
      <c r="AN313" s="29" t="inlineStr"/>
      <c r="AO313" s="29" t="inlineStr">
        <is>
          <t>8bc0dcb2a1da1b21368c5536aaeef829d587f316</t>
        </is>
      </c>
      <c r="AP313" s="29" t="inlineStr">
        <is>
          <t>High</t>
        </is>
      </c>
      <c r="AQ313" s="29" t="inlineStr">
        <is>
          <t>Not assessed</t>
        </is>
      </c>
      <c r="AR313" s="29" t="inlineStr">
        <is>
          <t>Not assessed</t>
        </is>
      </c>
      <c r="AS313" s="29" t="inlineStr">
        <is>
          <t>Not assessed</t>
        </is>
      </c>
      <c r="AT313" s="29" t="inlineStr">
        <is>
          <t>Not assessed</t>
        </is>
      </c>
      <c r="AU313" s="29" t="inlineStr">
        <is>
          <t>Not assessed</t>
        </is>
      </c>
      <c r="AV313" s="29" t="inlineStr">
        <is>
          <t>Not assessed</t>
        </is>
      </c>
      <c r="AW313" s="29" t="inlineStr">
        <is>
          <t>Not assessed</t>
        </is>
      </c>
      <c r="AX313" s="29" t="inlineStr">
        <is>
          <t>Not assessed</t>
        </is>
      </c>
      <c r="AY313" s="29" t="inlineStr">
        <is>
          <t>Not assessed</t>
        </is>
      </c>
      <c r="AZ313" s="29" t="inlineStr">
        <is>
          <t>Not assessed</t>
        </is>
      </c>
      <c r="BA313" s="29" t="inlineStr">
        <is>
          <t>Not assessed</t>
        </is>
      </c>
      <c r="BB313" s="29" t="inlineStr">
        <is>
          <t>Not assessed</t>
        </is>
      </c>
      <c r="BC313" s="29" t="inlineStr">
        <is>
          <t>Not assessed</t>
        </is>
      </c>
      <c r="BD313" s="29" t="inlineStr">
        <is>
          <t>Not assessed</t>
        </is>
      </c>
      <c r="BE313" s="29" t="inlineStr">
        <is>
          <t>Development required</t>
        </is>
      </c>
      <c r="BF313" s="29" t="inlineStr">
        <is>
          <t>Physical implementation is not complete against the stated requirement.; Searched source code for profile, identity, privacy, settings, block, account, download, delete. No implementation found.</t>
        </is>
      </c>
      <c r="BG313" s="29" t="inlineStr"/>
      <c r="BH313" s="29" t="inlineStr"/>
      <c r="BI313" s="29" t="inlineStr"/>
      <c r="BJ313" s="29" t="inlineStr"/>
      <c r="BK313" s="29" t="inlineStr">
        <is>
          <t>Evidence reconciled against the reviewed source revision. No production approval is inferred from implementation or file presence.</t>
        </is>
      </c>
      <c r="BL313" s="29" t="inlineStr">
        <is>
          <t>2026-08-02</t>
        </is>
      </c>
    </row>
    <row r="314" ht="42" customHeight="1">
      <c r="A314" s="29" t="inlineStr">
        <is>
          <t>BLYP-15-026</t>
        </is>
      </c>
      <c r="B314" s="29" t="inlineStr"/>
      <c r="C314" s="29" t="inlineStr">
        <is>
          <t>Profiles, identity, and privacy</t>
        </is>
      </c>
      <c r="D314" s="29" t="n">
        <v>15</v>
      </c>
      <c r="E314" s="29" t="n">
        <v>26</v>
      </c>
      <c r="F314" s="29" t="inlineStr">
        <is>
          <t>Feature</t>
        </is>
      </c>
      <c r="G314" s="29" t="inlineStr">
        <is>
          <t>Account-data download</t>
        </is>
      </c>
      <c r="H314" s="29" t="inlineStr">
        <is>
          <t>Account-data download</t>
        </is>
      </c>
      <c r="I314" s="29" t="inlineStr">
        <is>
          <t>/home/ubuntu/blyp_product_requirements.md :: Section 15 — Profiles, identity, and privacy</t>
        </is>
      </c>
      <c r="J314" s="29" t="inlineStr">
        <is>
          <t>/home/ubuntu/BLYP_COMPLETE_FEATURE_LIST.md:398</t>
        </is>
      </c>
      <c r="K314" s="29" t="inlineStr">
        <is>
          <t>Required</t>
        </is>
      </c>
      <c r="L314" s="29" t="inlineStr">
        <is>
          <t>Applicable BLYP member</t>
        </is>
      </c>
      <c r="M314" s="29" t="inlineStr">
        <is>
          <t>BLYP mobile application and supporting production services</t>
        </is>
      </c>
      <c r="N314" s="29" t="inlineStr">
        <is>
          <t>Account-data download</t>
        </is>
      </c>
      <c r="O314" s="29" t="inlineStr">
        <is>
          <t>Not explicitly defined in the product source; requires accountable product approval before production sign-off.</t>
        </is>
      </c>
      <c r="P314" s="29" t="inlineStr"/>
      <c r="Q314" s="29" t="inlineStr">
        <is>
          <t>Scaffold only</t>
        </is>
      </c>
      <c r="R314" s="29" t="inlineStr"/>
      <c r="S314" s="29" t="inlineStr">
        <is>
          <t>Not found</t>
        </is>
      </c>
      <c r="T314" s="29" t="inlineStr"/>
      <c r="U314" s="29" t="inlineStr"/>
      <c r="V314" s="29" t="inlineStr"/>
      <c r="W314" s="29" t="inlineStr"/>
      <c r="X314" s="29" t="inlineStr"/>
      <c r="Y314" s="29" t="inlineStr"/>
      <c r="Z314" s="29" t="inlineStr"/>
      <c r="AA314" s="29" t="inlineStr"/>
      <c r="AB314" s="29" t="inlineStr"/>
      <c r="AC314" s="29" t="inlineStr"/>
      <c r="AD314" s="29" t="inlineStr"/>
      <c r="AE314" s="29" t="inlineStr">
        <is>
          <t>Unknown</t>
        </is>
      </c>
      <c r="AF314" s="29" t="inlineStr"/>
      <c r="AG314" s="29" t="inlineStr">
        <is>
          <t>Unknown</t>
        </is>
      </c>
      <c r="AH314" s="29" t="inlineStr">
        <is>
          <t>Unknown</t>
        </is>
      </c>
      <c r="AI314" s="29" t="inlineStr">
        <is>
          <t>Searched source code for profile, identity, privacy, settings, block, account, download, delete. No implementation found.</t>
        </is>
      </c>
      <c r="AJ314" s="29" t="inlineStr">
        <is>
          <t>Not verified</t>
        </is>
      </c>
      <c r="AK314" s="29" t="inlineStr">
        <is>
          <t>EV-15-0030</t>
        </is>
      </c>
      <c r="AL314" s="29" t="inlineStr"/>
      <c r="AM314" s="29" t="inlineStr"/>
      <c r="AN314" s="29" t="inlineStr"/>
      <c r="AO314" s="29" t="inlineStr">
        <is>
          <t>8bc0dcb2a1da1b21368c5536aaeef829d587f316</t>
        </is>
      </c>
      <c r="AP314" s="29" t="inlineStr">
        <is>
          <t>High</t>
        </is>
      </c>
      <c r="AQ314" s="29" t="inlineStr">
        <is>
          <t>Not assessed</t>
        </is>
      </c>
      <c r="AR314" s="29" t="inlineStr">
        <is>
          <t>Not assessed</t>
        </is>
      </c>
      <c r="AS314" s="29" t="inlineStr">
        <is>
          <t>Not assessed</t>
        </is>
      </c>
      <c r="AT314" s="29" t="inlineStr">
        <is>
          <t>Not assessed</t>
        </is>
      </c>
      <c r="AU314" s="29" t="inlineStr">
        <is>
          <t>Not assessed</t>
        </is>
      </c>
      <c r="AV314" s="29" t="inlineStr">
        <is>
          <t>Not assessed</t>
        </is>
      </c>
      <c r="AW314" s="29" t="inlineStr">
        <is>
          <t>Not assessed</t>
        </is>
      </c>
      <c r="AX314" s="29" t="inlineStr">
        <is>
          <t>Not assessed</t>
        </is>
      </c>
      <c r="AY314" s="29" t="inlineStr">
        <is>
          <t>Not assessed</t>
        </is>
      </c>
      <c r="AZ314" s="29" t="inlineStr">
        <is>
          <t>Not assessed</t>
        </is>
      </c>
      <c r="BA314" s="29" t="inlineStr">
        <is>
          <t>Not assessed</t>
        </is>
      </c>
      <c r="BB314" s="29" t="inlineStr">
        <is>
          <t>Not assessed</t>
        </is>
      </c>
      <c r="BC314" s="29" t="inlineStr">
        <is>
          <t>Not assessed</t>
        </is>
      </c>
      <c r="BD314" s="29" t="inlineStr">
        <is>
          <t>Not assessed</t>
        </is>
      </c>
      <c r="BE314" s="29" t="inlineStr">
        <is>
          <t>Development required</t>
        </is>
      </c>
      <c r="BF314" s="29" t="inlineStr">
        <is>
          <t>Physical implementation is not complete against the stated requirement.; Searched source code for profile, identity, privacy, settings, block, account, download, delete. No implementation found.</t>
        </is>
      </c>
      <c r="BG314" s="29" t="inlineStr"/>
      <c r="BH314" s="29" t="inlineStr"/>
      <c r="BI314" s="29" t="inlineStr"/>
      <c r="BJ314" s="29" t="inlineStr"/>
      <c r="BK314" s="29" t="inlineStr">
        <is>
          <t>Evidence reconciled against the reviewed source revision. No production approval is inferred from implementation or file presence.</t>
        </is>
      </c>
      <c r="BL314" s="29" t="inlineStr">
        <is>
          <t>2026-08-02</t>
        </is>
      </c>
    </row>
    <row r="315" ht="42" customHeight="1">
      <c r="A315" s="29" t="inlineStr">
        <is>
          <t>BLYP-15-027</t>
        </is>
      </c>
      <c r="B315" s="29" t="inlineStr"/>
      <c r="C315" s="29" t="inlineStr">
        <is>
          <t>Profiles, identity, and privacy</t>
        </is>
      </c>
      <c r="D315" s="29" t="n">
        <v>15</v>
      </c>
      <c r="E315" s="29" t="n">
        <v>27</v>
      </c>
      <c r="F315" s="29" t="inlineStr">
        <is>
          <t>Feature</t>
        </is>
      </c>
      <c r="G315" s="29" t="inlineStr">
        <is>
          <t>Account deletion</t>
        </is>
      </c>
      <c r="H315" s="29" t="inlineStr">
        <is>
          <t>Account deletion</t>
        </is>
      </c>
      <c r="I315" s="29" t="inlineStr">
        <is>
          <t>/home/ubuntu/blyp_product_requirements.md :: Section 15 — Profiles, identity, and privacy</t>
        </is>
      </c>
      <c r="J315" s="29" t="inlineStr">
        <is>
          <t>/home/ubuntu/BLYP_COMPLETE_FEATURE_LIST.md:399</t>
        </is>
      </c>
      <c r="K315" s="29" t="inlineStr">
        <is>
          <t>Required</t>
        </is>
      </c>
      <c r="L315" s="29" t="inlineStr">
        <is>
          <t>Applicable BLYP member</t>
        </is>
      </c>
      <c r="M315" s="29" t="inlineStr">
        <is>
          <t>BLYP mobile application and supporting production services</t>
        </is>
      </c>
      <c r="N315" s="29" t="inlineStr">
        <is>
          <t>Account deletion</t>
        </is>
      </c>
      <c r="O315" s="29" t="inlineStr">
        <is>
          <t>Not explicitly defined in the product source; requires accountable product approval before production sign-off.</t>
        </is>
      </c>
      <c r="P315" s="29" t="inlineStr"/>
      <c r="Q315" s="29" t="inlineStr">
        <is>
          <t>Scaffold only</t>
        </is>
      </c>
      <c r="R315" s="29" t="inlineStr"/>
      <c r="S315" s="29" t="inlineStr">
        <is>
          <t>Not found</t>
        </is>
      </c>
      <c r="T315" s="29" t="inlineStr"/>
      <c r="U315" s="29" t="inlineStr"/>
      <c r="V315" s="29" t="inlineStr"/>
      <c r="W315" s="29" t="inlineStr"/>
      <c r="X315" s="29" t="inlineStr"/>
      <c r="Y315" s="29" t="inlineStr"/>
      <c r="Z315" s="29" t="inlineStr"/>
      <c r="AA315" s="29" t="inlineStr"/>
      <c r="AB315" s="29" t="inlineStr"/>
      <c r="AC315" s="29" t="inlineStr"/>
      <c r="AD315" s="29" t="inlineStr"/>
      <c r="AE315" s="29" t="inlineStr">
        <is>
          <t>Unknown</t>
        </is>
      </c>
      <c r="AF315" s="29" t="inlineStr"/>
      <c r="AG315" s="29" t="inlineStr">
        <is>
          <t>Unknown</t>
        </is>
      </c>
      <c r="AH315" s="29" t="inlineStr">
        <is>
          <t>Unknown</t>
        </is>
      </c>
      <c r="AI315" s="29" t="inlineStr">
        <is>
          <t>Searched source code for profile, identity, privacy, settings, block, account, download, delete. No implementation found.</t>
        </is>
      </c>
      <c r="AJ315" s="29" t="inlineStr">
        <is>
          <t>Not verified</t>
        </is>
      </c>
      <c r="AK315" s="29" t="inlineStr">
        <is>
          <t>EV-15-0031</t>
        </is>
      </c>
      <c r="AL315" s="29" t="inlineStr"/>
      <c r="AM315" s="29" t="inlineStr"/>
      <c r="AN315" s="29" t="inlineStr"/>
      <c r="AO315" s="29" t="inlineStr">
        <is>
          <t>8bc0dcb2a1da1b21368c5536aaeef829d587f316</t>
        </is>
      </c>
      <c r="AP315" s="29" t="inlineStr">
        <is>
          <t>High</t>
        </is>
      </c>
      <c r="AQ315" s="29" t="inlineStr">
        <is>
          <t>Not assessed</t>
        </is>
      </c>
      <c r="AR315" s="29" t="inlineStr">
        <is>
          <t>Not assessed</t>
        </is>
      </c>
      <c r="AS315" s="29" t="inlineStr">
        <is>
          <t>Not assessed</t>
        </is>
      </c>
      <c r="AT315" s="29" t="inlineStr">
        <is>
          <t>Not assessed</t>
        </is>
      </c>
      <c r="AU315" s="29" t="inlineStr">
        <is>
          <t>Not assessed</t>
        </is>
      </c>
      <c r="AV315" s="29" t="inlineStr">
        <is>
          <t>Not assessed</t>
        </is>
      </c>
      <c r="AW315" s="29" t="inlineStr">
        <is>
          <t>Not assessed</t>
        </is>
      </c>
      <c r="AX315" s="29" t="inlineStr">
        <is>
          <t>Not assessed</t>
        </is>
      </c>
      <c r="AY315" s="29" t="inlineStr">
        <is>
          <t>Not assessed</t>
        </is>
      </c>
      <c r="AZ315" s="29" t="inlineStr">
        <is>
          <t>Not assessed</t>
        </is>
      </c>
      <c r="BA315" s="29" t="inlineStr">
        <is>
          <t>Not assessed</t>
        </is>
      </c>
      <c r="BB315" s="29" t="inlineStr">
        <is>
          <t>Not assessed</t>
        </is>
      </c>
      <c r="BC315" s="29" t="inlineStr">
        <is>
          <t>Not assessed</t>
        </is>
      </c>
      <c r="BD315" s="29" t="inlineStr">
        <is>
          <t>Not assessed</t>
        </is>
      </c>
      <c r="BE315" s="29" t="inlineStr">
        <is>
          <t>Development required</t>
        </is>
      </c>
      <c r="BF315" s="29" t="inlineStr">
        <is>
          <t>Physical implementation is not complete against the stated requirement.; Searched source code for profile, identity, privacy, settings, block, account, download, delete. No implementation found.</t>
        </is>
      </c>
      <c r="BG315" s="29" t="inlineStr"/>
      <c r="BH315" s="29" t="inlineStr"/>
      <c r="BI315" s="29" t="inlineStr"/>
      <c r="BJ315" s="29" t="inlineStr"/>
      <c r="BK315" s="29" t="inlineStr">
        <is>
          <t>Evidence reconciled against the reviewed source revision. No production approval is inferred from implementation or file presence.</t>
        </is>
      </c>
      <c r="BL315" s="29" t="inlineStr">
        <is>
          <t>2026-08-02</t>
        </is>
      </c>
    </row>
    <row r="316" ht="42" customHeight="1">
      <c r="A316" s="29" t="inlineStr">
        <is>
          <t>BLYP-15-028</t>
        </is>
      </c>
      <c r="B316" s="29" t="inlineStr"/>
      <c r="C316" s="29" t="inlineStr">
        <is>
          <t>Profiles, identity, and privacy</t>
        </is>
      </c>
      <c r="D316" s="29" t="n">
        <v>15</v>
      </c>
      <c r="E316" s="29" t="n">
        <v>28</v>
      </c>
      <c r="F316" s="29" t="inlineStr">
        <is>
          <t>Feature</t>
        </is>
      </c>
      <c r="G316" s="29" t="inlineStr">
        <is>
          <t>One canonical member identity</t>
        </is>
      </c>
      <c r="H316" s="29" t="inlineStr">
        <is>
          <t>One canonical member identity</t>
        </is>
      </c>
      <c r="I316" s="29" t="inlineStr">
        <is>
          <t>/home/ubuntu/blyp_product_requirements.md :: Section 15 — Profiles, identity, and privacy</t>
        </is>
      </c>
      <c r="J316" s="29" t="inlineStr">
        <is>
          <t>/home/ubuntu/BLYP_COMPLETE_FEATURE_LIST.md:400</t>
        </is>
      </c>
      <c r="K316" s="29" t="inlineStr">
        <is>
          <t>Required</t>
        </is>
      </c>
      <c r="L316" s="29" t="inlineStr">
        <is>
          <t>Applicable BLYP member</t>
        </is>
      </c>
      <c r="M316" s="29" t="inlineStr">
        <is>
          <t>BLYP mobile application and supporting production services</t>
        </is>
      </c>
      <c r="N316" s="29" t="inlineStr">
        <is>
          <t>One canonical member identity</t>
        </is>
      </c>
      <c r="O316" s="29" t="inlineStr">
        <is>
          <t>Not explicitly defined in the product source; requires accountable product approval before production sign-off.</t>
        </is>
      </c>
      <c r="P316" s="29" t="inlineStr">
        <is>
          <t>Firebase Auth, AWS Cognito</t>
        </is>
      </c>
      <c r="Q316" s="29" t="inlineStr">
        <is>
          <t>No</t>
        </is>
      </c>
      <c r="R316" s="29" t="inlineStr">
        <is>
          <t>Firebase and Cognito identities coexist.</t>
        </is>
      </c>
      <c r="S316" s="29" t="inlineStr">
        <is>
          <t>Conflicting implementations</t>
        </is>
      </c>
      <c r="T316" s="29" t="inlineStr"/>
      <c r="U316" s="29" t="inlineStr"/>
      <c r="V316" s="29" t="inlineStr"/>
      <c r="W316" s="29" t="inlineStr"/>
      <c r="X316" s="29" t="inlineStr"/>
      <c r="Y316" s="29" t="inlineStr"/>
      <c r="Z316" s="29" t="inlineStr">
        <is>
          <t>Firebase Auth, AWS Cognito</t>
        </is>
      </c>
      <c r="AA316" s="29" t="inlineStr"/>
      <c r="AB316" s="29" t="inlineStr"/>
      <c r="AC316" s="29" t="inlineStr"/>
      <c r="AD316" s="29" t="inlineStr"/>
      <c r="AE316" s="29" t="inlineStr">
        <is>
          <t>Unknown</t>
        </is>
      </c>
      <c r="AF316" s="29" t="inlineStr"/>
      <c r="AG316" s="29" t="inlineStr">
        <is>
          <t>Not started</t>
        </is>
      </c>
      <c r="AH316" s="29" t="inlineStr">
        <is>
          <t>No</t>
        </is>
      </c>
      <c r="AI316" s="29" t="inlineStr">
        <is>
          <t>Both Firebase Auth and AWS Cognito are used, creating conflicting identity sources.</t>
        </is>
      </c>
      <c r="AJ316" s="29" t="inlineStr">
        <is>
          <t>Not verified</t>
        </is>
      </c>
      <c r="AK316" s="29" t="inlineStr">
        <is>
          <t>EV-15-0032;EV-15-0033</t>
        </is>
      </c>
      <c r="AL316" s="29" t="inlineStr"/>
      <c r="AM316" s="29" t="inlineStr"/>
      <c r="AN316" s="29" t="inlineStr"/>
      <c r="AO316" s="29" t="inlineStr">
        <is>
          <t>8bc0dcb2a1da1b21368c5536aaeef829d587f316</t>
        </is>
      </c>
      <c r="AP316" s="29" t="inlineStr">
        <is>
          <t>High</t>
        </is>
      </c>
      <c r="AQ316" s="29" t="inlineStr">
        <is>
          <t>Not assessed</t>
        </is>
      </c>
      <c r="AR316" s="29" t="inlineStr">
        <is>
          <t>Fail</t>
        </is>
      </c>
      <c r="AS316" s="29" t="inlineStr">
        <is>
          <t>Fail</t>
        </is>
      </c>
      <c r="AT316" s="29" t="inlineStr">
        <is>
          <t>Not assessed</t>
        </is>
      </c>
      <c r="AU316" s="29" t="inlineStr">
        <is>
          <t>Not assessed</t>
        </is>
      </c>
      <c r="AV316" s="29" t="inlineStr">
        <is>
          <t>Not assessed</t>
        </is>
      </c>
      <c r="AW316" s="29" t="inlineStr">
        <is>
          <t>Not assessed</t>
        </is>
      </c>
      <c r="AX316" s="29" t="inlineStr">
        <is>
          <t>Not assessed</t>
        </is>
      </c>
      <c r="AY316" s="29" t="inlineStr">
        <is>
          <t>Not assessed</t>
        </is>
      </c>
      <c r="AZ316" s="29" t="inlineStr">
        <is>
          <t>Not assessed</t>
        </is>
      </c>
      <c r="BA316" s="29" t="inlineStr">
        <is>
          <t>Not assessed</t>
        </is>
      </c>
      <c r="BB316" s="29" t="inlineStr">
        <is>
          <t>Not assessed</t>
        </is>
      </c>
      <c r="BC316" s="29" t="inlineStr">
        <is>
          <t>Not assessed</t>
        </is>
      </c>
      <c r="BD316" s="29" t="inlineStr">
        <is>
          <t>Not assessed</t>
        </is>
      </c>
      <c r="BE316" s="29" t="inlineStr">
        <is>
          <t>Development required</t>
        </is>
      </c>
      <c r="BF316" s="29" t="inlineStr">
        <is>
          <t>Physical implementation is not complete against the stated requirement.; Both Firebase Auth and AWS Cognito are used, creating conflicting identity sources.</t>
        </is>
      </c>
      <c r="BG316" s="29" t="inlineStr"/>
      <c r="BH316" s="29" t="inlineStr"/>
      <c r="BI316" s="29" t="inlineStr"/>
      <c r="BJ316" s="29" t="inlineStr"/>
      <c r="BK316" s="29" t="inlineStr">
        <is>
          <t>Evidence reconciled against the reviewed source revision. No production approval is inferred from implementation or file presence.</t>
        </is>
      </c>
      <c r="BL316" s="29" t="inlineStr">
        <is>
          <t>2026-08-02</t>
        </is>
      </c>
    </row>
    <row r="317" ht="42" customHeight="1">
      <c r="A317" s="29" t="inlineStr">
        <is>
          <t>BLYP-16-001</t>
        </is>
      </c>
      <c r="B317" s="29" t="inlineStr"/>
      <c r="C317" s="29" t="inlineStr">
        <is>
          <t>Content creation and publishing pipeline</t>
        </is>
      </c>
      <c r="D317" s="29" t="n">
        <v>16</v>
      </c>
      <c r="E317" s="29" t="n">
        <v>1</v>
      </c>
      <c r="F317" s="29" t="inlineStr">
        <is>
          <t>Feature</t>
        </is>
      </c>
      <c r="G317" s="29" t="inlineStr">
        <is>
          <t>Automatic drafts</t>
        </is>
      </c>
      <c r="H317" s="29" t="inlineStr">
        <is>
          <t>Automatic drafts</t>
        </is>
      </c>
      <c r="I317" s="29" t="inlineStr">
        <is>
          <t>/home/ubuntu/blyp_product_requirements.md :: Section 16 — Content creation and publishing pipeline</t>
        </is>
      </c>
      <c r="J317" s="29" t="inlineStr">
        <is>
          <t>/home/ubuntu/BLYP_COMPLETE_FEATURE_LIST.md:406</t>
        </is>
      </c>
      <c r="K317" s="29" t="inlineStr">
        <is>
          <t>Required</t>
        </is>
      </c>
      <c r="L317" s="29" t="inlineStr">
        <is>
          <t>Authenticated creator or host</t>
        </is>
      </c>
      <c r="M317" s="29" t="inlineStr">
        <is>
          <t>BLYP mobile application and supporting production services</t>
        </is>
      </c>
      <c r="N317" s="29" t="inlineStr">
        <is>
          <t>Automatic drafts</t>
        </is>
      </c>
      <c r="O317" s="29" t="inlineStr">
        <is>
          <t>Not explicitly defined in the product source; requires accountable product approval before production sign-off.</t>
        </is>
      </c>
      <c r="P317" s="29" t="inlineStr">
        <is>
          <t>Firebase Firestore; Firestore collection 'drafts'; Firestore rules: auth != null required</t>
        </is>
      </c>
      <c r="Q317" s="29" t="inlineStr">
        <is>
          <t>Partial</t>
        </is>
      </c>
      <c r="R317" s="29" t="inlineStr"/>
      <c r="S317" s="29" t="inlineStr">
        <is>
          <t>Partial</t>
        </is>
      </c>
      <c r="T317" s="29" t="inlineStr">
        <is>
          <t>ReviewScreen.js – handleBackNavigation triggers confirmation modal with 'Save as Draft' button</t>
        </is>
      </c>
      <c r="U317" s="29" t="inlineStr">
        <is>
          <t>ReviewScreen.js – confirmation modal; 'Save as Draft' TouchableOpacity (line 3283)</t>
        </is>
      </c>
      <c r="V317" s="29" t="inlineStr">
        <is>
          <t>firestore.collection('drafts').add(draftData) using Firebase compat SDK</t>
        </is>
      </c>
      <c r="W317" s="29" t="inlineStr">
        <is>
          <t>None – client writes directly to Firestore</t>
        </is>
      </c>
      <c r="X317" s="29" t="inlineStr">
        <is>
          <t>Firestore collection 'drafts'</t>
        </is>
      </c>
      <c r="Y317" s="29" t="inlineStr">
        <is>
          <t>None found</t>
        </is>
      </c>
      <c r="Z317" s="29" t="inlineStr">
        <is>
          <t>Firebase Firestore</t>
        </is>
      </c>
      <c r="AA317" s="29" t="inlineStr">
        <is>
          <t>Firestore rules: auth != null required</t>
        </is>
      </c>
      <c r="AB317" s="29" t="inlineStr">
        <is>
          <t>Expo mobile binary</t>
        </is>
      </c>
      <c r="AC317" s="29" t="inlineStr"/>
      <c r="AD317" s="29" t="inlineStr">
        <is>
          <t>User navigates back from ReviewScreen; hasUnsavedContent() returns true; confirmation modal shown; user taps 'Save as Draft'; handleSaveAsDraft writes draft document to Firestore 'drafts' collection. No automatic draft creation on app-backgrounding or crash.</t>
        </is>
      </c>
      <c r="AE317" s="29" t="inlineStr">
        <is>
          <t>User reachable</t>
        </is>
      </c>
      <c r="AF317" s="29" t="inlineStr">
        <is>
          <t>ReviewScreen.js – handleBackNavigation triggers confirmation modal with 'Save as Draft' button; User navigates back from ReviewScreen; hasUnsavedContent() returns true; confirmation modal shown; user taps 'Save as Draft'; handleSaveAsDraft writes draft document to Firestore 'drafts' collection. No automatic draft creation on app-backgrounding or crash.</t>
        </is>
      </c>
      <c r="AG317" s="29" t="inlineStr">
        <is>
          <t>Incomplete</t>
        </is>
      </c>
      <c r="AH317" s="29" t="inlineStr">
        <is>
          <t>No</t>
        </is>
      </c>
      <c r="AI317" s="29" t="inlineStr">
        <is>
          <t>No automatic draft on navigation-away without user action; no auto-save on app crash or background; draft list screen is a stub (see BLYP-16-002).</t>
        </is>
      </c>
      <c r="AJ317" s="29" t="inlineStr">
        <is>
          <t>Source traced</t>
        </is>
      </c>
      <c r="AK317" s="29" t="inlineStr">
        <is>
          <t>EV-16-0001; EV-16-0002</t>
        </is>
      </c>
      <c r="AL317" s="29" t="inlineStr"/>
      <c r="AM317" s="29" t="inlineStr"/>
      <c r="AN317" s="29" t="inlineStr"/>
      <c r="AO317" s="29" t="inlineStr">
        <is>
          <t>8bc0dcb2a1da1b21368c5536aaeef829d587f316</t>
        </is>
      </c>
      <c r="AP317" s="29" t="inlineStr">
        <is>
          <t>Medium</t>
        </is>
      </c>
      <c r="AQ317" s="29" t="inlineStr">
        <is>
          <t>Not assessed</t>
        </is>
      </c>
      <c r="AR317" s="29" t="inlineStr">
        <is>
          <t>Not assessed</t>
        </is>
      </c>
      <c r="AS317" s="29" t="inlineStr">
        <is>
          <t>Fail</t>
        </is>
      </c>
      <c r="AT317" s="29" t="inlineStr">
        <is>
          <t>Not assessed</t>
        </is>
      </c>
      <c r="AU317" s="29" t="inlineStr">
        <is>
          <t>Not assessed</t>
        </is>
      </c>
      <c r="AV317" s="29" t="inlineStr">
        <is>
          <t>Not assessed</t>
        </is>
      </c>
      <c r="AW317" s="29" t="inlineStr">
        <is>
          <t>Not assessed</t>
        </is>
      </c>
      <c r="AX317" s="29" t="inlineStr">
        <is>
          <t>Not assessed</t>
        </is>
      </c>
      <c r="AY317" s="29" t="inlineStr">
        <is>
          <t>Not assessed</t>
        </is>
      </c>
      <c r="AZ317" s="29" t="inlineStr">
        <is>
          <t>Not assessed</t>
        </is>
      </c>
      <c r="BA317" s="29" t="inlineStr">
        <is>
          <t>Not assessed</t>
        </is>
      </c>
      <c r="BB317" s="29" t="inlineStr">
        <is>
          <t>Not assessed</t>
        </is>
      </c>
      <c r="BC317" s="29" t="inlineStr">
        <is>
          <t>Not assessed</t>
        </is>
      </c>
      <c r="BD317" s="29" t="inlineStr">
        <is>
          <t>Not assessed</t>
        </is>
      </c>
      <c r="BE317" s="29" t="inlineStr">
        <is>
          <t>Development required</t>
        </is>
      </c>
      <c r="BF317" s="29" t="inlineStr">
        <is>
          <t>Physical implementation is not complete against the stated requirement.; No automatic draft on navigation-away without user action; no auto-save on app crash or background; draft list screen is a stub (see BLYP-16-002).</t>
        </is>
      </c>
      <c r="BG317" s="29" t="inlineStr">
        <is>
          <t>Confirm auto-draft on crash/background; confirm draft retrieval flow</t>
        </is>
      </c>
      <c r="BH317" s="29" t="inlineStr"/>
      <c r="BI317" s="29" t="inlineStr"/>
      <c r="BJ317" s="29" t="inlineStr"/>
      <c r="BK317" s="29" t="inlineStr">
        <is>
          <t>Evidence reconciled against the reviewed source revision. No production approval is inferred from implementation or file presence.</t>
        </is>
      </c>
      <c r="BL317" s="29" t="inlineStr">
        <is>
          <t>2026-08-02</t>
        </is>
      </c>
    </row>
    <row r="318" ht="42" customHeight="1">
      <c r="A318" s="29" t="inlineStr">
        <is>
          <t>BLYP-16-002</t>
        </is>
      </c>
      <c r="B318" s="29" t="inlineStr"/>
      <c r="C318" s="29" t="inlineStr">
        <is>
          <t>Content creation and publishing pipeline</t>
        </is>
      </c>
      <c r="D318" s="29" t="n">
        <v>16</v>
      </c>
      <c r="E318" s="29" t="n">
        <v>2</v>
      </c>
      <c r="F318" s="29" t="inlineStr">
        <is>
          <t>Feature</t>
        </is>
      </c>
      <c r="G318" s="29" t="inlineStr">
        <is>
          <t>Drafts screen</t>
        </is>
      </c>
      <c r="H318" s="29" t="inlineStr">
        <is>
          <t>Drafts screen</t>
        </is>
      </c>
      <c r="I318" s="29" t="inlineStr">
        <is>
          <t>/home/ubuntu/blyp_product_requirements.md :: Section 16 — Content creation and publishing pipeline</t>
        </is>
      </c>
      <c r="J318" s="29" t="inlineStr">
        <is>
          <t>/home/ubuntu/BLYP_COMPLETE_FEATURE_LIST.md:407</t>
        </is>
      </c>
      <c r="K318" s="29" t="inlineStr">
        <is>
          <t>Required</t>
        </is>
      </c>
      <c r="L318" s="29" t="inlineStr">
        <is>
          <t>Authenticated creator or host</t>
        </is>
      </c>
      <c r="M318" s="29" t="inlineStr">
        <is>
          <t>BLYP mobile application and supporting production services</t>
        </is>
      </c>
      <c r="N318" s="29" t="inlineStr">
        <is>
          <t>Drafts screen</t>
        </is>
      </c>
      <c r="O318" s="29" t="inlineStr">
        <is>
          <t>Not explicitly defined in the product source; requires accountable product approval before production sign-off.</t>
        </is>
      </c>
      <c r="P318" s="29" t="inlineStr">
        <is>
          <t>None; Firestore collection 'drafts' (written by BLYP-16-001 but not read here)</t>
        </is>
      </c>
      <c r="Q318" s="29" t="inlineStr">
        <is>
          <t>Yes</t>
        </is>
      </c>
      <c r="R318" s="29" t="inlineStr"/>
      <c r="S318" s="29" t="inlineStr">
        <is>
          <t>UI only</t>
        </is>
      </c>
      <c r="T318" s="29" t="inlineStr">
        <is>
          <t>ProfileScreen.js tab '3' – 'Drafts' tab in profile tab bar</t>
        </is>
      </c>
      <c r="U318" s="29" t="inlineStr">
        <is>
          <t>ProfileScreen.js line 160 – 'coming soon' placeholder view</t>
        </is>
      </c>
      <c r="V318" s="29" t="inlineStr">
        <is>
          <t>None – no Firestore query for drafts collection</t>
        </is>
      </c>
      <c r="W318" s="29" t="inlineStr">
        <is>
          <t>None</t>
        </is>
      </c>
      <c r="X318" s="29" t="inlineStr">
        <is>
          <t>Firestore collection 'drafts' (written by BLYP-16-001 but not read here)</t>
        </is>
      </c>
      <c r="Y318" s="29" t="inlineStr">
        <is>
          <t>None</t>
        </is>
      </c>
      <c r="Z318" s="29" t="inlineStr">
        <is>
          <t>None</t>
        </is>
      </c>
      <c r="AA318" s="29" t="inlineStr">
        <is>
          <t>None</t>
        </is>
      </c>
      <c r="AB318" s="29" t="inlineStr">
        <is>
          <t>Expo mobile binary</t>
        </is>
      </c>
      <c r="AC318" s="29" t="inlineStr"/>
      <c r="AD318" s="29" t="inlineStr">
        <is>
          <t>User navigates to Profile &gt; Drafts tab; a placeholder 'coming soon' view is rendered with no list or data fetch.</t>
        </is>
      </c>
      <c r="AE318" s="29" t="inlineStr">
        <is>
          <t>User reachable</t>
        </is>
      </c>
      <c r="AF318" s="29" t="inlineStr">
        <is>
          <t>ProfileScreen.js tab '3' – 'Drafts' tab in profile tab bar; User navigates to Profile &gt; Drafts tab; a placeholder 'coming soon' view is rendered with no list or data fetch.</t>
        </is>
      </c>
      <c r="AG318" s="29" t="inlineStr">
        <is>
          <t>Incomplete</t>
        </is>
      </c>
      <c r="AH318" s="29" t="inlineStr">
        <is>
          <t>No</t>
        </is>
      </c>
      <c r="AI318" s="29" t="inlineStr">
        <is>
          <t>No Firestore query for drafts collection; no list rendering; no resume-from-draft navigation.</t>
        </is>
      </c>
      <c r="AJ318" s="29" t="inlineStr">
        <is>
          <t>Source traced</t>
        </is>
      </c>
      <c r="AK318" s="29" t="inlineStr">
        <is>
          <t>EV-16-0003</t>
        </is>
      </c>
      <c r="AL318" s="29" t="inlineStr"/>
      <c r="AM318" s="29" t="inlineStr"/>
      <c r="AN318" s="29" t="inlineStr"/>
      <c r="AO318" s="29" t="inlineStr">
        <is>
          <t>8bc0dcb2a1da1b21368c5536aaeef829d587f316</t>
        </is>
      </c>
      <c r="AP318" s="29" t="inlineStr">
        <is>
          <t>High</t>
        </is>
      </c>
      <c r="AQ318" s="29" t="inlineStr">
        <is>
          <t>Not assessed</t>
        </is>
      </c>
      <c r="AR318" s="29" t="inlineStr">
        <is>
          <t>Not assessed</t>
        </is>
      </c>
      <c r="AS318" s="29" t="inlineStr">
        <is>
          <t>Fail</t>
        </is>
      </c>
      <c r="AT318" s="29" t="inlineStr">
        <is>
          <t>Not assessed</t>
        </is>
      </c>
      <c r="AU318" s="29" t="inlineStr">
        <is>
          <t>Not assessed</t>
        </is>
      </c>
      <c r="AV318" s="29" t="inlineStr">
        <is>
          <t>Not assessed</t>
        </is>
      </c>
      <c r="AW318" s="29" t="inlineStr">
        <is>
          <t>Not assessed</t>
        </is>
      </c>
      <c r="AX318" s="29" t="inlineStr">
        <is>
          <t>Not assessed</t>
        </is>
      </c>
      <c r="AY318" s="29" t="inlineStr">
        <is>
          <t>Not assessed</t>
        </is>
      </c>
      <c r="AZ318" s="29" t="inlineStr">
        <is>
          <t>Not assessed</t>
        </is>
      </c>
      <c r="BA318" s="29" t="inlineStr">
        <is>
          <t>Not assessed</t>
        </is>
      </c>
      <c r="BB318" s="29" t="inlineStr">
        <is>
          <t>Not assessed</t>
        </is>
      </c>
      <c r="BC318" s="29" t="inlineStr">
        <is>
          <t>Not assessed</t>
        </is>
      </c>
      <c r="BD318" s="29" t="inlineStr">
        <is>
          <t>Not assessed</t>
        </is>
      </c>
      <c r="BE318" s="29" t="inlineStr">
        <is>
          <t>Development required</t>
        </is>
      </c>
      <c r="BF318" s="29" t="inlineStr">
        <is>
          <t>Physical implementation is not complete against the stated requirement.; No Firestore query for drafts collection; no list rendering; no resume-from-draft navigation.</t>
        </is>
      </c>
      <c r="BG318" s="29" t="inlineStr">
        <is>
          <t>Source evidence of drafts list query and resume navigation</t>
        </is>
      </c>
      <c r="BH318" s="29" t="inlineStr"/>
      <c r="BI318" s="29" t="inlineStr"/>
      <c r="BJ318" s="29" t="inlineStr"/>
      <c r="BK318" s="29" t="inlineStr">
        <is>
          <t>Evidence reconciled against the reviewed source revision. No production approval is inferred from implementation or file presence.</t>
        </is>
      </c>
      <c r="BL318" s="29" t="inlineStr">
        <is>
          <t>2026-08-02</t>
        </is>
      </c>
    </row>
    <row r="319" ht="42" customHeight="1">
      <c r="A319" s="29" t="inlineStr">
        <is>
          <t>BLYP-16-003</t>
        </is>
      </c>
      <c r="B319" s="29" t="inlineStr"/>
      <c r="C319" s="29" t="inlineStr">
        <is>
          <t>Content creation and publishing pipeline</t>
        </is>
      </c>
      <c r="D319" s="29" t="n">
        <v>16</v>
      </c>
      <c r="E319" s="29" t="n">
        <v>3</v>
      </c>
      <c r="F319" s="29" t="inlineStr">
        <is>
          <t>Feature</t>
        </is>
      </c>
      <c r="G319" s="29" t="inlineStr">
        <is>
          <t>Upload progress</t>
        </is>
      </c>
      <c r="H319" s="29" t="inlineStr">
        <is>
          <t>Upload progress</t>
        </is>
      </c>
      <c r="I319" s="29" t="inlineStr">
        <is>
          <t>/home/ubuntu/blyp_product_requirements.md :: Section 16 — Content creation and publishing pipeline</t>
        </is>
      </c>
      <c r="J319" s="29" t="inlineStr">
        <is>
          <t>/home/ubuntu/BLYP_COMPLETE_FEATURE_LIST.md:408</t>
        </is>
      </c>
      <c r="K319" s="29" t="inlineStr">
        <is>
          <t>Required</t>
        </is>
      </c>
      <c r="L319" s="29" t="inlineStr">
        <is>
          <t>Authenticated creator or host</t>
        </is>
      </c>
      <c r="M319" s="29" t="inlineStr">
        <is>
          <t>BLYP mobile application and supporting production services</t>
        </is>
      </c>
      <c r="N319" s="29" t="inlineStr">
        <is>
          <t>Upload progress</t>
        </is>
      </c>
      <c r="O319" s="29" t="inlineStr">
        <is>
          <t>Not explicitly defined in the product source; requires accountable product approval before production sign-off.</t>
        </is>
      </c>
      <c r="P319" s="29" t="inlineStr">
        <is>
          <t>Firebase Storage; Firebase Storage rules</t>
        </is>
      </c>
      <c r="Q319" s="29" t="inlineStr">
        <is>
          <t>Yes</t>
        </is>
      </c>
      <c r="R319" s="29" t="inlineStr"/>
      <c r="S319" s="29" t="inlineStr">
        <is>
          <t>Partial</t>
        </is>
      </c>
      <c r="T319" s="29" t="inlineStr">
        <is>
          <t>ReviewScreen.js – post button triggers handlePost</t>
        </is>
      </c>
      <c r="U319" s="29" t="inlineStr">
        <is>
          <t>ReviewScreen.js – Modal overlay visible={isUploading}; disabled post button</t>
        </is>
      </c>
      <c r="V319" s="29" t="inlineStr">
        <is>
          <t>isUploading useState; setIsUploading(true/false)</t>
        </is>
      </c>
      <c r="W319" s="29" t="inlineStr">
        <is>
          <t>None</t>
        </is>
      </c>
      <c r="X319" s="29" t="inlineStr">
        <is>
          <t>Firebase Storage</t>
        </is>
      </c>
      <c r="Y319" s="29" t="inlineStr">
        <is>
          <t>None</t>
        </is>
      </c>
      <c r="Z319" s="29" t="inlineStr">
        <is>
          <t>Firebase Storage</t>
        </is>
      </c>
      <c r="AA319" s="29" t="inlineStr">
        <is>
          <t>Firebase Storage rules</t>
        </is>
      </c>
      <c r="AB319" s="29" t="inlineStr">
        <is>
          <t>Expo mobile binary</t>
        </is>
      </c>
      <c r="AC319" s="29" t="inlineStr"/>
      <c r="AD319" s="29" t="inlineStr">
        <is>
          <t>User taps Post; isUploading set true; modal overlay shown; upload completes or fails; isUploading set false; overlay dismissed. No byte-level progress percentage.</t>
        </is>
      </c>
      <c r="AE319" s="29" t="inlineStr">
        <is>
          <t>User reachable</t>
        </is>
      </c>
      <c r="AF319" s="29" t="inlineStr">
        <is>
          <t>ReviewScreen.js – post button triggers handlePost; User taps Post; isUploading set true; modal overlay shown; upload completes or fails; isUploading set false; overlay dismissed. No byte-level progress percentage.</t>
        </is>
      </c>
      <c r="AG319" s="29" t="inlineStr">
        <is>
          <t>Incomplete</t>
        </is>
      </c>
      <c r="AH319" s="29" t="inlineStr">
        <is>
          <t>No</t>
        </is>
      </c>
      <c r="AI319" s="29" t="inlineStr">
        <is>
          <t>No per-item or byte-level progress percentage; only a binary uploading/done indicator.</t>
        </is>
      </c>
      <c r="AJ319" s="29" t="inlineStr">
        <is>
          <t>Source traced</t>
        </is>
      </c>
      <c r="AK319" s="29" t="inlineStr">
        <is>
          <t>EV-16-0004</t>
        </is>
      </c>
      <c r="AL319" s="29" t="inlineStr"/>
      <c r="AM319" s="29" t="inlineStr"/>
      <c r="AN319" s="29" t="inlineStr"/>
      <c r="AO319" s="29" t="inlineStr">
        <is>
          <t>8bc0dcb2a1da1b21368c5536aaeef829d587f316</t>
        </is>
      </c>
      <c r="AP319" s="29" t="inlineStr">
        <is>
          <t>High</t>
        </is>
      </c>
      <c r="AQ319" s="29" t="inlineStr">
        <is>
          <t>Not assessed</t>
        </is>
      </c>
      <c r="AR319" s="29" t="inlineStr">
        <is>
          <t>Not assessed</t>
        </is>
      </c>
      <c r="AS319" s="29" t="inlineStr">
        <is>
          <t>Fail</t>
        </is>
      </c>
      <c r="AT319" s="29" t="inlineStr">
        <is>
          <t>Not assessed</t>
        </is>
      </c>
      <c r="AU319" s="29" t="inlineStr">
        <is>
          <t>Not assessed</t>
        </is>
      </c>
      <c r="AV319" s="29" t="inlineStr">
        <is>
          <t>Not assessed</t>
        </is>
      </c>
      <c r="AW319" s="29" t="inlineStr">
        <is>
          <t>Not assessed</t>
        </is>
      </c>
      <c r="AX319" s="29" t="inlineStr">
        <is>
          <t>Not assessed</t>
        </is>
      </c>
      <c r="AY319" s="29" t="inlineStr">
        <is>
          <t>Not assessed</t>
        </is>
      </c>
      <c r="AZ319" s="29" t="inlineStr">
        <is>
          <t>Not assessed</t>
        </is>
      </c>
      <c r="BA319" s="29" t="inlineStr">
        <is>
          <t>Not assessed</t>
        </is>
      </c>
      <c r="BB319" s="29" t="inlineStr">
        <is>
          <t>Not assessed</t>
        </is>
      </c>
      <c r="BC319" s="29" t="inlineStr">
        <is>
          <t>Not assessed</t>
        </is>
      </c>
      <c r="BD319" s="29" t="inlineStr">
        <is>
          <t>Not assessed</t>
        </is>
      </c>
      <c r="BE319" s="29" t="inlineStr">
        <is>
          <t>Development required</t>
        </is>
      </c>
      <c r="BF319" s="29" t="inlineStr">
        <is>
          <t>Physical implementation is not complete against the stated requirement.; No per-item or byte-level progress percentage; only a binary uploading/done indicator.</t>
        </is>
      </c>
      <c r="BG319" s="29" t="inlineStr">
        <is>
          <t>Confirm whether byte-level progress is required by acceptance criteria</t>
        </is>
      </c>
      <c r="BH319" s="29" t="inlineStr"/>
      <c r="BI319" s="29" t="inlineStr"/>
      <c r="BJ319" s="29" t="inlineStr"/>
      <c r="BK319" s="29" t="inlineStr">
        <is>
          <t>Evidence reconciled against the reviewed source revision. No production approval is inferred from implementation or file presence.</t>
        </is>
      </c>
      <c r="BL319" s="29" t="inlineStr">
        <is>
          <t>2026-08-02</t>
        </is>
      </c>
    </row>
    <row r="320" ht="42" customHeight="1">
      <c r="A320" s="29" t="inlineStr">
        <is>
          <t>BLYP-16-004</t>
        </is>
      </c>
      <c r="B320" s="29" t="inlineStr"/>
      <c r="C320" s="29" t="inlineStr">
        <is>
          <t>Content creation and publishing pipeline</t>
        </is>
      </c>
      <c r="D320" s="29" t="n">
        <v>16</v>
      </c>
      <c r="E320" s="29" t="n">
        <v>4</v>
      </c>
      <c r="F320" s="29" t="inlineStr">
        <is>
          <t>Feature</t>
        </is>
      </c>
      <c r="G320" s="29" t="inlineStr">
        <is>
          <t>Background upload retry</t>
        </is>
      </c>
      <c r="H320" s="29" t="inlineStr">
        <is>
          <t>Background upload retry</t>
        </is>
      </c>
      <c r="I320" s="29" t="inlineStr">
        <is>
          <t>/home/ubuntu/blyp_product_requirements.md :: Section 16 — Content creation and publishing pipeline</t>
        </is>
      </c>
      <c r="J320" s="29" t="inlineStr">
        <is>
          <t>/home/ubuntu/BLYP_COMPLETE_FEATURE_LIST.md:409</t>
        </is>
      </c>
      <c r="K320" s="29" t="inlineStr">
        <is>
          <t>Required</t>
        </is>
      </c>
      <c r="L320" s="29" t="inlineStr">
        <is>
          <t>Authenticated creator or host</t>
        </is>
      </c>
      <c r="M320" s="29" t="inlineStr">
        <is>
          <t>BLYP mobile application and supporting production services</t>
        </is>
      </c>
      <c r="N320" s="29" t="inlineStr">
        <is>
          <t>Background upload retry</t>
        </is>
      </c>
      <c r="O320" s="29" t="inlineStr">
        <is>
          <t>Not explicitly defined in the product source; requires accountable product approval before production sign-off.</t>
        </is>
      </c>
      <c r="P320" s="29" t="inlineStr">
        <is>
          <t>Firebase Storage; None</t>
        </is>
      </c>
      <c r="Q320" s="29" t="inlineStr">
        <is>
          <t>Partial</t>
        </is>
      </c>
      <c r="R320" s="29" t="inlineStr"/>
      <c r="S320" s="29" t="inlineStr">
        <is>
          <t>Partial</t>
        </is>
      </c>
      <c r="T320" s="29" t="inlineStr">
        <is>
          <t>ReviewScreen.js – handlePost upload loop</t>
        </is>
      </c>
      <c r="U320" s="29" t="inlineStr">
        <is>
          <t>Alert dialog 'Upload Failed' with Skip/Cancel options</t>
        </is>
      </c>
      <c r="V320" s="29" t="inlineStr">
        <is>
          <t>uploadError catch block; Promise.race with 60-second timeout</t>
        </is>
      </c>
      <c r="W320" s="29" t="inlineStr">
        <is>
          <t>None</t>
        </is>
      </c>
      <c r="X320" s="29" t="inlineStr">
        <is>
          <t>Firebase Storage</t>
        </is>
      </c>
      <c r="Y320" s="29" t="inlineStr">
        <is>
          <t>None – no background retry worker</t>
        </is>
      </c>
      <c r="Z320" s="29" t="inlineStr">
        <is>
          <t>Firebase Storage</t>
        </is>
      </c>
      <c r="AA320" s="29" t="inlineStr">
        <is>
          <t>None</t>
        </is>
      </c>
      <c r="AB320" s="29" t="inlineStr">
        <is>
          <t>Expo mobile binary</t>
        </is>
      </c>
      <c r="AC320" s="29" t="inlineStr"/>
      <c r="AD320" s="29" t="inlineStr">
        <is>
          <t>Upload fails; catch block shows Alert; user chooses Skip or Cancel; no automatic retry in background.</t>
        </is>
      </c>
      <c r="AE320" s="29" t="inlineStr">
        <is>
          <t>User reachable</t>
        </is>
      </c>
      <c r="AF320" s="29" t="inlineStr">
        <is>
          <t>ReviewScreen.js – handlePost upload loop; Upload fails; catch block shows Alert; user chooses Skip or Cancel; no automatic retry in background.</t>
        </is>
      </c>
      <c r="AG320" s="29" t="inlineStr">
        <is>
          <t>Incomplete</t>
        </is>
      </c>
      <c r="AH320" s="29" t="inlineStr">
        <is>
          <t>No</t>
        </is>
      </c>
      <c r="AI320" s="29" t="inlineStr">
        <is>
          <t>No automatic background retry; no exponential backoff; no persistent queue for retry after app restart.</t>
        </is>
      </c>
      <c r="AJ320" s="29" t="inlineStr">
        <is>
          <t>Source traced</t>
        </is>
      </c>
      <c r="AK320" s="29" t="inlineStr">
        <is>
          <t>EV-16-0005; EV-16-0006</t>
        </is>
      </c>
      <c r="AL320" s="29" t="inlineStr"/>
      <c r="AM320" s="29" t="inlineStr"/>
      <c r="AN320" s="29" t="inlineStr"/>
      <c r="AO320" s="29" t="inlineStr">
        <is>
          <t>8bc0dcb2a1da1b21368c5536aaeef829d587f316</t>
        </is>
      </c>
      <c r="AP320" s="29" t="inlineStr">
        <is>
          <t>High</t>
        </is>
      </c>
      <c r="AQ320" s="29" t="inlineStr">
        <is>
          <t>Not assessed</t>
        </is>
      </c>
      <c r="AR320" s="29" t="inlineStr">
        <is>
          <t>Not assessed</t>
        </is>
      </c>
      <c r="AS320" s="29" t="inlineStr">
        <is>
          <t>Fail</t>
        </is>
      </c>
      <c r="AT320" s="29" t="inlineStr">
        <is>
          <t>Not assessed</t>
        </is>
      </c>
      <c r="AU320" s="29" t="inlineStr">
        <is>
          <t>Not assessed</t>
        </is>
      </c>
      <c r="AV320" s="29" t="inlineStr">
        <is>
          <t>Not assessed</t>
        </is>
      </c>
      <c r="AW320" s="29" t="inlineStr">
        <is>
          <t>Not assessed</t>
        </is>
      </c>
      <c r="AX320" s="29" t="inlineStr">
        <is>
          <t>Not assessed</t>
        </is>
      </c>
      <c r="AY320" s="29" t="inlineStr">
        <is>
          <t>Not assessed</t>
        </is>
      </c>
      <c r="AZ320" s="29" t="inlineStr">
        <is>
          <t>Not assessed</t>
        </is>
      </c>
      <c r="BA320" s="29" t="inlineStr">
        <is>
          <t>Not assessed</t>
        </is>
      </c>
      <c r="BB320" s="29" t="inlineStr">
        <is>
          <t>Not assessed</t>
        </is>
      </c>
      <c r="BC320" s="29" t="inlineStr">
        <is>
          <t>Not assessed</t>
        </is>
      </c>
      <c r="BD320" s="29" t="inlineStr">
        <is>
          <t>Not assessed</t>
        </is>
      </c>
      <c r="BE320" s="29" t="inlineStr">
        <is>
          <t>Development required</t>
        </is>
      </c>
      <c r="BF320" s="29" t="inlineStr">
        <is>
          <t>Physical implementation is not complete against the stated requirement.; No automatic background retry; no exponential backoff; no persistent queue for retry after app restart.</t>
        </is>
      </c>
      <c r="BG320" s="29" t="inlineStr">
        <is>
          <t>Confirm whether background retry is required by acceptance criteria</t>
        </is>
      </c>
      <c r="BH320" s="29" t="inlineStr"/>
      <c r="BI320" s="29" t="inlineStr"/>
      <c r="BJ320" s="29" t="inlineStr"/>
      <c r="BK320" s="29" t="inlineStr">
        <is>
          <t>Evidence reconciled against the reviewed source revision. No production approval is inferred from implementation or file presence.</t>
        </is>
      </c>
      <c r="BL320" s="29" t="inlineStr">
        <is>
          <t>2026-08-02</t>
        </is>
      </c>
    </row>
    <row r="321" ht="42" customHeight="1">
      <c r="A321" s="29" t="inlineStr">
        <is>
          <t>BLYP-16-005</t>
        </is>
      </c>
      <c r="B321" s="29" t="inlineStr"/>
      <c r="C321" s="29" t="inlineStr">
        <is>
          <t>Content creation and publishing pipeline</t>
        </is>
      </c>
      <c r="D321" s="29" t="n">
        <v>16</v>
      </c>
      <c r="E321" s="29" t="n">
        <v>5</v>
      </c>
      <c r="F321" s="29" t="inlineStr">
        <is>
          <t>Feature</t>
        </is>
      </c>
      <c r="G321" s="29" t="inlineStr">
        <is>
          <t>Photo preview</t>
        </is>
      </c>
      <c r="H321" s="29" t="inlineStr">
        <is>
          <t>Photo preview</t>
        </is>
      </c>
      <c r="I321" s="29" t="inlineStr">
        <is>
          <t>/home/ubuntu/blyp_product_requirements.md :: Section 16 — Content creation and publishing pipeline</t>
        </is>
      </c>
      <c r="J321" s="29" t="inlineStr">
        <is>
          <t>/home/ubuntu/BLYP_COMPLETE_FEATURE_LIST.md:410</t>
        </is>
      </c>
      <c r="K321" s="29" t="inlineStr">
        <is>
          <t>Required</t>
        </is>
      </c>
      <c r="L321" s="29" t="inlineStr">
        <is>
          <t>Authenticated creator or host</t>
        </is>
      </c>
      <c r="M321" s="29" t="inlineStr">
        <is>
          <t>BLYP mobile application and supporting production services</t>
        </is>
      </c>
      <c r="N321" s="29" t="inlineStr">
        <is>
          <t>Photo preview</t>
        </is>
      </c>
      <c r="O321" s="29" t="inlineStr">
        <is>
          <t>Not explicitly defined in the product source; requires accountable product approval before production sign-off.</t>
        </is>
      </c>
      <c r="P321" s="29" t="inlineStr">
        <is>
          <t>None; Local device URI; Camera permission; media library permission</t>
        </is>
      </c>
      <c r="Q321" s="29" t="inlineStr">
        <is>
          <t>Yes</t>
        </is>
      </c>
      <c r="R321" s="29" t="inlineStr"/>
      <c r="S321" s="29" t="inlineStr">
        <is>
          <t>End-to-end present</t>
        </is>
      </c>
      <c r="T321" s="29" t="inlineStr">
        <is>
          <t>CameraScreen.js → Review navigation; ReviewScreen.js media preview section</t>
        </is>
      </c>
      <c r="U321" s="29" t="inlineStr">
        <is>
          <t>CameraScreen.js capturedPhotos strip (line 646); ReviewScreen.js mediaItemPreview Image components</t>
        </is>
      </c>
      <c r="V321" s="29" t="inlineStr">
        <is>
          <t>capturedPhotos state; mediaItems state</t>
        </is>
      </c>
      <c r="W321" s="29" t="inlineStr">
        <is>
          <t>None</t>
        </is>
      </c>
      <c r="X321" s="29" t="inlineStr">
        <is>
          <t>Local device URI</t>
        </is>
      </c>
      <c r="Y321" s="29" t="inlineStr">
        <is>
          <t>None</t>
        </is>
      </c>
      <c r="Z321" s="29" t="inlineStr">
        <is>
          <t>None</t>
        </is>
      </c>
      <c r="AA321" s="29" t="inlineStr">
        <is>
          <t>Camera permission; media library permission</t>
        </is>
      </c>
      <c r="AB321" s="29" t="inlineStr">
        <is>
          <t>Expo mobile binary</t>
        </is>
      </c>
      <c r="AC321" s="29" t="inlineStr"/>
      <c r="AD321" s="29" t="inlineStr">
        <is>
          <t>User takes photo; photo added to capturedPhotos; thumbnail strip shown in CameraScreen; user taps Done; navigates to ReviewScreen; photos rendered in media preview section.</t>
        </is>
      </c>
      <c r="AE321" s="29" t="inlineStr">
        <is>
          <t>User reachable</t>
        </is>
      </c>
      <c r="AF321" s="29" t="inlineStr">
        <is>
          <t>CameraScreen.js → Review navigation; ReviewScreen.js media preview section; User takes photo; photo added to capturedPhotos; thumbnail strip shown in CameraScreen; user taps Done; navigates to ReviewScreen; photos rendered in media preview section.</t>
        </is>
      </c>
      <c r="AG321" s="29" t="inlineStr">
        <is>
          <t>Complete against stated requirement</t>
        </is>
      </c>
      <c r="AH321" s="29" t="inlineStr">
        <is>
          <t>Yes</t>
        </is>
      </c>
      <c r="AI321" s="29" t="inlineStr">
        <is>
          <t>None identified in source</t>
        </is>
      </c>
      <c r="AJ321" s="29" t="inlineStr">
        <is>
          <t>Source traced</t>
        </is>
      </c>
      <c r="AK321" s="29" t="inlineStr">
        <is>
          <t>EV-16-0007; EV-16-0008</t>
        </is>
      </c>
      <c r="AL321" s="29" t="inlineStr"/>
      <c r="AM321" s="29" t="inlineStr"/>
      <c r="AN321" s="29" t="inlineStr"/>
      <c r="AO321" s="29" t="inlineStr">
        <is>
          <t>8bc0dcb2a1da1b21368c5536aaeef829d587f316</t>
        </is>
      </c>
      <c r="AP321" s="29" t="inlineStr">
        <is>
          <t>High</t>
        </is>
      </c>
      <c r="AQ321" s="29" t="inlineStr">
        <is>
          <t>Not assessed</t>
        </is>
      </c>
      <c r="AR321" s="29" t="inlineStr">
        <is>
          <t>Not assessed</t>
        </is>
      </c>
      <c r="AS321" s="29" t="inlineStr">
        <is>
          <t>Not assessed</t>
        </is>
      </c>
      <c r="AT321" s="29" t="inlineStr">
        <is>
          <t>Not assessed</t>
        </is>
      </c>
      <c r="AU321" s="29" t="inlineStr">
        <is>
          <t>Not assessed</t>
        </is>
      </c>
      <c r="AV321" s="29" t="inlineStr">
        <is>
          <t>Not assessed</t>
        </is>
      </c>
      <c r="AW321" s="29" t="inlineStr">
        <is>
          <t>Not assessed</t>
        </is>
      </c>
      <c r="AX321" s="29" t="inlineStr">
        <is>
          <t>Not assessed</t>
        </is>
      </c>
      <c r="AY321" s="29" t="inlineStr">
        <is>
          <t>Not assessed</t>
        </is>
      </c>
      <c r="AZ321" s="29" t="inlineStr">
        <is>
          <t>Not assessed</t>
        </is>
      </c>
      <c r="BA321" s="29" t="inlineStr">
        <is>
          <t>Not assessed</t>
        </is>
      </c>
      <c r="BB321" s="29" t="inlineStr">
        <is>
          <t>Not assessed</t>
        </is>
      </c>
      <c r="BC321" s="29" t="inlineStr">
        <is>
          <t>Not assessed</t>
        </is>
      </c>
      <c r="BD321" s="29" t="inlineStr">
        <is>
          <t>Not assessed</t>
        </is>
      </c>
      <c r="BE321" s="29" t="inlineStr">
        <is>
          <t>Ready for production validation</t>
        </is>
      </c>
      <c r="BF321" s="29" t="inlineStr">
        <is>
          <t>Applicable production gates and acceptance checks have not been completed on an approved release candidate.</t>
        </is>
      </c>
      <c r="BG321" s="29" t="inlineStr"/>
      <c r="BH321" s="29" t="inlineStr"/>
      <c r="BI321" s="29" t="inlineStr"/>
      <c r="BJ321" s="29" t="inlineStr"/>
      <c r="BK321" s="29" t="inlineStr">
        <is>
          <t>Evidence reconciled against the reviewed source revision. No production approval is inferred from implementation or file presence.</t>
        </is>
      </c>
      <c r="BL321" s="29" t="inlineStr">
        <is>
          <t>2026-08-02</t>
        </is>
      </c>
    </row>
    <row r="322" ht="42" customHeight="1">
      <c r="A322" s="29" t="inlineStr">
        <is>
          <t>BLYP-16-006</t>
        </is>
      </c>
      <c r="B322" s="29" t="inlineStr"/>
      <c r="C322" s="29" t="inlineStr">
        <is>
          <t>Content creation and publishing pipeline</t>
        </is>
      </c>
      <c r="D322" s="29" t="n">
        <v>16</v>
      </c>
      <c r="E322" s="29" t="n">
        <v>6</v>
      </c>
      <c r="F322" s="29" t="inlineStr">
        <is>
          <t>Feature</t>
        </is>
      </c>
      <c r="G322" s="29" t="inlineStr">
        <is>
          <t>Video preview</t>
        </is>
      </c>
      <c r="H322" s="29" t="inlineStr">
        <is>
          <t>Video preview</t>
        </is>
      </c>
      <c r="I322" s="29" t="inlineStr">
        <is>
          <t>/home/ubuntu/blyp_product_requirements.md :: Section 16 — Content creation and publishing pipeline</t>
        </is>
      </c>
      <c r="J322" s="29" t="inlineStr">
        <is>
          <t>/home/ubuntu/BLYP_COMPLETE_FEATURE_LIST.md:411</t>
        </is>
      </c>
      <c r="K322" s="29" t="inlineStr">
        <is>
          <t>Required</t>
        </is>
      </c>
      <c r="L322" s="29" t="inlineStr">
        <is>
          <t>Authenticated creator or host</t>
        </is>
      </c>
      <c r="M322" s="29" t="inlineStr">
        <is>
          <t>BLYP mobile application and supporting production services</t>
        </is>
      </c>
      <c r="N322" s="29" t="inlineStr">
        <is>
          <t>Video preview</t>
        </is>
      </c>
      <c r="O322" s="29" t="inlineStr">
        <is>
          <t>Not explicitly defined in the product source; requires accountable product approval before production sign-off.</t>
        </is>
      </c>
      <c r="P322" s="29" t="inlineStr">
        <is>
          <t>None; Local device URI; Camera permission; microphone permission</t>
        </is>
      </c>
      <c r="Q322" s="29" t="inlineStr">
        <is>
          <t>Yes</t>
        </is>
      </c>
      <c r="R322" s="29" t="inlineStr"/>
      <c r="S322" s="29" t="inlineStr">
        <is>
          <t>End-to-end present</t>
        </is>
      </c>
      <c r="T322" s="29" t="inlineStr">
        <is>
          <t>ReviewScreen.js handleTakeVideo / system camera via ImagePicker</t>
        </is>
      </c>
      <c r="U322" s="29" t="inlineStr">
        <is>
          <t>ReviewScreen.js – UnifiedVideo component in media preview</t>
        </is>
      </c>
      <c r="V322" s="29" t="inlineStr">
        <is>
          <t>mediaItems state; UnifiedVideo component</t>
        </is>
      </c>
      <c r="W322" s="29" t="inlineStr">
        <is>
          <t>None</t>
        </is>
      </c>
      <c r="X322" s="29" t="inlineStr">
        <is>
          <t>Local device URI</t>
        </is>
      </c>
      <c r="Y322" s="29" t="inlineStr">
        <is>
          <t>None</t>
        </is>
      </c>
      <c r="Z322" s="29" t="inlineStr">
        <is>
          <t>None</t>
        </is>
      </c>
      <c r="AA322" s="29" t="inlineStr">
        <is>
          <t>Camera permission; microphone permission</t>
        </is>
      </c>
      <c r="AB322" s="29" t="inlineStr">
        <is>
          <t>Expo mobile binary</t>
        </is>
      </c>
      <c r="AC322" s="29" t="inlineStr"/>
      <c r="AD322" s="29" t="inlineStr">
        <is>
          <t>User records video via system camera; video added to mediaItems; UnifiedVideo component renders preview in ReviewScreen.</t>
        </is>
      </c>
      <c r="AE322" s="29" t="inlineStr">
        <is>
          <t>User reachable</t>
        </is>
      </c>
      <c r="AF322" s="29" t="inlineStr">
        <is>
          <t>ReviewScreen.js handleTakeVideo / system camera via ImagePicker; User records video via system camera; video added to mediaItems; UnifiedVideo component renders preview in ReviewScreen.</t>
        </is>
      </c>
      <c r="AG322" s="29" t="inlineStr">
        <is>
          <t>Complete against stated requirement</t>
        </is>
      </c>
      <c r="AH322" s="29" t="inlineStr">
        <is>
          <t>Yes</t>
        </is>
      </c>
      <c r="AI322" s="29" t="inlineStr">
        <is>
          <t>None identified in source</t>
        </is>
      </c>
      <c r="AJ322" s="29" t="inlineStr">
        <is>
          <t>Source traced</t>
        </is>
      </c>
      <c r="AK322" s="29" t="inlineStr">
        <is>
          <t>EV-16-0009</t>
        </is>
      </c>
      <c r="AL322" s="29" t="inlineStr"/>
      <c r="AM322" s="29" t="inlineStr"/>
      <c r="AN322" s="29" t="inlineStr"/>
      <c r="AO322" s="29" t="inlineStr">
        <is>
          <t>8bc0dcb2a1da1b21368c5536aaeef829d587f316</t>
        </is>
      </c>
      <c r="AP322" s="29" t="inlineStr">
        <is>
          <t>Medium</t>
        </is>
      </c>
      <c r="AQ322" s="29" t="inlineStr">
        <is>
          <t>Not assessed</t>
        </is>
      </c>
      <c r="AR322" s="29" t="inlineStr">
        <is>
          <t>Not assessed</t>
        </is>
      </c>
      <c r="AS322" s="29" t="inlineStr">
        <is>
          <t>Not assessed</t>
        </is>
      </c>
      <c r="AT322" s="29" t="inlineStr">
        <is>
          <t>Not assessed</t>
        </is>
      </c>
      <c r="AU322" s="29" t="inlineStr">
        <is>
          <t>Not assessed</t>
        </is>
      </c>
      <c r="AV322" s="29" t="inlineStr">
        <is>
          <t>Not assessed</t>
        </is>
      </c>
      <c r="AW322" s="29" t="inlineStr">
        <is>
          <t>Not assessed</t>
        </is>
      </c>
      <c r="AX322" s="29" t="inlineStr">
        <is>
          <t>Not assessed</t>
        </is>
      </c>
      <c r="AY322" s="29" t="inlineStr">
        <is>
          <t>Not assessed</t>
        </is>
      </c>
      <c r="AZ322" s="29" t="inlineStr">
        <is>
          <t>Not assessed</t>
        </is>
      </c>
      <c r="BA322" s="29" t="inlineStr">
        <is>
          <t>Not assessed</t>
        </is>
      </c>
      <c r="BB322" s="29" t="inlineStr">
        <is>
          <t>Not assessed</t>
        </is>
      </c>
      <c r="BC322" s="29" t="inlineStr">
        <is>
          <t>Not assessed</t>
        </is>
      </c>
      <c r="BD322" s="29" t="inlineStr">
        <is>
          <t>Not assessed</t>
        </is>
      </c>
      <c r="BE322" s="29" t="inlineStr">
        <is>
          <t>Ready for production validation</t>
        </is>
      </c>
      <c r="BF322" s="29" t="inlineStr">
        <is>
          <t>Applicable production gates and acceptance checks have not been completed on an approved release candidate.</t>
        </is>
      </c>
      <c r="BG322" s="29" t="inlineStr">
        <is>
          <t>Confirm UnifiedVideo renders video playback (not just thumbnail)</t>
        </is>
      </c>
      <c r="BH322" s="29" t="inlineStr"/>
      <c r="BI322" s="29" t="inlineStr"/>
      <c r="BJ322" s="29" t="inlineStr"/>
      <c r="BK322" s="29" t="inlineStr">
        <is>
          <t>Evidence reconciled against the reviewed source revision. No production approval is inferred from implementation or file presence.</t>
        </is>
      </c>
      <c r="BL322" s="29" t="inlineStr">
        <is>
          <t>2026-08-02</t>
        </is>
      </c>
    </row>
    <row r="323" ht="42" customHeight="1">
      <c r="A323" s="29" t="inlineStr">
        <is>
          <t>BLYP-16-007</t>
        </is>
      </c>
      <c r="B323" s="29" t="inlineStr"/>
      <c r="C323" s="29" t="inlineStr">
        <is>
          <t>Content creation and publishing pipeline</t>
        </is>
      </c>
      <c r="D323" s="29" t="n">
        <v>16</v>
      </c>
      <c r="E323" s="29" t="n">
        <v>7</v>
      </c>
      <c r="F323" s="29" t="inlineStr">
        <is>
          <t>Feature</t>
        </is>
      </c>
      <c r="G323" s="29" t="inlineStr">
        <is>
          <t>Media trimming</t>
        </is>
      </c>
      <c r="H323" s="29" t="inlineStr">
        <is>
          <t>Media trimming</t>
        </is>
      </c>
      <c r="I323" s="29" t="inlineStr">
        <is>
          <t>/home/ubuntu/blyp_product_requirements.md :: Section 16 — Content creation and publishing pipeline</t>
        </is>
      </c>
      <c r="J323" s="29" t="inlineStr">
        <is>
          <t>/home/ubuntu/BLYP_COMPLETE_FEATURE_LIST.md:412</t>
        </is>
      </c>
      <c r="K323" s="29" t="inlineStr">
        <is>
          <t>Required</t>
        </is>
      </c>
      <c r="L323" s="29" t="inlineStr">
        <is>
          <t>Authenticated creator or host</t>
        </is>
      </c>
      <c r="M323" s="29" t="inlineStr">
        <is>
          <t>BLYP mobile application and supporting production services</t>
        </is>
      </c>
      <c r="N323" s="29" t="inlineStr">
        <is>
          <t>Media trimming</t>
        </is>
      </c>
      <c r="O323" s="29" t="inlineStr">
        <is>
          <t>Not explicitly defined in the product source; requires accountable product approval before production sign-off.</t>
        </is>
      </c>
      <c r="P323" s="29" t="inlineStr">
        <is>
          <t>None</t>
        </is>
      </c>
      <c r="Q323" s="29" t="inlineStr">
        <is>
          <t>No evidence</t>
        </is>
      </c>
      <c r="R323" s="29" t="inlineStr"/>
      <c r="S323" s="29" t="inlineStr">
        <is>
          <t>Not found</t>
        </is>
      </c>
      <c r="T323" s="29" t="inlineStr">
        <is>
          <t>None</t>
        </is>
      </c>
      <c r="U323" s="29" t="inlineStr">
        <is>
          <t>None</t>
        </is>
      </c>
      <c r="V323" s="29" t="inlineStr">
        <is>
          <t>None</t>
        </is>
      </c>
      <c r="W323" s="29" t="inlineStr">
        <is>
          <t>None</t>
        </is>
      </c>
      <c r="X323" s="29" t="inlineStr">
        <is>
          <t>None</t>
        </is>
      </c>
      <c r="Y323" s="29" t="inlineStr">
        <is>
          <t>None</t>
        </is>
      </c>
      <c r="Z323" s="29" t="inlineStr">
        <is>
          <t>None</t>
        </is>
      </c>
      <c r="AA323" s="29" t="inlineStr">
        <is>
          <t>None</t>
        </is>
      </c>
      <c r="AB323" s="29" t="inlineStr">
        <is>
          <t>None</t>
        </is>
      </c>
      <c r="AC323" s="29" t="inlineStr"/>
      <c r="AD323" s="29" t="inlineStr">
        <is>
          <t>No trimming implementation found.</t>
        </is>
      </c>
      <c r="AE323" s="29" t="inlineStr">
        <is>
          <t>Not wired</t>
        </is>
      </c>
      <c r="AF323" s="29" t="inlineStr">
        <is>
          <t>None; No trimming implementation found.</t>
        </is>
      </c>
      <c r="AG323" s="29" t="inlineStr">
        <is>
          <t>Not started</t>
        </is>
      </c>
      <c r="AH323" s="29" t="inlineStr">
        <is>
          <t>No</t>
        </is>
      </c>
      <c r="AI323" s="29" t="inlineStr">
        <is>
          <t>Searched CameraScreen.js, ReviewScreen.js, all components and services for trim, clip, startTime, endTime, videoMaxDuration trim logic. allowsEditing is explicitly set to false in useSystemVideoRecording.</t>
        </is>
      </c>
      <c r="AJ323" s="29" t="inlineStr">
        <is>
          <t>Source traced</t>
        </is>
      </c>
      <c r="AK323" s="29" t="inlineStr">
        <is>
          <t>EV-16-0010</t>
        </is>
      </c>
      <c r="AL323" s="29" t="inlineStr"/>
      <c r="AM323" s="29" t="inlineStr"/>
      <c r="AN323" s="29" t="inlineStr"/>
      <c r="AO323" s="29" t="inlineStr">
        <is>
          <t>8bc0dcb2a1da1b21368c5536aaeef829d587f316</t>
        </is>
      </c>
      <c r="AP323" s="29" t="inlineStr">
        <is>
          <t>High</t>
        </is>
      </c>
      <c r="AQ323" s="29" t="inlineStr">
        <is>
          <t>Not assessed</t>
        </is>
      </c>
      <c r="AR323" s="29" t="inlineStr">
        <is>
          <t>Not assessed</t>
        </is>
      </c>
      <c r="AS323" s="29" t="inlineStr">
        <is>
          <t>Fail</t>
        </is>
      </c>
      <c r="AT323" s="29" t="inlineStr">
        <is>
          <t>Not assessed</t>
        </is>
      </c>
      <c r="AU323" s="29" t="inlineStr">
        <is>
          <t>Not assessed</t>
        </is>
      </c>
      <c r="AV323" s="29" t="inlineStr">
        <is>
          <t>Not assessed</t>
        </is>
      </c>
      <c r="AW323" s="29" t="inlineStr">
        <is>
          <t>Not assessed</t>
        </is>
      </c>
      <c r="AX323" s="29" t="inlineStr">
        <is>
          <t>Not assessed</t>
        </is>
      </c>
      <c r="AY323" s="29" t="inlineStr">
        <is>
          <t>Not assessed</t>
        </is>
      </c>
      <c r="AZ323" s="29" t="inlineStr">
        <is>
          <t>Not assessed</t>
        </is>
      </c>
      <c r="BA323" s="29" t="inlineStr">
        <is>
          <t>Not assessed</t>
        </is>
      </c>
      <c r="BB323" s="29" t="inlineStr">
        <is>
          <t>Not assessed</t>
        </is>
      </c>
      <c r="BC323" s="29" t="inlineStr">
        <is>
          <t>Not assessed</t>
        </is>
      </c>
      <c r="BD323" s="29" t="inlineStr">
        <is>
          <t>Not assessed</t>
        </is>
      </c>
      <c r="BE323" s="29" t="inlineStr">
        <is>
          <t>Development required</t>
        </is>
      </c>
      <c r="BF323" s="29" t="inlineStr">
        <is>
          <t>Physical implementation is not complete against the stated requirement.; Searched CameraScreen.js, ReviewScreen.js, all components and services for trim, clip, startTime, endTime, videoMaxDuration trim logic. allowsEditing is explicitly set to false in useSystemVideoRecording.</t>
        </is>
      </c>
      <c r="BG323" s="29" t="inlineStr">
        <is>
          <t>Source evidence of trim UI or ffmpeg/expo-video-manipulator integration</t>
        </is>
      </c>
      <c r="BH323" s="29" t="inlineStr"/>
      <c r="BI323" s="29" t="inlineStr"/>
      <c r="BJ323" s="29" t="inlineStr"/>
      <c r="BK323" s="29" t="inlineStr">
        <is>
          <t>Evidence reconciled against the reviewed source revision. No production approval is inferred from implementation or file presence.</t>
        </is>
      </c>
      <c r="BL323" s="29" t="inlineStr">
        <is>
          <t>2026-08-02</t>
        </is>
      </c>
    </row>
    <row r="324" ht="42" customHeight="1">
      <c r="A324" s="29" t="inlineStr">
        <is>
          <t>BLYP-16-008</t>
        </is>
      </c>
      <c r="B324" s="29" t="inlineStr"/>
      <c r="C324" s="29" t="inlineStr">
        <is>
          <t>Content creation and publishing pipeline</t>
        </is>
      </c>
      <c r="D324" s="29" t="n">
        <v>16</v>
      </c>
      <c r="E324" s="29" t="n">
        <v>8</v>
      </c>
      <c r="F324" s="29" t="inlineStr">
        <is>
          <t>Feature</t>
        </is>
      </c>
      <c r="G324" s="29" t="inlineStr">
        <is>
          <t>Video thumbnail generation and selection</t>
        </is>
      </c>
      <c r="H324" s="29" t="inlineStr">
        <is>
          <t>Video thumbnail generation and selection</t>
        </is>
      </c>
      <c r="I324" s="29" t="inlineStr">
        <is>
          <t>/home/ubuntu/blyp_product_requirements.md :: Section 16 — Content creation and publishing pipeline</t>
        </is>
      </c>
      <c r="J324" s="29" t="inlineStr">
        <is>
          <t>/home/ubuntu/BLYP_COMPLETE_FEATURE_LIST.md:413</t>
        </is>
      </c>
      <c r="K324" s="29" t="inlineStr">
        <is>
          <t>Required</t>
        </is>
      </c>
      <c r="L324" s="29" t="inlineStr">
        <is>
          <t>Authenticated creator or host</t>
        </is>
      </c>
      <c r="M324" s="29" t="inlineStr">
        <is>
          <t>BLYP mobile application and supporting production services</t>
        </is>
      </c>
      <c r="N324" s="29" t="inlineStr">
        <is>
          <t>Video thumbnail generation and selection</t>
        </is>
      </c>
      <c r="O324" s="29" t="inlineStr">
        <is>
          <t>Not explicitly defined in the product source; requires accountable product approval before production sign-off.</t>
        </is>
      </c>
      <c r="P324" s="29" t="inlineStr">
        <is>
          <t>Firebase Storage; Firebase Storage users/{uid}/thumbnails/; Firestore post.thumbnail; Firebase Storage rules</t>
        </is>
      </c>
      <c r="Q324" s="29" t="inlineStr">
        <is>
          <t>Partial</t>
        </is>
      </c>
      <c r="R324" s="29" t="inlineStr">
        <is>
          <t>generation exists; full selection needs verification.</t>
        </is>
      </c>
      <c r="S324" s="29" t="inlineStr">
        <is>
          <t>Partial</t>
        </is>
      </c>
      <c r="T324" s="29" t="inlineStr">
        <is>
          <t>ReviewScreen.js – uploadMedia called from handlePost</t>
        </is>
      </c>
      <c r="U324" s="29" t="inlineStr">
        <is>
          <t>None for selection; thumbnail generated automatically</t>
        </is>
      </c>
      <c r="V324" s="29" t="inlineStr">
        <is>
          <t>VideoThumbnails.getThumbnailAsync; uploadBytes to Firebase Storage</t>
        </is>
      </c>
      <c r="W324" s="29" t="inlineStr">
        <is>
          <t>None</t>
        </is>
      </c>
      <c r="X324" s="29" t="inlineStr">
        <is>
          <t>Firebase Storage users/{uid}/thumbnails/; Firestore post.thumbnail</t>
        </is>
      </c>
      <c r="Y324" s="29" t="inlineStr">
        <is>
          <t>None</t>
        </is>
      </c>
      <c r="Z324" s="29" t="inlineStr">
        <is>
          <t>Firebase Storage</t>
        </is>
      </c>
      <c r="AA324" s="29" t="inlineStr">
        <is>
          <t>Firebase Storage rules</t>
        </is>
      </c>
      <c r="AB324" s="29" t="inlineStr">
        <is>
          <t>Expo mobile binary</t>
        </is>
      </c>
      <c r="AC324" s="29" t="inlineStr"/>
      <c r="AD324" s="29" t="inlineStr">
        <is>
          <t>During upload, getThumbnailAsync extracts frame at 1 second; thumbnail uploaded to Storage; URL stored in post document. User cannot select a custom thumbnail frame.</t>
        </is>
      </c>
      <c r="AE324" s="29" t="inlineStr">
        <is>
          <t>User reachable</t>
        </is>
      </c>
      <c r="AF324" s="29" t="inlineStr">
        <is>
          <t>ReviewScreen.js – uploadMedia called from handlePost; During upload, getThumbnailAsync extracts frame at 1 second; thumbnail uploaded to Storage; URL stored in post document. User cannot select a custom thumbnail frame.</t>
        </is>
      </c>
      <c r="AG324" s="29" t="inlineStr">
        <is>
          <t>Incomplete</t>
        </is>
      </c>
      <c r="AH324" s="29" t="inlineStr">
        <is>
          <t>No</t>
        </is>
      </c>
      <c r="AI324" s="29" t="inlineStr">
        <is>
          <t>No user thumbnail selection UI; thumbnail always taken at 1-second mark.</t>
        </is>
      </c>
      <c r="AJ324" s="29" t="inlineStr">
        <is>
          <t>Source traced</t>
        </is>
      </c>
      <c r="AK324" s="29" t="inlineStr">
        <is>
          <t>EV-16-0011</t>
        </is>
      </c>
      <c r="AL324" s="29" t="inlineStr"/>
      <c r="AM324" s="29" t="inlineStr"/>
      <c r="AN324" s="29" t="inlineStr"/>
      <c r="AO324" s="29" t="inlineStr">
        <is>
          <t>8bc0dcb2a1da1b21368c5536aaeef829d587f316</t>
        </is>
      </c>
      <c r="AP324" s="29" t="inlineStr">
        <is>
          <t>High</t>
        </is>
      </c>
      <c r="AQ324" s="29" t="inlineStr">
        <is>
          <t>Not assessed</t>
        </is>
      </c>
      <c r="AR324" s="29" t="inlineStr">
        <is>
          <t>Not assessed</t>
        </is>
      </c>
      <c r="AS324" s="29" t="inlineStr">
        <is>
          <t>Fail</t>
        </is>
      </c>
      <c r="AT324" s="29" t="inlineStr">
        <is>
          <t>Not assessed</t>
        </is>
      </c>
      <c r="AU324" s="29" t="inlineStr">
        <is>
          <t>Not assessed</t>
        </is>
      </c>
      <c r="AV324" s="29" t="inlineStr">
        <is>
          <t>Not assessed</t>
        </is>
      </c>
      <c r="AW324" s="29" t="inlineStr">
        <is>
          <t>Not assessed</t>
        </is>
      </c>
      <c r="AX324" s="29" t="inlineStr">
        <is>
          <t>Not assessed</t>
        </is>
      </c>
      <c r="AY324" s="29" t="inlineStr">
        <is>
          <t>Not assessed</t>
        </is>
      </c>
      <c r="AZ324" s="29" t="inlineStr">
        <is>
          <t>Not assessed</t>
        </is>
      </c>
      <c r="BA324" s="29" t="inlineStr">
        <is>
          <t>Not assessed</t>
        </is>
      </c>
      <c r="BB324" s="29" t="inlineStr">
        <is>
          <t>Not assessed</t>
        </is>
      </c>
      <c r="BC324" s="29" t="inlineStr">
        <is>
          <t>Not assessed</t>
        </is>
      </c>
      <c r="BD324" s="29" t="inlineStr">
        <is>
          <t>Not assessed</t>
        </is>
      </c>
      <c r="BE324" s="29" t="inlineStr">
        <is>
          <t>Development required</t>
        </is>
      </c>
      <c r="BF324" s="29" t="inlineStr">
        <is>
          <t>Physical implementation is not complete against the stated requirement.; No user thumbnail selection UI; thumbnail always taken at 1-second mark.</t>
        </is>
      </c>
      <c r="BG324" s="29" t="inlineStr">
        <is>
          <t>Confirm whether user thumbnail selection is required</t>
        </is>
      </c>
      <c r="BH324" s="29" t="inlineStr"/>
      <c r="BI324" s="29" t="inlineStr"/>
      <c r="BJ324" s="29" t="inlineStr"/>
      <c r="BK324" s="29" t="inlineStr">
        <is>
          <t>Evidence reconciled against the reviewed source revision. No production approval is inferred from implementation or file presence.</t>
        </is>
      </c>
      <c r="BL324" s="29" t="inlineStr">
        <is>
          <t>2026-08-02</t>
        </is>
      </c>
    </row>
    <row r="325" ht="42" customHeight="1">
      <c r="A325" s="29" t="inlineStr">
        <is>
          <t>BLYP-16-009</t>
        </is>
      </c>
      <c r="B325" s="29" t="inlineStr"/>
      <c r="C325" s="29" t="inlineStr">
        <is>
          <t>Content creation and publishing pipeline</t>
        </is>
      </c>
      <c r="D325" s="29" t="n">
        <v>16</v>
      </c>
      <c r="E325" s="29" t="n">
        <v>9</v>
      </c>
      <c r="F325" s="29" t="inlineStr">
        <is>
          <t>Feature</t>
        </is>
      </c>
      <c r="G325" s="29" t="inlineStr">
        <is>
          <t>Multi-photo posts</t>
        </is>
      </c>
      <c r="H325" s="29" t="inlineStr">
        <is>
          <t>Multi-photo posts</t>
        </is>
      </c>
      <c r="I325" s="29" t="inlineStr">
        <is>
          <t>/home/ubuntu/blyp_product_requirements.md :: Section 16 — Content creation and publishing pipeline</t>
        </is>
      </c>
      <c r="J325" s="29" t="inlineStr">
        <is>
          <t>/home/ubuntu/BLYP_COMPLETE_FEATURE_LIST.md:414</t>
        </is>
      </c>
      <c r="K325" s="29" t="inlineStr">
        <is>
          <t>Required</t>
        </is>
      </c>
      <c r="L325" s="29" t="inlineStr">
        <is>
          <t>Authenticated creator or host</t>
        </is>
      </c>
      <c r="M325" s="29" t="inlineStr">
        <is>
          <t>BLYP mobile application and supporting production services</t>
        </is>
      </c>
      <c r="N325" s="29" t="inlineStr">
        <is>
          <t>Multi-photo posts</t>
        </is>
      </c>
      <c r="O325" s="29" t="inlineStr">
        <is>
          <t>Not explicitly defined in the product source; requires accountable product approval before production sign-off.</t>
        </is>
      </c>
      <c r="P325" s="29" t="inlineStr">
        <is>
          <t>Firebase Storage; Firebase Firestore; Firebase Storage; Firestore post.media[]; Camera permission; media library permission</t>
        </is>
      </c>
      <c r="Q325" s="29" t="inlineStr">
        <is>
          <t>Yes</t>
        </is>
      </c>
      <c r="R325" s="29" t="inlineStr"/>
      <c r="S325" s="29" t="inlineStr">
        <is>
          <t>End-to-end present</t>
        </is>
      </c>
      <c r="T325" s="29" t="inlineStr">
        <is>
          <t>CameraScreen.js capturedPhotos array; gallery multi-select</t>
        </is>
      </c>
      <c r="U325" s="29" t="inlineStr">
        <is>
          <t>CameraScreen.js photo strip; ReviewScreen.js mediaItems grid</t>
        </is>
      </c>
      <c r="V325" s="29" t="inlineStr">
        <is>
          <t>capturedPhotos / mediaItems state arrays</t>
        </is>
      </c>
      <c r="W325" s="29" t="inlineStr">
        <is>
          <t>None</t>
        </is>
      </c>
      <c r="X325" s="29" t="inlineStr">
        <is>
          <t>Firebase Storage; Firestore post.media[]</t>
        </is>
      </c>
      <c r="Y325" s="29" t="inlineStr">
        <is>
          <t>None</t>
        </is>
      </c>
      <c r="Z325" s="29" t="inlineStr">
        <is>
          <t>Firebase Storage; Firebase Firestore</t>
        </is>
      </c>
      <c r="AA325" s="29" t="inlineStr">
        <is>
          <t>Camera permission; media library permission</t>
        </is>
      </c>
      <c r="AB325" s="29" t="inlineStr">
        <is>
          <t>Expo mobile binary</t>
        </is>
      </c>
      <c r="AC325" s="29" t="inlineStr"/>
      <c r="AD325" s="29" t="inlineStr">
        <is>
          <t>User captures multiple photos; all stored in capturedPhotos; navigated to ReviewScreen with full array; each photo uploaded individually; all URLs stored in post.media[].</t>
        </is>
      </c>
      <c r="AE325" s="29" t="inlineStr">
        <is>
          <t>User reachable</t>
        </is>
      </c>
      <c r="AF325" s="29" t="inlineStr">
        <is>
          <t>CameraScreen.js capturedPhotos array; gallery multi-select; User captures multiple photos; all stored in capturedPhotos; navigated to ReviewScreen with full array; each photo uploaded individually; all URLs stored in post.media[].</t>
        </is>
      </c>
      <c r="AG325" s="29" t="inlineStr">
        <is>
          <t>Complete against stated requirement</t>
        </is>
      </c>
      <c r="AH325" s="29" t="inlineStr">
        <is>
          <t>Yes</t>
        </is>
      </c>
      <c r="AI325" s="29" t="inlineStr">
        <is>
          <t>None identified in source</t>
        </is>
      </c>
      <c r="AJ325" s="29" t="inlineStr">
        <is>
          <t>Source traced</t>
        </is>
      </c>
      <c r="AK325" s="29" t="inlineStr">
        <is>
          <t>EV-16-0012; EV-16-0013</t>
        </is>
      </c>
      <c r="AL325" s="29" t="inlineStr"/>
      <c r="AM325" s="29" t="inlineStr"/>
      <c r="AN325" s="29" t="inlineStr"/>
      <c r="AO325" s="29" t="inlineStr">
        <is>
          <t>8bc0dcb2a1da1b21368c5536aaeef829d587f316</t>
        </is>
      </c>
      <c r="AP325" s="29" t="inlineStr">
        <is>
          <t>High</t>
        </is>
      </c>
      <c r="AQ325" s="29" t="inlineStr">
        <is>
          <t>Not assessed</t>
        </is>
      </c>
      <c r="AR325" s="29" t="inlineStr">
        <is>
          <t>Not assessed</t>
        </is>
      </c>
      <c r="AS325" s="29" t="inlineStr">
        <is>
          <t>Not assessed</t>
        </is>
      </c>
      <c r="AT325" s="29" t="inlineStr">
        <is>
          <t>Not assessed</t>
        </is>
      </c>
      <c r="AU325" s="29" t="inlineStr">
        <is>
          <t>Not assessed</t>
        </is>
      </c>
      <c r="AV325" s="29" t="inlineStr">
        <is>
          <t>Not assessed</t>
        </is>
      </c>
      <c r="AW325" s="29" t="inlineStr">
        <is>
          <t>Not assessed</t>
        </is>
      </c>
      <c r="AX325" s="29" t="inlineStr">
        <is>
          <t>Not assessed</t>
        </is>
      </c>
      <c r="AY325" s="29" t="inlineStr">
        <is>
          <t>Not assessed</t>
        </is>
      </c>
      <c r="AZ325" s="29" t="inlineStr">
        <is>
          <t>Not assessed</t>
        </is>
      </c>
      <c r="BA325" s="29" t="inlineStr">
        <is>
          <t>Not assessed</t>
        </is>
      </c>
      <c r="BB325" s="29" t="inlineStr">
        <is>
          <t>Not assessed</t>
        </is>
      </c>
      <c r="BC325" s="29" t="inlineStr">
        <is>
          <t>Not assessed</t>
        </is>
      </c>
      <c r="BD325" s="29" t="inlineStr">
        <is>
          <t>Not assessed</t>
        </is>
      </c>
      <c r="BE325" s="29" t="inlineStr">
        <is>
          <t>Ready for production validation</t>
        </is>
      </c>
      <c r="BF325" s="29" t="inlineStr">
        <is>
          <t>Applicable production gates and acceptance checks have not been completed on an approved release candidate.</t>
        </is>
      </c>
      <c r="BG325" s="29" t="inlineStr"/>
      <c r="BH325" s="29" t="inlineStr"/>
      <c r="BI325" s="29" t="inlineStr"/>
      <c r="BJ325" s="29" t="inlineStr"/>
      <c r="BK325" s="29" t="inlineStr">
        <is>
          <t>Evidence reconciled against the reviewed source revision. No production approval is inferred from implementation or file presence.</t>
        </is>
      </c>
      <c r="BL325" s="29" t="inlineStr">
        <is>
          <t>2026-08-02</t>
        </is>
      </c>
    </row>
    <row r="326" ht="42" customHeight="1">
      <c r="A326" s="29" t="inlineStr">
        <is>
          <t>BLYP-16-010</t>
        </is>
      </c>
      <c r="B326" s="29" t="inlineStr"/>
      <c r="C326" s="29" t="inlineStr">
        <is>
          <t>Content creation and publishing pipeline</t>
        </is>
      </c>
      <c r="D326" s="29" t="n">
        <v>16</v>
      </c>
      <c r="E326" s="29" t="n">
        <v>10</v>
      </c>
      <c r="F326" s="29" t="inlineStr">
        <is>
          <t>Feature</t>
        </is>
      </c>
      <c r="G326" s="29" t="inlineStr">
        <is>
          <t>Audio-only posts</t>
        </is>
      </c>
      <c r="H326" s="29" t="inlineStr">
        <is>
          <t>Audio-only posts</t>
        </is>
      </c>
      <c r="I326" s="29" t="inlineStr">
        <is>
          <t>/home/ubuntu/blyp_product_requirements.md :: Section 16 — Content creation and publishing pipeline</t>
        </is>
      </c>
      <c r="J326" s="29" t="inlineStr">
        <is>
          <t>/home/ubuntu/BLYP_COMPLETE_FEATURE_LIST.md:415</t>
        </is>
      </c>
      <c r="K326" s="29" t="inlineStr">
        <is>
          <t>Required</t>
        </is>
      </c>
      <c r="L326" s="29" t="inlineStr">
        <is>
          <t>Authenticated creator or host</t>
        </is>
      </c>
      <c r="M326" s="29" t="inlineStr">
        <is>
          <t>BLYP mobile application and supporting production services</t>
        </is>
      </c>
      <c r="N326" s="29" t="inlineStr">
        <is>
          <t>Audio-only posts</t>
        </is>
      </c>
      <c r="O326" s="29" t="inlineStr">
        <is>
          <t>Not explicitly defined in the product source; requires accountable product approval before production sign-off.</t>
        </is>
      </c>
      <c r="P326" s="29" t="inlineStr">
        <is>
          <t>Firebase Storage; Firebase Storage; Firestore post.audioUrl; Microphone permission</t>
        </is>
      </c>
      <c r="Q326" s="29" t="inlineStr">
        <is>
          <t>Yes</t>
        </is>
      </c>
      <c r="R326" s="29" t="inlineStr"/>
      <c r="S326" s="29" t="inlineStr">
        <is>
          <t>End-to-end present</t>
        </is>
      </c>
      <c r="T326" s="29" t="inlineStr">
        <is>
          <t>VoiceMemoScreen.js; ReviewScreen.js audio handling</t>
        </is>
      </c>
      <c r="U326" s="29" t="inlineStr">
        <is>
          <t>VoiceMemoScreen.js; ReviewScreen.js audio transcript area</t>
        </is>
      </c>
      <c r="V326" s="29" t="inlineStr">
        <is>
          <t>expo-av Audio; hasAudio / postType='audio'</t>
        </is>
      </c>
      <c r="W326" s="29" t="inlineStr">
        <is>
          <t>None</t>
        </is>
      </c>
      <c r="X326" s="29" t="inlineStr">
        <is>
          <t>Firebase Storage; Firestore post.audioUrl</t>
        </is>
      </c>
      <c r="Y326" s="29" t="inlineStr">
        <is>
          <t>None</t>
        </is>
      </c>
      <c r="Z326" s="29" t="inlineStr">
        <is>
          <t>Firebase Storage</t>
        </is>
      </c>
      <c r="AA326" s="29" t="inlineStr">
        <is>
          <t>Microphone permission</t>
        </is>
      </c>
      <c r="AB326" s="29" t="inlineStr">
        <is>
          <t>Expo mobile binary</t>
        </is>
      </c>
      <c r="AC326" s="29" t="inlineStr"/>
      <c r="AD326" s="29" t="inlineStr">
        <is>
          <t>User records audio via VoiceMemoScreen or ReviewScreen voice input; audio uploaded to Firebase Storage; post written with type='audio' and audioUrl.</t>
        </is>
      </c>
      <c r="AE326" s="29" t="inlineStr">
        <is>
          <t>User reachable</t>
        </is>
      </c>
      <c r="AF326" s="29" t="inlineStr">
        <is>
          <t>VoiceMemoScreen.js; ReviewScreen.js audio handling; User records audio via VoiceMemoScreen or ReviewScreen voice input; audio uploaded to Firebase Storage; post written with type='audio' and audioUrl.</t>
        </is>
      </c>
      <c r="AG326" s="29" t="inlineStr">
        <is>
          <t>Complete against stated requirement</t>
        </is>
      </c>
      <c r="AH326" s="29" t="inlineStr">
        <is>
          <t>Yes</t>
        </is>
      </c>
      <c r="AI326" s="29" t="inlineStr">
        <is>
          <t>None identified in source</t>
        </is>
      </c>
      <c r="AJ326" s="29" t="inlineStr">
        <is>
          <t>Source traced</t>
        </is>
      </c>
      <c r="AK326" s="29" t="inlineStr">
        <is>
          <t>EV-16-0014; EV-16-0015</t>
        </is>
      </c>
      <c r="AL326" s="29" t="inlineStr"/>
      <c r="AM326" s="29" t="inlineStr"/>
      <c r="AN326" s="29" t="inlineStr"/>
      <c r="AO326" s="29" t="inlineStr">
        <is>
          <t>8bc0dcb2a1da1b21368c5536aaeef829d587f316</t>
        </is>
      </c>
      <c r="AP326" s="29" t="inlineStr">
        <is>
          <t>Medium</t>
        </is>
      </c>
      <c r="AQ326" s="29" t="inlineStr">
        <is>
          <t>Not assessed</t>
        </is>
      </c>
      <c r="AR326" s="29" t="inlineStr">
        <is>
          <t>Not assessed</t>
        </is>
      </c>
      <c r="AS326" s="29" t="inlineStr">
        <is>
          <t>Not assessed</t>
        </is>
      </c>
      <c r="AT326" s="29" t="inlineStr">
        <is>
          <t>Not assessed</t>
        </is>
      </c>
      <c r="AU326" s="29" t="inlineStr">
        <is>
          <t>Not assessed</t>
        </is>
      </c>
      <c r="AV326" s="29" t="inlineStr">
        <is>
          <t>Not assessed</t>
        </is>
      </c>
      <c r="AW326" s="29" t="inlineStr">
        <is>
          <t>Not assessed</t>
        </is>
      </c>
      <c r="AX326" s="29" t="inlineStr">
        <is>
          <t>Not assessed</t>
        </is>
      </c>
      <c r="AY326" s="29" t="inlineStr">
        <is>
          <t>Not assessed</t>
        </is>
      </c>
      <c r="AZ326" s="29" t="inlineStr">
        <is>
          <t>Not assessed</t>
        </is>
      </c>
      <c r="BA326" s="29" t="inlineStr">
        <is>
          <t>Not assessed</t>
        </is>
      </c>
      <c r="BB326" s="29" t="inlineStr">
        <is>
          <t>Not assessed</t>
        </is>
      </c>
      <c r="BC326" s="29" t="inlineStr">
        <is>
          <t>Not assessed</t>
        </is>
      </c>
      <c r="BD326" s="29" t="inlineStr">
        <is>
          <t>Not assessed</t>
        </is>
      </c>
      <c r="BE326" s="29" t="inlineStr">
        <is>
          <t>Ready for production validation</t>
        </is>
      </c>
      <c r="BF326" s="29" t="inlineStr">
        <is>
          <t>Applicable production gates and acceptance checks have not been completed on an approved release candidate.</t>
        </is>
      </c>
      <c r="BG326" s="29" t="inlineStr">
        <is>
          <t>Confirm audio playback in feed/viewer</t>
        </is>
      </c>
      <c r="BH326" s="29" t="inlineStr"/>
      <c r="BI326" s="29" t="inlineStr"/>
      <c r="BJ326" s="29" t="inlineStr"/>
      <c r="BK326" s="29" t="inlineStr">
        <is>
          <t>Evidence reconciled against the reviewed source revision. No production approval is inferred from implementation or file presence.</t>
        </is>
      </c>
      <c r="BL326" s="29" t="inlineStr">
        <is>
          <t>2026-08-02</t>
        </is>
      </c>
    </row>
    <row r="327" ht="42" customHeight="1">
      <c r="A327" s="29" t="inlineStr">
        <is>
          <t>BLYP-16-011</t>
        </is>
      </c>
      <c r="B327" s="29" t="inlineStr"/>
      <c r="C327" s="29" t="inlineStr">
        <is>
          <t>Content creation and publishing pipeline</t>
        </is>
      </c>
      <c r="D327" s="29" t="n">
        <v>16</v>
      </c>
      <c r="E327" s="29" t="n">
        <v>11</v>
      </c>
      <c r="F327" s="29" t="inlineStr">
        <is>
          <t>Non-functional requirement</t>
        </is>
      </c>
      <c r="G327" s="29" t="inlineStr">
        <is>
          <t>Accessibility captions</t>
        </is>
      </c>
      <c r="H327" s="29" t="inlineStr">
        <is>
          <t>Accessibility captions</t>
        </is>
      </c>
      <c r="I327" s="29" t="inlineStr">
        <is>
          <t>/home/ubuntu/blyp_product_requirements.md :: Section 16 — Content creation and publishing pipeline</t>
        </is>
      </c>
      <c r="J327" s="29" t="inlineStr">
        <is>
          <t>/home/ubuntu/BLYP_COMPLETE_FEATURE_LIST.md:416</t>
        </is>
      </c>
      <c r="K327" s="29" t="inlineStr">
        <is>
          <t>Required</t>
        </is>
      </c>
      <c r="L327" s="29" t="inlineStr">
        <is>
          <t>Authenticated creator or host</t>
        </is>
      </c>
      <c r="M327" s="29" t="inlineStr">
        <is>
          <t>Production platform and operations</t>
        </is>
      </c>
      <c r="N327" s="29" t="inlineStr">
        <is>
          <t>Accessibility captions</t>
        </is>
      </c>
      <c r="O327" s="29" t="inlineStr">
        <is>
          <t>Not explicitly defined in the product source; requires accountable product approval before production sign-off.</t>
        </is>
      </c>
      <c r="P327" s="29" t="inlineStr">
        <is>
          <t>Gemini AI (transcription); Firestore post.caption / post.transcript / post.description; None</t>
        </is>
      </c>
      <c r="Q327" s="29" t="inlineStr">
        <is>
          <t>Partial</t>
        </is>
      </c>
      <c r="R327" s="29" t="inlineStr"/>
      <c r="S327" s="29" t="inlineStr">
        <is>
          <t>Partial</t>
        </is>
      </c>
      <c r="T327" s="29" t="inlineStr">
        <is>
          <t>ReviewScreen.js caption/transcript text input</t>
        </is>
      </c>
      <c r="U327" s="29" t="inlineStr">
        <is>
          <t>ReviewScreen.js caption TextInput</t>
        </is>
      </c>
      <c r="V327" s="29" t="inlineStr">
        <is>
          <t>caption / transcript / aiCaption states</t>
        </is>
      </c>
      <c r="W327" s="29" t="inlineStr">
        <is>
          <t>None</t>
        </is>
      </c>
      <c r="X327" s="29" t="inlineStr">
        <is>
          <t>Firestore post.caption / post.transcript / post.description</t>
        </is>
      </c>
      <c r="Y327" s="29" t="inlineStr">
        <is>
          <t>None</t>
        </is>
      </c>
      <c r="Z327" s="29" t="inlineStr">
        <is>
          <t>Gemini AI (transcription)</t>
        </is>
      </c>
      <c r="AA327" s="29" t="inlineStr">
        <is>
          <t>None</t>
        </is>
      </c>
      <c r="AB327" s="29" t="inlineStr">
        <is>
          <t>Expo mobile binary</t>
        </is>
      </c>
      <c r="AC327" s="29" t="inlineStr"/>
      <c r="AD327" s="29" t="inlineStr">
        <is>
          <t>User types or speaks caption; stored in Firestore post document. No evidence these fields are surfaced as accessibility alt-text or closed captions in any media player.</t>
        </is>
      </c>
      <c r="AE327" s="29" t="inlineStr">
        <is>
          <t>User reachable</t>
        </is>
      </c>
      <c r="AF327" s="29" t="inlineStr">
        <is>
          <t>ReviewScreen.js caption/transcript text input; User types or speaks caption; stored in Firestore post document. No evidence these fields are surfaced as accessibility alt-text or closed captions in any media player.</t>
        </is>
      </c>
      <c r="AG327" s="29" t="inlineStr">
        <is>
          <t>Incomplete</t>
        </is>
      </c>
      <c r="AH327" s="29" t="inlineStr">
        <is>
          <t>No</t>
        </is>
      </c>
      <c r="AI327" s="29" t="inlineStr">
        <is>
          <t>No evidence caption/transcript is used as media alt-text or closed-caption track; no accessibility metadata in media upload.</t>
        </is>
      </c>
      <c r="AJ327" s="29" t="inlineStr">
        <is>
          <t>Source traced</t>
        </is>
      </c>
      <c r="AK327" s="29" t="inlineStr">
        <is>
          <t>EV-16-0016</t>
        </is>
      </c>
      <c r="AL327" s="29" t="inlineStr"/>
      <c r="AM327" s="29" t="inlineStr"/>
      <c r="AN327" s="29" t="inlineStr"/>
      <c r="AO327" s="29" t="inlineStr">
        <is>
          <t>8bc0dcb2a1da1b21368c5536aaeef829d587f316</t>
        </is>
      </c>
      <c r="AP327" s="29" t="inlineStr">
        <is>
          <t>Medium</t>
        </is>
      </c>
      <c r="AQ327" s="29" t="inlineStr">
        <is>
          <t>Not assessed</t>
        </is>
      </c>
      <c r="AR327" s="29" t="inlineStr">
        <is>
          <t>Not assessed</t>
        </is>
      </c>
      <c r="AS327" s="29" t="inlineStr">
        <is>
          <t>Fail</t>
        </is>
      </c>
      <c r="AT327" s="29" t="inlineStr">
        <is>
          <t>Not assessed</t>
        </is>
      </c>
      <c r="AU327" s="29" t="inlineStr">
        <is>
          <t>Not assessed</t>
        </is>
      </c>
      <c r="AV327" s="29" t="inlineStr">
        <is>
          <t>Not assessed</t>
        </is>
      </c>
      <c r="AW327" s="29" t="inlineStr">
        <is>
          <t>Not assessed</t>
        </is>
      </c>
      <c r="AX327" s="29" t="inlineStr">
        <is>
          <t>Not assessed</t>
        </is>
      </c>
      <c r="AY327" s="29" t="inlineStr">
        <is>
          <t>Not assessed</t>
        </is>
      </c>
      <c r="AZ327" s="29" t="inlineStr">
        <is>
          <t>Not assessed</t>
        </is>
      </c>
      <c r="BA327" s="29" t="inlineStr">
        <is>
          <t>Not assessed</t>
        </is>
      </c>
      <c r="BB327" s="29" t="inlineStr">
        <is>
          <t>Not assessed</t>
        </is>
      </c>
      <c r="BC327" s="29" t="inlineStr">
        <is>
          <t>Not assessed</t>
        </is>
      </c>
      <c r="BD327" s="29" t="inlineStr">
        <is>
          <t>Not assessed</t>
        </is>
      </c>
      <c r="BE327" s="29" t="inlineStr">
        <is>
          <t>Development required</t>
        </is>
      </c>
      <c r="BF327" s="29" t="inlineStr">
        <is>
          <t>Physical implementation is not complete against the stated requirement.; No evidence caption/transcript is used as media alt-text or closed-caption track; no accessibility metadata in media upload.</t>
        </is>
      </c>
      <c r="BG327" s="29" t="inlineStr">
        <is>
          <t>Confirm accessibility caption rendering in media player</t>
        </is>
      </c>
      <c r="BH327" s="29" t="inlineStr"/>
      <c r="BI327" s="29" t="inlineStr"/>
      <c r="BJ327" s="29" t="inlineStr"/>
      <c r="BK327" s="29" t="inlineStr">
        <is>
          <t>Evidence reconciled against the reviewed source revision. No production approval is inferred from implementation or file presence.</t>
        </is>
      </c>
      <c r="BL327" s="29" t="inlineStr">
        <is>
          <t>2026-08-02</t>
        </is>
      </c>
    </row>
    <row r="328" ht="42" customHeight="1">
      <c r="A328" s="29" t="inlineStr">
        <is>
          <t>BLYP-16-012</t>
        </is>
      </c>
      <c r="B328" s="29" t="inlineStr"/>
      <c r="C328" s="29" t="inlineStr">
        <is>
          <t>Content creation and publishing pipeline</t>
        </is>
      </c>
      <c r="D328" s="29" t="n">
        <v>16</v>
      </c>
      <c r="E328" s="29" t="n">
        <v>12</v>
      </c>
      <c r="F328" s="29" t="inlineStr">
        <is>
          <t>Feature</t>
        </is>
      </c>
      <c r="G328" s="29" t="inlineStr">
        <is>
          <t>Audience controls</t>
        </is>
      </c>
      <c r="H328" s="29" t="inlineStr">
        <is>
          <t>Audience controls</t>
        </is>
      </c>
      <c r="I328" s="29" t="inlineStr">
        <is>
          <t>/home/ubuntu/blyp_product_requirements.md :: Section 16 — Content creation and publishing pipeline</t>
        </is>
      </c>
      <c r="J328" s="29" t="inlineStr">
        <is>
          <t>/home/ubuntu/BLYP_COMPLETE_FEATURE_LIST.md:417</t>
        </is>
      </c>
      <c r="K328" s="29" t="inlineStr">
        <is>
          <t>Required</t>
        </is>
      </c>
      <c r="L328" s="29" t="inlineStr">
        <is>
          <t>Authenticated creator or host</t>
        </is>
      </c>
      <c r="M328" s="29" t="inlineStr">
        <is>
          <t>BLYP mobile application and supporting production services</t>
        </is>
      </c>
      <c r="N328" s="29" t="inlineStr">
        <is>
          <t>Audience controls</t>
        </is>
      </c>
      <c r="O328" s="29" t="inlineStr">
        <is>
          <t>Not explicitly defined in the product source; requires accountable product approval before production sign-off.</t>
        </is>
      </c>
      <c r="P328" s="29" t="inlineStr">
        <is>
          <t>None (sharedTo is metadata only, no actual cross-posting); Firestore post.sharedTo[]; None</t>
        </is>
      </c>
      <c r="Q328" s="29" t="inlineStr">
        <is>
          <t>No evidence</t>
        </is>
      </c>
      <c r="R328" s="29" t="inlineStr"/>
      <c r="S328" s="29" t="inlineStr">
        <is>
          <t>Partial</t>
        </is>
      </c>
      <c r="T328" s="29" t="inlineStr">
        <is>
          <t>ReviewScreen.js selectedPlatforms toggles</t>
        </is>
      </c>
      <c r="U328" s="29" t="inlineStr">
        <is>
          <t>ReviewScreen.js platform toggle buttons (facebook/instagram/tiktok/youtube)</t>
        </is>
      </c>
      <c r="V328" s="29" t="inlineStr">
        <is>
          <t>selectedPlatforms state; sharedTo field in postData</t>
        </is>
      </c>
      <c r="W328" s="29" t="inlineStr">
        <is>
          <t>None</t>
        </is>
      </c>
      <c r="X328" s="29" t="inlineStr">
        <is>
          <t>Firestore post.sharedTo[]</t>
        </is>
      </c>
      <c r="Y328" s="29" t="inlineStr">
        <is>
          <t>None</t>
        </is>
      </c>
      <c r="Z328" s="29" t="inlineStr">
        <is>
          <t>None (sharedTo is metadata only, no actual cross-posting)</t>
        </is>
      </c>
      <c r="AA328" s="29" t="inlineStr">
        <is>
          <t>None</t>
        </is>
      </c>
      <c r="AB328" s="29" t="inlineStr">
        <is>
          <t>Expo mobile binary</t>
        </is>
      </c>
      <c r="AC328" s="29" t="inlineStr"/>
      <c r="AD328" s="29" t="inlineStr">
        <is>
          <t>User toggles platform checkboxes; selection stored in sharedTo field. No visibility (public/private/followers-only) control found.</t>
        </is>
      </c>
      <c r="AE328" s="29" t="inlineStr">
        <is>
          <t>User reachable</t>
        </is>
      </c>
      <c r="AF328" s="29" t="inlineStr">
        <is>
          <t>ReviewScreen.js selectedPlatforms toggles; User toggles platform checkboxes; selection stored in sharedTo field. No visibility (public/private/followers-only) control found.</t>
        </is>
      </c>
      <c r="AG328" s="29" t="inlineStr">
        <is>
          <t>Incomplete</t>
        </is>
      </c>
      <c r="AH328" s="29" t="inlineStr">
        <is>
          <t>No</t>
        </is>
      </c>
      <c r="AI328" s="29" t="inlineStr">
        <is>
          <t>No public/private/followers-only visibility control; sharedTo is metadata only – no actual cross-platform publishing.</t>
        </is>
      </c>
      <c r="AJ328" s="29" t="inlineStr">
        <is>
          <t>Source traced</t>
        </is>
      </c>
      <c r="AK328" s="29" t="inlineStr">
        <is>
          <t>EV-16-0017</t>
        </is>
      </c>
      <c r="AL328" s="29" t="inlineStr"/>
      <c r="AM328" s="29" t="inlineStr"/>
      <c r="AN328" s="29" t="inlineStr"/>
      <c r="AO328" s="29" t="inlineStr">
        <is>
          <t>8bc0dcb2a1da1b21368c5536aaeef829d587f316</t>
        </is>
      </c>
      <c r="AP328" s="29" t="inlineStr">
        <is>
          <t>Medium</t>
        </is>
      </c>
      <c r="AQ328" s="29" t="inlineStr">
        <is>
          <t>Not assessed</t>
        </is>
      </c>
      <c r="AR328" s="29" t="inlineStr">
        <is>
          <t>Not assessed</t>
        </is>
      </c>
      <c r="AS328" s="29" t="inlineStr">
        <is>
          <t>Fail</t>
        </is>
      </c>
      <c r="AT328" s="29" t="inlineStr">
        <is>
          <t>Not assessed</t>
        </is>
      </c>
      <c r="AU328" s="29" t="inlineStr">
        <is>
          <t>Not assessed</t>
        </is>
      </c>
      <c r="AV328" s="29" t="inlineStr">
        <is>
          <t>Not assessed</t>
        </is>
      </c>
      <c r="AW328" s="29" t="inlineStr">
        <is>
          <t>Not assessed</t>
        </is>
      </c>
      <c r="AX328" s="29" t="inlineStr">
        <is>
          <t>Not assessed</t>
        </is>
      </c>
      <c r="AY328" s="29" t="inlineStr">
        <is>
          <t>Not assessed</t>
        </is>
      </c>
      <c r="AZ328" s="29" t="inlineStr">
        <is>
          <t>Not assessed</t>
        </is>
      </c>
      <c r="BA328" s="29" t="inlineStr">
        <is>
          <t>Not assessed</t>
        </is>
      </c>
      <c r="BB328" s="29" t="inlineStr">
        <is>
          <t>Not assessed</t>
        </is>
      </c>
      <c r="BC328" s="29" t="inlineStr">
        <is>
          <t>Not assessed</t>
        </is>
      </c>
      <c r="BD328" s="29" t="inlineStr">
        <is>
          <t>Not assessed</t>
        </is>
      </c>
      <c r="BE328" s="29" t="inlineStr">
        <is>
          <t>Development required</t>
        </is>
      </c>
      <c r="BF328" s="29" t="inlineStr">
        <is>
          <t>Physical implementation is not complete against the stated requirement.; No public/private/followers-only visibility control; sharedTo is metadata only – no actual cross-platform publishing.</t>
        </is>
      </c>
      <c r="BG328" s="29" t="inlineStr">
        <is>
          <t>Confirm whether visibility restriction is required; confirm cross-posting scope</t>
        </is>
      </c>
      <c r="BH328" s="29" t="inlineStr"/>
      <c r="BI328" s="29" t="inlineStr"/>
      <c r="BJ328" s="29" t="inlineStr"/>
      <c r="BK328" s="29" t="inlineStr">
        <is>
          <t>Evidence reconciled against the reviewed source revision. No production approval is inferred from implementation or file presence.</t>
        </is>
      </c>
      <c r="BL328" s="29" t="inlineStr">
        <is>
          <t>2026-08-02</t>
        </is>
      </c>
    </row>
    <row r="329" ht="42" customHeight="1">
      <c r="A329" s="29" t="inlineStr">
        <is>
          <t>BLYP-16-013</t>
        </is>
      </c>
      <c r="B329" s="29" t="inlineStr"/>
      <c r="C329" s="29" t="inlineStr">
        <is>
          <t>Content creation and publishing pipeline</t>
        </is>
      </c>
      <c r="D329" s="29" t="n">
        <v>16</v>
      </c>
      <c r="E329" s="29" t="n">
        <v>13</v>
      </c>
      <c r="F329" s="29" t="inlineStr">
        <is>
          <t>Feature</t>
        </is>
      </c>
      <c r="G329" s="29" t="inlineStr">
        <is>
          <t>Mention validation</t>
        </is>
      </c>
      <c r="H329" s="29" t="inlineStr">
        <is>
          <t>Mention validation</t>
        </is>
      </c>
      <c r="I329" s="29" t="inlineStr">
        <is>
          <t>/home/ubuntu/blyp_product_requirements.md :: Section 16 — Content creation and publishing pipeline</t>
        </is>
      </c>
      <c r="J329" s="29" t="inlineStr">
        <is>
          <t>/home/ubuntu/BLYP_COMPLETE_FEATURE_LIST.md:418</t>
        </is>
      </c>
      <c r="K329" s="29" t="inlineStr">
        <is>
          <t>Required</t>
        </is>
      </c>
      <c r="L329" s="29" t="inlineStr">
        <is>
          <t>Authenticated creator or host</t>
        </is>
      </c>
      <c r="M329" s="29" t="inlineStr">
        <is>
          <t>BLYP mobile application and supporting production services</t>
        </is>
      </c>
      <c r="N329" s="29" t="inlineStr">
        <is>
          <t>Mention validation</t>
        </is>
      </c>
      <c r="O329" s="29" t="inlineStr">
        <is>
          <t>Not explicitly defined in the product source; requires accountable product approval before production sign-off.</t>
        </is>
      </c>
      <c r="P329" s="29" t="inlineStr">
        <is>
          <t>None</t>
        </is>
      </c>
      <c r="Q329" s="29" t="inlineStr">
        <is>
          <t>Partial</t>
        </is>
      </c>
      <c r="R329" s="29" t="inlineStr"/>
      <c r="S329" s="29" t="inlineStr">
        <is>
          <t>Not found</t>
        </is>
      </c>
      <c r="T329" s="29" t="inlineStr">
        <is>
          <t>None</t>
        </is>
      </c>
      <c r="U329" s="29" t="inlineStr">
        <is>
          <t>None</t>
        </is>
      </c>
      <c r="V329" s="29" t="inlineStr">
        <is>
          <t>None</t>
        </is>
      </c>
      <c r="W329" s="29" t="inlineStr">
        <is>
          <t>None</t>
        </is>
      </c>
      <c r="X329" s="29" t="inlineStr">
        <is>
          <t>None</t>
        </is>
      </c>
      <c r="Y329" s="29" t="inlineStr">
        <is>
          <t>None</t>
        </is>
      </c>
      <c r="Z329" s="29" t="inlineStr">
        <is>
          <t>None</t>
        </is>
      </c>
      <c r="AA329" s="29" t="inlineStr">
        <is>
          <t>None</t>
        </is>
      </c>
      <c r="AB329" s="29" t="inlineStr">
        <is>
          <t>None</t>
        </is>
      </c>
      <c r="AC329" s="29" t="inlineStr"/>
      <c r="AD329" s="29" t="inlineStr">
        <is>
          <t>No mention validation found.</t>
        </is>
      </c>
      <c r="AE329" s="29" t="inlineStr">
        <is>
          <t>Unknown</t>
        </is>
      </c>
      <c r="AF329" s="29" t="inlineStr">
        <is>
          <t>None; No mention validation found.</t>
        </is>
      </c>
      <c r="AG329" s="29" t="inlineStr">
        <is>
          <t>Not started</t>
        </is>
      </c>
      <c r="AH329" s="29" t="inlineStr">
        <is>
          <t>No</t>
        </is>
      </c>
      <c r="AI329" s="29" t="inlineStr">
        <is>
          <t>Searched ReviewScreen.js and all service files for @mention parsing, user autocomplete, mention validation. None found.</t>
        </is>
      </c>
      <c r="AJ329" s="29" t="inlineStr">
        <is>
          <t>Source traced</t>
        </is>
      </c>
      <c r="AK329" s="29" t="inlineStr">
        <is>
          <t>EV-16-0018</t>
        </is>
      </c>
      <c r="AL329" s="29" t="inlineStr"/>
      <c r="AM329" s="29" t="inlineStr"/>
      <c r="AN329" s="29" t="inlineStr"/>
      <c r="AO329" s="29" t="inlineStr">
        <is>
          <t>8bc0dcb2a1da1b21368c5536aaeef829d587f316</t>
        </is>
      </c>
      <c r="AP329" s="29" t="inlineStr">
        <is>
          <t>High</t>
        </is>
      </c>
      <c r="AQ329" s="29" t="inlineStr">
        <is>
          <t>Not assessed</t>
        </is>
      </c>
      <c r="AR329" s="29" t="inlineStr">
        <is>
          <t>Not assessed</t>
        </is>
      </c>
      <c r="AS329" s="29" t="inlineStr">
        <is>
          <t>Fail</t>
        </is>
      </c>
      <c r="AT329" s="29" t="inlineStr">
        <is>
          <t>Not assessed</t>
        </is>
      </c>
      <c r="AU329" s="29" t="inlineStr">
        <is>
          <t>Not assessed</t>
        </is>
      </c>
      <c r="AV329" s="29" t="inlineStr">
        <is>
          <t>Not assessed</t>
        </is>
      </c>
      <c r="AW329" s="29" t="inlineStr">
        <is>
          <t>Not assessed</t>
        </is>
      </c>
      <c r="AX329" s="29" t="inlineStr">
        <is>
          <t>Not assessed</t>
        </is>
      </c>
      <c r="AY329" s="29" t="inlineStr">
        <is>
          <t>Not assessed</t>
        </is>
      </c>
      <c r="AZ329" s="29" t="inlineStr">
        <is>
          <t>Not assessed</t>
        </is>
      </c>
      <c r="BA329" s="29" t="inlineStr">
        <is>
          <t>Not assessed</t>
        </is>
      </c>
      <c r="BB329" s="29" t="inlineStr">
        <is>
          <t>Not assessed</t>
        </is>
      </c>
      <c r="BC329" s="29" t="inlineStr">
        <is>
          <t>Not assessed</t>
        </is>
      </c>
      <c r="BD329" s="29" t="inlineStr">
        <is>
          <t>Not assessed</t>
        </is>
      </c>
      <c r="BE329" s="29" t="inlineStr">
        <is>
          <t>Development required</t>
        </is>
      </c>
      <c r="BF329" s="29" t="inlineStr">
        <is>
          <t>Physical implementation is not complete against the stated requirement.; Searched ReviewScreen.js and all service files for @mention parsing, user autocomplete, mention validation. None found.</t>
        </is>
      </c>
      <c r="BG329" s="29" t="inlineStr">
        <is>
          <t>Source evidence of @mention parsing or user-lookup service</t>
        </is>
      </c>
      <c r="BH329" s="29" t="inlineStr"/>
      <c r="BI329" s="29" t="inlineStr"/>
      <c r="BJ329" s="29" t="inlineStr"/>
      <c r="BK329" s="29" t="inlineStr">
        <is>
          <t>Evidence reconciled against the reviewed source revision. No production approval is inferred from implementation or file presence.</t>
        </is>
      </c>
      <c r="BL329" s="29" t="inlineStr">
        <is>
          <t>2026-08-02</t>
        </is>
      </c>
    </row>
    <row r="330" ht="42" customHeight="1">
      <c r="A330" s="29" t="inlineStr">
        <is>
          <t>BLYP-16-014</t>
        </is>
      </c>
      <c r="B330" s="29" t="inlineStr"/>
      <c r="C330" s="29" t="inlineStr">
        <is>
          <t>Content creation and publishing pipeline</t>
        </is>
      </c>
      <c r="D330" s="29" t="n">
        <v>16</v>
      </c>
      <c r="E330" s="29" t="n">
        <v>14</v>
      </c>
      <c r="F330" s="29" t="inlineStr">
        <is>
          <t>Feature</t>
        </is>
      </c>
      <c r="G330" s="29" t="inlineStr">
        <is>
          <t>Tag validation</t>
        </is>
      </c>
      <c r="H330" s="29" t="inlineStr">
        <is>
          <t>Tag validation</t>
        </is>
      </c>
      <c r="I330" s="29" t="inlineStr">
        <is>
          <t>/home/ubuntu/blyp_product_requirements.md :: Section 16 — Content creation and publishing pipeline</t>
        </is>
      </c>
      <c r="J330" s="29" t="inlineStr">
        <is>
          <t>/home/ubuntu/BLYP_COMPLETE_FEATURE_LIST.md:419</t>
        </is>
      </c>
      <c r="K330" s="29" t="inlineStr">
        <is>
          <t>Required</t>
        </is>
      </c>
      <c r="L330" s="29" t="inlineStr">
        <is>
          <t>Authenticated creator or host</t>
        </is>
      </c>
      <c r="M330" s="29" t="inlineStr">
        <is>
          <t>BLYP mobile application and supporting production services</t>
        </is>
      </c>
      <c r="N330" s="29" t="inlineStr">
        <is>
          <t>Tag validation</t>
        </is>
      </c>
      <c r="O330" s="29" t="inlineStr">
        <is>
          <t>Not explicitly defined in the product source; requires accountable product approval before production sign-off.</t>
        </is>
      </c>
      <c r="P330" s="29" t="inlineStr">
        <is>
          <t>None; Firestore post.tags[]</t>
        </is>
      </c>
      <c r="Q330" s="29" t="inlineStr">
        <is>
          <t>Partial</t>
        </is>
      </c>
      <c r="R330" s="29" t="inlineStr"/>
      <c r="S330" s="29" t="inlineStr">
        <is>
          <t>Partial</t>
        </is>
      </c>
      <c r="T330" s="29" t="inlineStr">
        <is>
          <t>ReviewScreen.js caption input / extractHashtags</t>
        </is>
      </c>
      <c r="U330" s="29" t="inlineStr">
        <is>
          <t>ReviewScreen.js generated hashtags display</t>
        </is>
      </c>
      <c r="V330" s="29" t="inlineStr">
        <is>
          <t>extractHashtags regex; generatedHashtags state</t>
        </is>
      </c>
      <c r="W330" s="29" t="inlineStr">
        <is>
          <t>None</t>
        </is>
      </c>
      <c r="X330" s="29" t="inlineStr">
        <is>
          <t>Firestore post.tags[]</t>
        </is>
      </c>
      <c r="Y330" s="29" t="inlineStr">
        <is>
          <t>None</t>
        </is>
      </c>
      <c r="Z330" s="29" t="inlineStr">
        <is>
          <t>None</t>
        </is>
      </c>
      <c r="AA330" s="29" t="inlineStr">
        <is>
          <t>None</t>
        </is>
      </c>
      <c r="AB330" s="29" t="inlineStr">
        <is>
          <t>Expo mobile binary</t>
        </is>
      </c>
      <c r="AC330" s="29" t="inlineStr"/>
      <c r="AD330" s="29" t="inlineStr">
        <is>
          <t>extractHashtags parses #word patterns from caption; tags written to post.tags[]. No format validation, length limit, or banned-tag check.</t>
        </is>
      </c>
      <c r="AE330" s="29" t="inlineStr">
        <is>
          <t>User reachable</t>
        </is>
      </c>
      <c r="AF330" s="29" t="inlineStr">
        <is>
          <t>ReviewScreen.js caption input / extractHashtags; extractHashtags parses #word patterns from caption; tags written to post.tags[]. No format validation, length limit, or banned-tag check.</t>
        </is>
      </c>
      <c r="AG330" s="29" t="inlineStr">
        <is>
          <t>Incomplete</t>
        </is>
      </c>
      <c r="AH330" s="29" t="inlineStr">
        <is>
          <t>No</t>
        </is>
      </c>
      <c r="AI330" s="29" t="inlineStr">
        <is>
          <t>No server-side tag validation; no format enforcement; no banned-tag list.</t>
        </is>
      </c>
      <c r="AJ330" s="29" t="inlineStr">
        <is>
          <t>Source traced</t>
        </is>
      </c>
      <c r="AK330" s="29" t="inlineStr">
        <is>
          <t>EV-16-0019</t>
        </is>
      </c>
      <c r="AL330" s="29" t="inlineStr"/>
      <c r="AM330" s="29" t="inlineStr"/>
      <c r="AN330" s="29" t="inlineStr"/>
      <c r="AO330" s="29" t="inlineStr">
        <is>
          <t>8bc0dcb2a1da1b21368c5536aaeef829d587f316</t>
        </is>
      </c>
      <c r="AP330" s="29" t="inlineStr">
        <is>
          <t>High</t>
        </is>
      </c>
      <c r="AQ330" s="29" t="inlineStr">
        <is>
          <t>Not assessed</t>
        </is>
      </c>
      <c r="AR330" s="29" t="inlineStr">
        <is>
          <t>Not assessed</t>
        </is>
      </c>
      <c r="AS330" s="29" t="inlineStr">
        <is>
          <t>Fail</t>
        </is>
      </c>
      <c r="AT330" s="29" t="inlineStr">
        <is>
          <t>Not assessed</t>
        </is>
      </c>
      <c r="AU330" s="29" t="inlineStr">
        <is>
          <t>Not assessed</t>
        </is>
      </c>
      <c r="AV330" s="29" t="inlineStr">
        <is>
          <t>Not assessed</t>
        </is>
      </c>
      <c r="AW330" s="29" t="inlineStr">
        <is>
          <t>Not assessed</t>
        </is>
      </c>
      <c r="AX330" s="29" t="inlineStr">
        <is>
          <t>Not assessed</t>
        </is>
      </c>
      <c r="AY330" s="29" t="inlineStr">
        <is>
          <t>Not assessed</t>
        </is>
      </c>
      <c r="AZ330" s="29" t="inlineStr">
        <is>
          <t>Not assessed</t>
        </is>
      </c>
      <c r="BA330" s="29" t="inlineStr">
        <is>
          <t>Not assessed</t>
        </is>
      </c>
      <c r="BB330" s="29" t="inlineStr">
        <is>
          <t>Not assessed</t>
        </is>
      </c>
      <c r="BC330" s="29" t="inlineStr">
        <is>
          <t>Not assessed</t>
        </is>
      </c>
      <c r="BD330" s="29" t="inlineStr">
        <is>
          <t>Not assessed</t>
        </is>
      </c>
      <c r="BE330" s="29" t="inlineStr">
        <is>
          <t>Development required</t>
        </is>
      </c>
      <c r="BF330" s="29" t="inlineStr">
        <is>
          <t>Physical implementation is not complete against the stated requirement.; No server-side tag validation; no format enforcement; no banned-tag list.</t>
        </is>
      </c>
      <c r="BG330" s="29" t="inlineStr">
        <is>
          <t>Confirm whether server-side tag validation is required</t>
        </is>
      </c>
      <c r="BH330" s="29" t="inlineStr"/>
      <c r="BI330" s="29" t="inlineStr"/>
      <c r="BJ330" s="29" t="inlineStr"/>
      <c r="BK330" s="29" t="inlineStr">
        <is>
          <t>Evidence reconciled against the reviewed source revision. No production approval is inferred from implementation or file presence.</t>
        </is>
      </c>
      <c r="BL330" s="29" t="inlineStr">
        <is>
          <t>2026-08-02</t>
        </is>
      </c>
    </row>
    <row r="331" ht="42" customHeight="1">
      <c r="A331" s="29" t="inlineStr">
        <is>
          <t>BLYP-16-015</t>
        </is>
      </c>
      <c r="B331" s="29" t="inlineStr"/>
      <c r="C331" s="29" t="inlineStr">
        <is>
          <t>Content creation and publishing pipeline</t>
        </is>
      </c>
      <c r="D331" s="29" t="n">
        <v>16</v>
      </c>
      <c r="E331" s="29" t="n">
        <v>15</v>
      </c>
      <c r="F331" s="29" t="inlineStr">
        <is>
          <t>Feature</t>
        </is>
      </c>
      <c r="G331" s="29" t="inlineStr">
        <is>
          <t>Post scheduling</t>
        </is>
      </c>
      <c r="H331" s="29" t="inlineStr">
        <is>
          <t>Post scheduling</t>
        </is>
      </c>
      <c r="I331" s="29" t="inlineStr">
        <is>
          <t>/home/ubuntu/blyp_product_requirements.md :: Section 16 — Content creation and publishing pipeline</t>
        </is>
      </c>
      <c r="J331" s="29" t="inlineStr">
        <is>
          <t>/home/ubuntu/BLYP_COMPLETE_FEATURE_LIST.md:420</t>
        </is>
      </c>
      <c r="K331" s="29" t="inlineStr">
        <is>
          <t>Required</t>
        </is>
      </c>
      <c r="L331" s="29" t="inlineStr">
        <is>
          <t>Authenticated creator or host</t>
        </is>
      </c>
      <c r="M331" s="29" t="inlineStr">
        <is>
          <t>BLYP mobile application and supporting production services</t>
        </is>
      </c>
      <c r="N331" s="29" t="inlineStr">
        <is>
          <t>Post scheduling</t>
        </is>
      </c>
      <c r="O331" s="29" t="inlineStr">
        <is>
          <t>Not explicitly defined in the product source; requires accountable product approval before production sign-off.</t>
        </is>
      </c>
      <c r="P331" s="29" t="inlineStr">
        <is>
          <t>None</t>
        </is>
      </c>
      <c r="Q331" s="29" t="inlineStr">
        <is>
          <t>No evidence</t>
        </is>
      </c>
      <c r="R331" s="29" t="inlineStr"/>
      <c r="S331" s="29" t="inlineStr">
        <is>
          <t>Not found</t>
        </is>
      </c>
      <c r="T331" s="29" t="inlineStr">
        <is>
          <t>None</t>
        </is>
      </c>
      <c r="U331" s="29" t="inlineStr">
        <is>
          <t>None</t>
        </is>
      </c>
      <c r="V331" s="29" t="inlineStr">
        <is>
          <t>None</t>
        </is>
      </c>
      <c r="W331" s="29" t="inlineStr">
        <is>
          <t>None</t>
        </is>
      </c>
      <c r="X331" s="29" t="inlineStr">
        <is>
          <t>None</t>
        </is>
      </c>
      <c r="Y331" s="29" t="inlineStr">
        <is>
          <t>None</t>
        </is>
      </c>
      <c r="Z331" s="29" t="inlineStr">
        <is>
          <t>None</t>
        </is>
      </c>
      <c r="AA331" s="29" t="inlineStr">
        <is>
          <t>None</t>
        </is>
      </c>
      <c r="AB331" s="29" t="inlineStr">
        <is>
          <t>None</t>
        </is>
      </c>
      <c r="AC331" s="29" t="inlineStr"/>
      <c r="AD331" s="29" t="inlineStr">
        <is>
          <t>No scheduling implementation found.</t>
        </is>
      </c>
      <c r="AE331" s="29" t="inlineStr">
        <is>
          <t>Not wired</t>
        </is>
      </c>
      <c r="AF331" s="29" t="inlineStr">
        <is>
          <t>None; No scheduling implementation found.</t>
        </is>
      </c>
      <c r="AG331" s="29" t="inlineStr">
        <is>
          <t>Not started</t>
        </is>
      </c>
      <c r="AH331" s="29" t="inlineStr">
        <is>
          <t>No</t>
        </is>
      </c>
      <c r="AI331" s="29" t="inlineStr">
        <is>
          <t>Searched ReviewScreen.js, all screens, backend routes, and functions for scheduledAt, publishAt, deferred publish, cron. None found.</t>
        </is>
      </c>
      <c r="AJ331" s="29" t="inlineStr">
        <is>
          <t>Source traced</t>
        </is>
      </c>
      <c r="AK331" s="29" t="inlineStr">
        <is>
          <t>EV-16-0020</t>
        </is>
      </c>
      <c r="AL331" s="29" t="inlineStr"/>
      <c r="AM331" s="29" t="inlineStr"/>
      <c r="AN331" s="29" t="inlineStr"/>
      <c r="AO331" s="29" t="inlineStr">
        <is>
          <t>8bc0dcb2a1da1b21368c5536aaeef829d587f316</t>
        </is>
      </c>
      <c r="AP331" s="29" t="inlineStr">
        <is>
          <t>High</t>
        </is>
      </c>
      <c r="AQ331" s="29" t="inlineStr">
        <is>
          <t>Not assessed</t>
        </is>
      </c>
      <c r="AR331" s="29" t="inlineStr">
        <is>
          <t>Not assessed</t>
        </is>
      </c>
      <c r="AS331" s="29" t="inlineStr">
        <is>
          <t>Fail</t>
        </is>
      </c>
      <c r="AT331" s="29" t="inlineStr">
        <is>
          <t>Not assessed</t>
        </is>
      </c>
      <c r="AU331" s="29" t="inlineStr">
        <is>
          <t>Not assessed</t>
        </is>
      </c>
      <c r="AV331" s="29" t="inlineStr">
        <is>
          <t>Not assessed</t>
        </is>
      </c>
      <c r="AW331" s="29" t="inlineStr">
        <is>
          <t>Not assessed</t>
        </is>
      </c>
      <c r="AX331" s="29" t="inlineStr">
        <is>
          <t>Not assessed</t>
        </is>
      </c>
      <c r="AY331" s="29" t="inlineStr">
        <is>
          <t>Not assessed</t>
        </is>
      </c>
      <c r="AZ331" s="29" t="inlineStr">
        <is>
          <t>Not assessed</t>
        </is>
      </c>
      <c r="BA331" s="29" t="inlineStr">
        <is>
          <t>Not assessed</t>
        </is>
      </c>
      <c r="BB331" s="29" t="inlineStr">
        <is>
          <t>Not assessed</t>
        </is>
      </c>
      <c r="BC331" s="29" t="inlineStr">
        <is>
          <t>Not assessed</t>
        </is>
      </c>
      <c r="BD331" s="29" t="inlineStr">
        <is>
          <t>Not assessed</t>
        </is>
      </c>
      <c r="BE331" s="29" t="inlineStr">
        <is>
          <t>Development required</t>
        </is>
      </c>
      <c r="BF331" s="29" t="inlineStr">
        <is>
          <t>Physical implementation is not complete against the stated requirement.; Searched ReviewScreen.js, all screens, backend routes, and functions for scheduledAt, publishAt, deferred publish, cron. None found.</t>
        </is>
      </c>
      <c r="BG331" s="29" t="inlineStr">
        <is>
          <t>Source evidence of scheduling UI, scheduledAt field, or worker</t>
        </is>
      </c>
      <c r="BH331" s="29" t="inlineStr"/>
      <c r="BI331" s="29" t="inlineStr"/>
      <c r="BJ331" s="29" t="inlineStr"/>
      <c r="BK331" s="29" t="inlineStr">
        <is>
          <t>Evidence reconciled against the reviewed source revision. No production approval is inferred from implementation or file presence.</t>
        </is>
      </c>
      <c r="BL331" s="29" t="inlineStr">
        <is>
          <t>2026-08-02</t>
        </is>
      </c>
    </row>
    <row r="332" ht="42" customHeight="1">
      <c r="A332" s="29" t="inlineStr">
        <is>
          <t>BLYP-16-016</t>
        </is>
      </c>
      <c r="B332" s="29" t="inlineStr"/>
      <c r="C332" s="29" t="inlineStr">
        <is>
          <t>Content creation and publishing pipeline</t>
        </is>
      </c>
      <c r="D332" s="29" t="n">
        <v>16</v>
      </c>
      <c r="E332" s="29" t="n">
        <v>16</v>
      </c>
      <c r="F332" s="29" t="inlineStr">
        <is>
          <t>Feature</t>
        </is>
      </c>
      <c r="G332" s="29" t="inlineStr">
        <is>
          <t>Edit a published post</t>
        </is>
      </c>
      <c r="H332" s="29" t="inlineStr">
        <is>
          <t>Edit a published post</t>
        </is>
      </c>
      <c r="I332" s="29" t="inlineStr">
        <is>
          <t>/home/ubuntu/blyp_product_requirements.md :: Section 16 — Content creation and publishing pipeline</t>
        </is>
      </c>
      <c r="J332" s="29" t="inlineStr">
        <is>
          <t>/home/ubuntu/BLYP_COMPLETE_FEATURE_LIST.md:421</t>
        </is>
      </c>
      <c r="K332" s="29" t="inlineStr">
        <is>
          <t>Required</t>
        </is>
      </c>
      <c r="L332" s="29" t="inlineStr">
        <is>
          <t>Authenticated creator or host</t>
        </is>
      </c>
      <c r="M332" s="29" t="inlineStr">
        <is>
          <t>BLYP mobile application and supporting production services</t>
        </is>
      </c>
      <c r="N332" s="29" t="inlineStr">
        <is>
          <t>Edit a published post</t>
        </is>
      </c>
      <c r="O332" s="29" t="inlineStr">
        <is>
          <t>Not explicitly defined in the product source; requires accountable product approval before production sign-off.</t>
        </is>
      </c>
      <c r="P332" s="29" t="inlineStr">
        <is>
          <t>None</t>
        </is>
      </c>
      <c r="Q332" s="29" t="inlineStr">
        <is>
          <t>Partial</t>
        </is>
      </c>
      <c r="R332" s="29" t="inlineStr"/>
      <c r="S332" s="29" t="inlineStr">
        <is>
          <t>Not found</t>
        </is>
      </c>
      <c r="T332" s="29" t="inlineStr">
        <is>
          <t>None</t>
        </is>
      </c>
      <c r="U332" s="29" t="inlineStr">
        <is>
          <t>None</t>
        </is>
      </c>
      <c r="V332" s="29" t="inlineStr">
        <is>
          <t>None</t>
        </is>
      </c>
      <c r="W332" s="29" t="inlineStr">
        <is>
          <t>None</t>
        </is>
      </c>
      <c r="X332" s="29" t="inlineStr">
        <is>
          <t>None</t>
        </is>
      </c>
      <c r="Y332" s="29" t="inlineStr">
        <is>
          <t>None</t>
        </is>
      </c>
      <c r="Z332" s="29" t="inlineStr">
        <is>
          <t>None</t>
        </is>
      </c>
      <c r="AA332" s="29" t="inlineStr">
        <is>
          <t>None</t>
        </is>
      </c>
      <c r="AB332" s="29" t="inlineStr">
        <is>
          <t>None</t>
        </is>
      </c>
      <c r="AC332" s="29" t="inlineStr"/>
      <c r="AD332" s="29" t="inlineStr">
        <is>
          <t>No edit-published-post implementation found.</t>
        </is>
      </c>
      <c r="AE332" s="29" t="inlineStr">
        <is>
          <t>Not wired</t>
        </is>
      </c>
      <c r="AF332" s="29" t="inlineStr">
        <is>
          <t>None; No edit-published-post implementation found.</t>
        </is>
      </c>
      <c r="AG332" s="29" t="inlineStr">
        <is>
          <t>Not started</t>
        </is>
      </c>
      <c r="AH332" s="29" t="inlineStr">
        <is>
          <t>No</t>
        </is>
      </c>
      <c r="AI332" s="29" t="inlineStr">
        <is>
          <t>Searched all source files for editPost, updatePost, posts.doc().update with caption/description/media changes. Only like-count updates found. No edit UI in ProfileScreen, MediaViewerScreen, or any screen.</t>
        </is>
      </c>
      <c r="AJ332" s="29" t="inlineStr">
        <is>
          <t>Source traced</t>
        </is>
      </c>
      <c r="AK332" s="29" t="inlineStr">
        <is>
          <t>EV-16-0021</t>
        </is>
      </c>
      <c r="AL332" s="29" t="inlineStr"/>
      <c r="AM332" s="29" t="inlineStr"/>
      <c r="AN332" s="29" t="inlineStr"/>
      <c r="AO332" s="29" t="inlineStr">
        <is>
          <t>8bc0dcb2a1da1b21368c5536aaeef829d587f316</t>
        </is>
      </c>
      <c r="AP332" s="29" t="inlineStr">
        <is>
          <t>High</t>
        </is>
      </c>
      <c r="AQ332" s="29" t="inlineStr">
        <is>
          <t>Not assessed</t>
        </is>
      </c>
      <c r="AR332" s="29" t="inlineStr">
        <is>
          <t>Not assessed</t>
        </is>
      </c>
      <c r="AS332" s="29" t="inlineStr">
        <is>
          <t>Fail</t>
        </is>
      </c>
      <c r="AT332" s="29" t="inlineStr">
        <is>
          <t>Not assessed</t>
        </is>
      </c>
      <c r="AU332" s="29" t="inlineStr">
        <is>
          <t>Not assessed</t>
        </is>
      </c>
      <c r="AV332" s="29" t="inlineStr">
        <is>
          <t>Not assessed</t>
        </is>
      </c>
      <c r="AW332" s="29" t="inlineStr">
        <is>
          <t>Not assessed</t>
        </is>
      </c>
      <c r="AX332" s="29" t="inlineStr">
        <is>
          <t>Not assessed</t>
        </is>
      </c>
      <c r="AY332" s="29" t="inlineStr">
        <is>
          <t>Not assessed</t>
        </is>
      </c>
      <c r="AZ332" s="29" t="inlineStr">
        <is>
          <t>Not assessed</t>
        </is>
      </c>
      <c r="BA332" s="29" t="inlineStr">
        <is>
          <t>Not assessed</t>
        </is>
      </c>
      <c r="BB332" s="29" t="inlineStr">
        <is>
          <t>Not assessed</t>
        </is>
      </c>
      <c r="BC332" s="29" t="inlineStr">
        <is>
          <t>Not assessed</t>
        </is>
      </c>
      <c r="BD332" s="29" t="inlineStr">
        <is>
          <t>Not assessed</t>
        </is>
      </c>
      <c r="BE332" s="29" t="inlineStr">
        <is>
          <t>Development required</t>
        </is>
      </c>
      <c r="BF332" s="29" t="inlineStr">
        <is>
          <t>Physical implementation is not complete against the stated requirement.; Searched all source files for editPost, updatePost, posts.doc().update with caption/description/media changes. Only like-count updates found. No edit UI in ProfileScreen, MediaViewerScreen, or any screen.</t>
        </is>
      </c>
      <c r="BG332" s="29" t="inlineStr">
        <is>
          <t>Source evidence of edit-post UI and Firestore update for content fields</t>
        </is>
      </c>
      <c r="BH332" s="29" t="inlineStr"/>
      <c r="BI332" s="29" t="inlineStr"/>
      <c r="BJ332" s="29" t="inlineStr"/>
      <c r="BK332" s="29" t="inlineStr">
        <is>
          <t>Evidence reconciled against the reviewed source revision. No production approval is inferred from implementation or file presence.</t>
        </is>
      </c>
      <c r="BL332" s="29" t="inlineStr">
        <is>
          <t>2026-08-02</t>
        </is>
      </c>
    </row>
    <row r="333" ht="42" customHeight="1">
      <c r="A333" s="29" t="inlineStr">
        <is>
          <t>BLYP-16-017</t>
        </is>
      </c>
      <c r="B333" s="29" t="inlineStr"/>
      <c r="C333" s="29" t="inlineStr">
        <is>
          <t>Content creation and publishing pipeline</t>
        </is>
      </c>
      <c r="D333" s="29" t="n">
        <v>16</v>
      </c>
      <c r="E333" s="29" t="n">
        <v>17</v>
      </c>
      <c r="F333" s="29" t="inlineStr">
        <is>
          <t>Feature</t>
        </is>
      </c>
      <c r="G333" s="29" t="inlineStr">
        <is>
          <t>Delete a published post</t>
        </is>
      </c>
      <c r="H333" s="29" t="inlineStr">
        <is>
          <t>Delete a published post</t>
        </is>
      </c>
      <c r="I333" s="29" t="inlineStr">
        <is>
          <t>/home/ubuntu/blyp_product_requirements.md :: Section 16 — Content creation and publishing pipeline</t>
        </is>
      </c>
      <c r="J333" s="29" t="inlineStr">
        <is>
          <t>/home/ubuntu/BLYP_COMPLETE_FEATURE_LIST.md:422</t>
        </is>
      </c>
      <c r="K333" s="29" t="inlineStr">
        <is>
          <t>Required</t>
        </is>
      </c>
      <c r="L333" s="29" t="inlineStr">
        <is>
          <t>Authenticated creator or host</t>
        </is>
      </c>
      <c r="M333" s="29" t="inlineStr">
        <is>
          <t>BLYP mobile application and supporting production services</t>
        </is>
      </c>
      <c r="N333" s="29" t="inlineStr">
        <is>
          <t>Delete a published post</t>
        </is>
      </c>
      <c r="O333" s="29" t="inlineStr">
        <is>
          <t>Not explicitly defined in the product source; requires accountable product approval before production sign-off.</t>
        </is>
      </c>
      <c r="P333" s="29" t="inlineStr">
        <is>
          <t>Firebase Firestore; Firebase Storage; Firestore 'posts' collection; Firebase Storage media files; Firestore rules: auth != null; no ownership check in rules</t>
        </is>
      </c>
      <c r="Q333" s="29" t="inlineStr">
        <is>
          <t>Partial</t>
        </is>
      </c>
      <c r="R333" s="29" t="inlineStr"/>
      <c r="S333" s="29" t="inlineStr">
        <is>
          <t>Partial</t>
        </is>
      </c>
      <c r="T333" s="29" t="inlineStr">
        <is>
          <t>ProfileScreen.js – trash icon per post in renderPostItem</t>
        </is>
      </c>
      <c r="U333" s="29" t="inlineStr">
        <is>
          <t>ProfileScreen.js – deleteButton TouchableOpacity (line 82)</t>
        </is>
      </c>
      <c r="V333" s="29" t="inlineStr">
        <is>
          <t>handleDeletePost; db.collection('posts').doc(id).delete()</t>
        </is>
      </c>
      <c r="W333" s="29" t="inlineStr">
        <is>
          <t>None – client writes directly to Firestore</t>
        </is>
      </c>
      <c r="X333" s="29" t="inlineStr">
        <is>
          <t>Firestore 'posts' collection; Firebase Storage media files</t>
        </is>
      </c>
      <c r="Y333" s="29" t="inlineStr">
        <is>
          <t>None</t>
        </is>
      </c>
      <c r="Z333" s="29" t="inlineStr">
        <is>
          <t>Firebase Firestore; Firebase Storage</t>
        </is>
      </c>
      <c r="AA333" s="29" t="inlineStr">
        <is>
          <t>Firestore rules: auth != null; no ownership check in rules</t>
        </is>
      </c>
      <c r="AB333" s="29" t="inlineStr">
        <is>
          <t>Expo mobile binary</t>
        </is>
      </c>
      <c r="AC333" s="29" t="inlineStr"/>
      <c r="AD333" s="29" t="inlineStr">
        <is>
          <t>User taps trash icon on post card; Alert confirmation shown; on confirm: Storage files deleted via Promise.allSettled; Firestore post document deleted.</t>
        </is>
      </c>
      <c r="AE333" s="29" t="inlineStr">
        <is>
          <t>User reachable</t>
        </is>
      </c>
      <c r="AF333" s="29" t="inlineStr">
        <is>
          <t>ProfileScreen.js – trash icon per post in renderPostItem; User taps trash icon on post card; Alert confirmation shown; on confirm: Storage files deleted via Promise.allSettled; Firestore post document deleted.</t>
        </is>
      </c>
      <c r="AG333" s="29" t="inlineStr">
        <is>
          <t>Incomplete</t>
        </is>
      </c>
      <c r="AH333" s="29" t="inlineStr">
        <is>
          <t>No</t>
        </is>
      </c>
      <c r="AI333" s="29" t="inlineStr">
        <is>
          <t>Firestore rules only check auth != null – no ownership enforcement server-side; any authenticated user could delete any post via direct Firestore call; no soft-delete or audit trail.</t>
        </is>
      </c>
      <c r="AJ333" s="29" t="inlineStr">
        <is>
          <t>Source traced</t>
        </is>
      </c>
      <c r="AK333" s="29" t="inlineStr">
        <is>
          <t>EV-16-0022</t>
        </is>
      </c>
      <c r="AL333" s="29" t="inlineStr"/>
      <c r="AM333" s="29" t="inlineStr"/>
      <c r="AN333" s="29" t="inlineStr"/>
      <c r="AO333" s="29" t="inlineStr">
        <is>
          <t>8bc0dcb2a1da1b21368c5536aaeef829d587f316</t>
        </is>
      </c>
      <c r="AP333" s="29" t="inlineStr">
        <is>
          <t>High</t>
        </is>
      </c>
      <c r="AQ333" s="29" t="inlineStr">
        <is>
          <t>Not assessed</t>
        </is>
      </c>
      <c r="AR333" s="29" t="inlineStr">
        <is>
          <t>Not assessed</t>
        </is>
      </c>
      <c r="AS333" s="29" t="inlineStr">
        <is>
          <t>Fail</t>
        </is>
      </c>
      <c r="AT333" s="29" t="inlineStr">
        <is>
          <t>Not assessed</t>
        </is>
      </c>
      <c r="AU333" s="29" t="inlineStr">
        <is>
          <t>Not assessed</t>
        </is>
      </c>
      <c r="AV333" s="29" t="inlineStr">
        <is>
          <t>Not assessed</t>
        </is>
      </c>
      <c r="AW333" s="29" t="inlineStr">
        <is>
          <t>Not assessed</t>
        </is>
      </c>
      <c r="AX333" s="29" t="inlineStr">
        <is>
          <t>Not assessed</t>
        </is>
      </c>
      <c r="AY333" s="29" t="inlineStr">
        <is>
          <t>Not assessed</t>
        </is>
      </c>
      <c r="AZ333" s="29" t="inlineStr">
        <is>
          <t>Not assessed</t>
        </is>
      </c>
      <c r="BA333" s="29" t="inlineStr">
        <is>
          <t>Not assessed</t>
        </is>
      </c>
      <c r="BB333" s="29" t="inlineStr">
        <is>
          <t>Not assessed</t>
        </is>
      </c>
      <c r="BC333" s="29" t="inlineStr">
        <is>
          <t>Not assessed</t>
        </is>
      </c>
      <c r="BD333" s="29" t="inlineStr">
        <is>
          <t>Not assessed</t>
        </is>
      </c>
      <c r="BE333" s="29" t="inlineStr">
        <is>
          <t>Development required</t>
        </is>
      </c>
      <c r="BF333" s="29" t="inlineStr">
        <is>
          <t>Physical implementation is not complete against the stated requirement.; Firestore rules only check auth != null – no ownership enforcement server-side; any authenticated user could delete any post via direct Firestore call; no soft-delete or audit trail.</t>
        </is>
      </c>
      <c r="BG333" s="29" t="inlineStr">
        <is>
          <t>Confirm Firestore security rules enforce ownership for delete</t>
        </is>
      </c>
      <c r="BH333" s="29" t="inlineStr"/>
      <c r="BI333" s="29" t="inlineStr"/>
      <c r="BJ333" s="29" t="inlineStr"/>
      <c r="BK333" s="29" t="inlineStr">
        <is>
          <t>Evidence reconciled against the reviewed source revision. No production approval is inferred from implementation or file presence.</t>
        </is>
      </c>
      <c r="BL333" s="29" t="inlineStr">
        <is>
          <t>2026-08-02</t>
        </is>
      </c>
    </row>
    <row r="334" ht="42" customHeight="1">
      <c r="A334" s="29" t="inlineStr">
        <is>
          <t>BLYP-16-018</t>
        </is>
      </c>
      <c r="B334" s="29" t="inlineStr"/>
      <c r="C334" s="29" t="inlineStr">
        <is>
          <t>Content creation and publishing pipeline</t>
        </is>
      </c>
      <c r="D334" s="29" t="n">
        <v>16</v>
      </c>
      <c r="E334" s="29" t="n">
        <v>18</v>
      </c>
      <c r="F334" s="29" t="inlineStr">
        <is>
          <t>Feature</t>
        </is>
      </c>
      <c r="G334" s="29" t="inlineStr">
        <is>
          <t>Preserve media after upload failure</t>
        </is>
      </c>
      <c r="H334" s="29" t="inlineStr">
        <is>
          <t>Preserve media after upload failure</t>
        </is>
      </c>
      <c r="I334" s="29" t="inlineStr">
        <is>
          <t>/home/ubuntu/blyp_product_requirements.md :: Section 16 — Content creation and publishing pipeline</t>
        </is>
      </c>
      <c r="J334" s="29" t="inlineStr">
        <is>
          <t>/home/ubuntu/BLYP_COMPLETE_FEATURE_LIST.md:423</t>
        </is>
      </c>
      <c r="K334" s="29" t="inlineStr">
        <is>
          <t>Required</t>
        </is>
      </c>
      <c r="L334" s="29" t="inlineStr">
        <is>
          <t>Authenticated creator or host</t>
        </is>
      </c>
      <c r="M334" s="29" t="inlineStr">
        <is>
          <t>BLYP mobile application and supporting production services</t>
        </is>
      </c>
      <c r="N334" s="29" t="inlineStr">
        <is>
          <t>Preserve media after upload failure</t>
        </is>
      </c>
      <c r="O334" s="29" t="inlineStr">
        <is>
          <t>Not explicitly defined in the product source; requires accountable product approval before production sign-off.</t>
        </is>
      </c>
      <c r="P334" s="29" t="inlineStr">
        <is>
          <t>Firebase Storage; None</t>
        </is>
      </c>
      <c r="Q334" s="29" t="inlineStr">
        <is>
          <t>Partial</t>
        </is>
      </c>
      <c r="R334" s="29" t="inlineStr"/>
      <c r="S334" s="29" t="inlineStr">
        <is>
          <t>Partial</t>
        </is>
      </c>
      <c r="T334" s="29" t="inlineStr">
        <is>
          <t>ReviewScreen.js – handlePost upload loop</t>
        </is>
      </c>
      <c r="U334" s="29" t="inlineStr">
        <is>
          <t>Alert 'Upload Failed' with Skip/Cancel</t>
        </is>
      </c>
      <c r="V334" s="29" t="inlineStr">
        <is>
          <t>mediaItems state preserved on upload failure</t>
        </is>
      </c>
      <c r="W334" s="29" t="inlineStr">
        <is>
          <t>None</t>
        </is>
      </c>
      <c r="X334" s="29" t="inlineStr">
        <is>
          <t>None</t>
        </is>
      </c>
      <c r="Y334" s="29" t="inlineStr">
        <is>
          <t>None</t>
        </is>
      </c>
      <c r="Z334" s="29" t="inlineStr">
        <is>
          <t>Firebase Storage</t>
        </is>
      </c>
      <c r="AA334" s="29" t="inlineStr">
        <is>
          <t>None</t>
        </is>
      </c>
      <c r="AB334" s="29" t="inlineStr">
        <is>
          <t>Expo mobile binary</t>
        </is>
      </c>
      <c r="AC334" s="29" t="inlineStr"/>
      <c r="AD334" s="29" t="inlineStr">
        <is>
          <t>Upload fails for one item; catch block shows Alert; mediaItems state not cleared; user can skip failed item and continue. Media is preserved in memory but not persisted across app restart.</t>
        </is>
      </c>
      <c r="AE334" s="29" t="inlineStr">
        <is>
          <t>User reachable</t>
        </is>
      </c>
      <c r="AF334" s="29" t="inlineStr">
        <is>
          <t>ReviewScreen.js – handlePost upload loop; Upload fails for one item; catch block shows Alert; mediaItems state not cleared; user can skip failed item and continue. Media is preserved in memory but not persisted across app restart.</t>
        </is>
      </c>
      <c r="AG334" s="29" t="inlineStr">
        <is>
          <t>Incomplete</t>
        </is>
      </c>
      <c r="AH334" s="29" t="inlineStr">
        <is>
          <t>No</t>
        </is>
      </c>
      <c r="AI334" s="29" t="inlineStr">
        <is>
          <t>No persistent queue; media not preserved across app restart; no background retry.</t>
        </is>
      </c>
      <c r="AJ334" s="29" t="inlineStr">
        <is>
          <t>Source traced</t>
        </is>
      </c>
      <c r="AK334" s="29" t="inlineStr">
        <is>
          <t>EV-16-0023</t>
        </is>
      </c>
      <c r="AL334" s="29" t="inlineStr"/>
      <c r="AM334" s="29" t="inlineStr"/>
      <c r="AN334" s="29" t="inlineStr"/>
      <c r="AO334" s="29" t="inlineStr">
        <is>
          <t>8bc0dcb2a1da1b21368c5536aaeef829d587f316</t>
        </is>
      </c>
      <c r="AP334" s="29" t="inlineStr">
        <is>
          <t>High</t>
        </is>
      </c>
      <c r="AQ334" s="29" t="inlineStr">
        <is>
          <t>Not assessed</t>
        </is>
      </c>
      <c r="AR334" s="29" t="inlineStr">
        <is>
          <t>Not assessed</t>
        </is>
      </c>
      <c r="AS334" s="29" t="inlineStr">
        <is>
          <t>Fail</t>
        </is>
      </c>
      <c r="AT334" s="29" t="inlineStr">
        <is>
          <t>Not assessed</t>
        </is>
      </c>
      <c r="AU334" s="29" t="inlineStr">
        <is>
          <t>Not assessed</t>
        </is>
      </c>
      <c r="AV334" s="29" t="inlineStr">
        <is>
          <t>Not assessed</t>
        </is>
      </c>
      <c r="AW334" s="29" t="inlineStr">
        <is>
          <t>Not assessed</t>
        </is>
      </c>
      <c r="AX334" s="29" t="inlineStr">
        <is>
          <t>Not assessed</t>
        </is>
      </c>
      <c r="AY334" s="29" t="inlineStr">
        <is>
          <t>Not assessed</t>
        </is>
      </c>
      <c r="AZ334" s="29" t="inlineStr">
        <is>
          <t>Not assessed</t>
        </is>
      </c>
      <c r="BA334" s="29" t="inlineStr">
        <is>
          <t>Not assessed</t>
        </is>
      </c>
      <c r="BB334" s="29" t="inlineStr">
        <is>
          <t>Not assessed</t>
        </is>
      </c>
      <c r="BC334" s="29" t="inlineStr">
        <is>
          <t>Not assessed</t>
        </is>
      </c>
      <c r="BD334" s="29" t="inlineStr">
        <is>
          <t>Not assessed</t>
        </is>
      </c>
      <c r="BE334" s="29" t="inlineStr">
        <is>
          <t>Development required</t>
        </is>
      </c>
      <c r="BF334" s="29" t="inlineStr">
        <is>
          <t>Physical implementation is not complete against the stated requirement.; No persistent queue; media not preserved across app restart; no background retry.</t>
        </is>
      </c>
      <c r="BG334" s="29" t="inlineStr">
        <is>
          <t>Confirm whether cross-restart persistence is required</t>
        </is>
      </c>
      <c r="BH334" s="29" t="inlineStr"/>
      <c r="BI334" s="29" t="inlineStr"/>
      <c r="BJ334" s="29" t="inlineStr"/>
      <c r="BK334" s="29" t="inlineStr">
        <is>
          <t>Evidence reconciled against the reviewed source revision. No production approval is inferred from implementation or file presence.</t>
        </is>
      </c>
      <c r="BL334" s="29" t="inlineStr">
        <is>
          <t>2026-08-02</t>
        </is>
      </c>
    </row>
    <row r="335" ht="42" customHeight="1">
      <c r="A335" s="29" t="inlineStr">
        <is>
          <t>BLYP-16-019</t>
        </is>
      </c>
      <c r="B335" s="29" t="inlineStr"/>
      <c r="C335" s="29" t="inlineStr">
        <is>
          <t>Content creation and publishing pipeline</t>
        </is>
      </c>
      <c r="D335" s="29" t="n">
        <v>16</v>
      </c>
      <c r="E335" s="29" t="n">
        <v>19</v>
      </c>
      <c r="F335" s="29" t="inlineStr">
        <is>
          <t>Feature</t>
        </is>
      </c>
      <c r="G335" s="29" t="inlineStr">
        <is>
          <t>Preserve spoken description after AI failure</t>
        </is>
      </c>
      <c r="H335" s="29" t="inlineStr">
        <is>
          <t>Preserve spoken description after AI failure</t>
        </is>
      </c>
      <c r="I335" s="29" t="inlineStr">
        <is>
          <t>/home/ubuntu/blyp_product_requirements.md :: Section 16 — Content creation and publishing pipeline</t>
        </is>
      </c>
      <c r="J335" s="29" t="inlineStr">
        <is>
          <t>/home/ubuntu/BLYP_COMPLETE_FEATURE_LIST.md:424</t>
        </is>
      </c>
      <c r="K335" s="29" t="inlineStr">
        <is>
          <t>Required</t>
        </is>
      </c>
      <c r="L335" s="29" t="inlineStr">
        <is>
          <t>Authenticated creator or host</t>
        </is>
      </c>
      <c r="M335" s="29" t="inlineStr">
        <is>
          <t>BLYP mobile application and supporting production services</t>
        </is>
      </c>
      <c r="N335" s="29" t="inlineStr">
        <is>
          <t>Preserve spoken description after AI failure</t>
        </is>
      </c>
      <c r="O335" s="29" t="inlineStr">
        <is>
          <t>Not explicitly defined in the product source; requires accountable product approval before production sign-off.</t>
        </is>
      </c>
      <c r="P335" s="29" t="inlineStr">
        <is>
          <t>Gemini AI (may fail); None (in-memory state); None</t>
        </is>
      </c>
      <c r="Q335" s="29" t="inlineStr">
        <is>
          <t>Partial</t>
        </is>
      </c>
      <c r="R335" s="29" t="inlineStr"/>
      <c r="S335" s="29" t="inlineStr">
        <is>
          <t>End-to-end present</t>
        </is>
      </c>
      <c r="T335" s="29" t="inlineStr">
        <is>
          <t>ReviewScreen.js – stopVoiceDescription / generateAiContent</t>
        </is>
      </c>
      <c r="U335" s="29" t="inlineStr">
        <is>
          <t>ReviewScreen.js – manualDescription TextInput; caption TextInput</t>
        </is>
      </c>
      <c r="V335" s="29" t="inlineStr">
        <is>
          <t>voiceInput passed to generateAiContent; fallback via getSmartFallbackDescription</t>
        </is>
      </c>
      <c r="W335" s="29" t="inlineStr">
        <is>
          <t>None</t>
        </is>
      </c>
      <c r="X335" s="29" t="inlineStr">
        <is>
          <t>None (in-memory state)</t>
        </is>
      </c>
      <c r="Y335" s="29" t="inlineStr">
        <is>
          <t>None</t>
        </is>
      </c>
      <c r="Z335" s="29" t="inlineStr">
        <is>
          <t>Gemini AI (may fail)</t>
        </is>
      </c>
      <c r="AA335" s="29" t="inlineStr">
        <is>
          <t>None</t>
        </is>
      </c>
      <c r="AB335" s="29" t="inlineStr">
        <is>
          <t>Expo mobile binary</t>
        </is>
      </c>
      <c r="AC335" s="29" t="inlineStr"/>
      <c r="AD335" s="29" t="inlineStr">
        <is>
          <t>User speaks description; transcript stored in manualDescription and voiceTranscript; AI generation attempted; on failure getSmartFallbackDescription uses voiceInput to populate caption/aiCaption. Spoken description is not lost.</t>
        </is>
      </c>
      <c r="AE335" s="29" t="inlineStr">
        <is>
          <t>User reachable</t>
        </is>
      </c>
      <c r="AF335" s="29" t="inlineStr">
        <is>
          <t>ReviewScreen.js – stopVoiceDescription / generateAiContent; User speaks description; transcript stored in manualDescription and voiceTranscript; AI generation attempted; on failure getSmartFallbackDescription uses voiceInput to populate caption/aiCaption. Spoken description is not lost.</t>
        </is>
      </c>
      <c r="AG335" s="29" t="inlineStr">
        <is>
          <t>Complete against stated requirement</t>
        </is>
      </c>
      <c r="AH335" s="29" t="inlineStr">
        <is>
          <t>Yes</t>
        </is>
      </c>
      <c r="AI335" s="29" t="inlineStr">
        <is>
          <t>None identified in source for in-session preservation</t>
        </is>
      </c>
      <c r="AJ335" s="29" t="inlineStr">
        <is>
          <t>Source traced</t>
        </is>
      </c>
      <c r="AK335" s="29" t="inlineStr">
        <is>
          <t>EV-16-0024; EV-16-0025</t>
        </is>
      </c>
      <c r="AL335" s="29" t="inlineStr"/>
      <c r="AM335" s="29" t="inlineStr"/>
      <c r="AN335" s="29" t="inlineStr"/>
      <c r="AO335" s="29" t="inlineStr">
        <is>
          <t>8bc0dcb2a1da1b21368c5536aaeef829d587f316</t>
        </is>
      </c>
      <c r="AP335" s="29" t="inlineStr">
        <is>
          <t>High</t>
        </is>
      </c>
      <c r="AQ335" s="29" t="inlineStr">
        <is>
          <t>Not assessed</t>
        </is>
      </c>
      <c r="AR335" s="29" t="inlineStr">
        <is>
          <t>Not assessed</t>
        </is>
      </c>
      <c r="AS335" s="29" t="inlineStr">
        <is>
          <t>Not assessed</t>
        </is>
      </c>
      <c r="AT335" s="29" t="inlineStr">
        <is>
          <t>Not assessed</t>
        </is>
      </c>
      <c r="AU335" s="29" t="inlineStr">
        <is>
          <t>Not assessed</t>
        </is>
      </c>
      <c r="AV335" s="29" t="inlineStr">
        <is>
          <t>Not assessed</t>
        </is>
      </c>
      <c r="AW335" s="29" t="inlineStr">
        <is>
          <t>Not assessed</t>
        </is>
      </c>
      <c r="AX335" s="29" t="inlineStr">
        <is>
          <t>Not assessed</t>
        </is>
      </c>
      <c r="AY335" s="29" t="inlineStr">
        <is>
          <t>Not assessed</t>
        </is>
      </c>
      <c r="AZ335" s="29" t="inlineStr">
        <is>
          <t>Not assessed</t>
        </is>
      </c>
      <c r="BA335" s="29" t="inlineStr">
        <is>
          <t>Not assessed</t>
        </is>
      </c>
      <c r="BB335" s="29" t="inlineStr">
        <is>
          <t>Not assessed</t>
        </is>
      </c>
      <c r="BC335" s="29" t="inlineStr">
        <is>
          <t>Not assessed</t>
        </is>
      </c>
      <c r="BD335" s="29" t="inlineStr">
        <is>
          <t>Not assessed</t>
        </is>
      </c>
      <c r="BE335" s="29" t="inlineStr">
        <is>
          <t>Ready for production validation</t>
        </is>
      </c>
      <c r="BF335" s="29" t="inlineStr">
        <is>
          <t>Applicable production gates and acceptance checks have not been completed on an approved release candidate.</t>
        </is>
      </c>
      <c r="BG335" s="29" t="inlineStr"/>
      <c r="BH335" s="29" t="inlineStr"/>
      <c r="BI335" s="29" t="inlineStr"/>
      <c r="BJ335" s="29" t="inlineStr"/>
      <c r="BK335" s="29" t="inlineStr">
        <is>
          <t>Evidence reconciled against the reviewed source revision. No production approval is inferred from implementation or file presence.</t>
        </is>
      </c>
      <c r="BL335" s="29" t="inlineStr">
        <is>
          <t>2026-08-02</t>
        </is>
      </c>
    </row>
    <row r="336" ht="42" customHeight="1">
      <c r="A336" s="29" t="inlineStr">
        <is>
          <t>BLYP-16-020</t>
        </is>
      </c>
      <c r="B336" s="29" t="inlineStr"/>
      <c r="C336" s="29" t="inlineStr">
        <is>
          <t>Content creation and publishing pipeline</t>
        </is>
      </c>
      <c r="D336" s="29" t="n">
        <v>16</v>
      </c>
      <c r="E336" s="29" t="n">
        <v>20</v>
      </c>
      <c r="F336" s="29" t="inlineStr">
        <is>
          <t>Feature</t>
        </is>
      </c>
      <c r="G336" s="29" t="inlineStr">
        <is>
          <t>Explicit video-processing status</t>
        </is>
      </c>
      <c r="H336" s="29" t="inlineStr">
        <is>
          <t>Explicit video-processing status</t>
        </is>
      </c>
      <c r="I336" s="29" t="inlineStr">
        <is>
          <t>/home/ubuntu/blyp_product_requirements.md :: Section 16 — Content creation and publishing pipeline</t>
        </is>
      </c>
      <c r="J336" s="29" t="inlineStr">
        <is>
          <t>/home/ubuntu/BLYP_COMPLETE_FEATURE_LIST.md:425</t>
        </is>
      </c>
      <c r="K336" s="29" t="inlineStr">
        <is>
          <t>Required</t>
        </is>
      </c>
      <c r="L336" s="29" t="inlineStr">
        <is>
          <t>Authenticated creator or host</t>
        </is>
      </c>
      <c r="M336" s="29" t="inlineStr">
        <is>
          <t>BLYP mobile application and supporting production services</t>
        </is>
      </c>
      <c r="N336" s="29" t="inlineStr">
        <is>
          <t>Explicit video-processing status</t>
        </is>
      </c>
      <c r="O336" s="29" t="inlineStr">
        <is>
          <t>Not explicitly defined in the product source; requires accountable product approval before production sign-off.</t>
        </is>
      </c>
      <c r="P336" s="29" t="inlineStr">
        <is>
          <t>Firebase Functions; Firebase Firestore; Firestore 'processingAnalytics' collection; Firebase Functions deployment</t>
        </is>
      </c>
      <c r="Q336" s="29" t="inlineStr">
        <is>
          <t>No evidence</t>
        </is>
      </c>
      <c r="R336" s="29" t="inlineStr"/>
      <c r="S336" s="29" t="inlineStr">
        <is>
          <t>Backend only</t>
        </is>
      </c>
      <c r="T336" s="29" t="inlineStr">
        <is>
          <t>None – no client UI reads processingAnalytics</t>
        </is>
      </c>
      <c r="U336" s="29" t="inlineStr">
        <is>
          <t>None</t>
        </is>
      </c>
      <c r="V336" s="29" t="inlineStr">
        <is>
          <t>None</t>
        </is>
      </c>
      <c r="W336" s="29" t="inlineStr">
        <is>
          <t>Firebase Function onFinalize (functions/src/index.ts line 90)</t>
        </is>
      </c>
      <c r="X336" s="29" t="inlineStr">
        <is>
          <t>Firestore 'processingAnalytics' collection</t>
        </is>
      </c>
      <c r="Y336" s="29" t="inlineStr">
        <is>
          <t>Firebase Storage trigger onFinalize → updateProcessingAnalytics</t>
        </is>
      </c>
      <c r="Z336" s="29" t="inlineStr">
        <is>
          <t>Firebase Functions; Firebase Firestore</t>
        </is>
      </c>
      <c r="AA336" s="29" t="inlineStr">
        <is>
          <t>Firebase Functions deployment</t>
        </is>
      </c>
      <c r="AB336" s="29" t="inlineStr">
        <is>
          <t>Firebase Functions</t>
        </is>
      </c>
      <c r="AC336" s="29" t="inlineStr"/>
      <c r="AD336" s="29" t="inlineStr">
        <is>
          <t>Video segment uploaded to Storage; onFinalize trigger fires; processingAnalytics document updated with lastProcessedAt. No client UI reads this status and shows it to the user.</t>
        </is>
      </c>
      <c r="AE336" s="29" t="inlineStr">
        <is>
          <t>Developer only</t>
        </is>
      </c>
      <c r="AF336" s="29" t="inlineStr">
        <is>
          <t>None – no client UI reads processingAnalytics; Video segment uploaded to Storage; onFinalize trigger fires; processingAnalytics document updated with lastProcessedAt. No client UI reads this status and shows it to the user.</t>
        </is>
      </c>
      <c r="AG336" s="29" t="inlineStr">
        <is>
          <t>Incomplete</t>
        </is>
      </c>
      <c r="AH336" s="29" t="inlineStr">
        <is>
          <t>No</t>
        </is>
      </c>
      <c r="AI336" s="29" t="inlineStr">
        <is>
          <t>No client-side UI to display video-processing status to the end user; no post-level processing-status field visible in feed.</t>
        </is>
      </c>
      <c r="AJ336" s="29" t="inlineStr">
        <is>
          <t>Source traced</t>
        </is>
      </c>
      <c r="AK336" s="29" t="inlineStr">
        <is>
          <t>EV-16-0026</t>
        </is>
      </c>
      <c r="AL336" s="29" t="inlineStr"/>
      <c r="AM336" s="29" t="inlineStr"/>
      <c r="AN336" s="29" t="inlineStr"/>
      <c r="AO336" s="29" t="inlineStr">
        <is>
          <t>8bc0dcb2a1da1b21368c5536aaeef829d587f316</t>
        </is>
      </c>
      <c r="AP336" s="29" t="inlineStr">
        <is>
          <t>Medium</t>
        </is>
      </c>
      <c r="AQ336" s="29" t="inlineStr">
        <is>
          <t>Not assessed</t>
        </is>
      </c>
      <c r="AR336" s="29" t="inlineStr">
        <is>
          <t>Not assessed</t>
        </is>
      </c>
      <c r="AS336" s="29" t="inlineStr">
        <is>
          <t>Fail</t>
        </is>
      </c>
      <c r="AT336" s="29" t="inlineStr">
        <is>
          <t>Not assessed</t>
        </is>
      </c>
      <c r="AU336" s="29" t="inlineStr">
        <is>
          <t>Not assessed</t>
        </is>
      </c>
      <c r="AV336" s="29" t="inlineStr">
        <is>
          <t>Not assessed</t>
        </is>
      </c>
      <c r="AW336" s="29" t="inlineStr">
        <is>
          <t>Not assessed</t>
        </is>
      </c>
      <c r="AX336" s="29" t="inlineStr">
        <is>
          <t>Not assessed</t>
        </is>
      </c>
      <c r="AY336" s="29" t="inlineStr">
        <is>
          <t>Not assessed</t>
        </is>
      </c>
      <c r="AZ336" s="29" t="inlineStr">
        <is>
          <t>Not assessed</t>
        </is>
      </c>
      <c r="BA336" s="29" t="inlineStr">
        <is>
          <t>Not assessed</t>
        </is>
      </c>
      <c r="BB336" s="29" t="inlineStr">
        <is>
          <t>Not assessed</t>
        </is>
      </c>
      <c r="BC336" s="29" t="inlineStr">
        <is>
          <t>Not assessed</t>
        </is>
      </c>
      <c r="BD336" s="29" t="inlineStr">
        <is>
          <t>Not assessed</t>
        </is>
      </c>
      <c r="BE336" s="29" t="inlineStr">
        <is>
          <t>Development required</t>
        </is>
      </c>
      <c r="BF336" s="29" t="inlineStr">
        <is>
          <t>Physical implementation is not complete against the stated requirement.; No client-side UI to display video-processing status to the end user; no post-level processing-status field visible in feed.</t>
        </is>
      </c>
      <c r="BG336" s="29" t="inlineStr">
        <is>
          <t>Source evidence of client-side processing-status display</t>
        </is>
      </c>
      <c r="BH336" s="29" t="inlineStr"/>
      <c r="BI336" s="29" t="inlineStr"/>
      <c r="BJ336" s="29" t="inlineStr"/>
      <c r="BK336" s="29" t="inlineStr">
        <is>
          <t>Evidence reconciled against the reviewed source revision. No production approval is inferred from implementation or file presence.</t>
        </is>
      </c>
      <c r="BL336" s="29" t="inlineStr">
        <is>
          <t>2026-08-02</t>
        </is>
      </c>
    </row>
    <row r="337" ht="42" customHeight="1">
      <c r="A337" s="29" t="inlineStr">
        <is>
          <t>BLYP-16-021</t>
        </is>
      </c>
      <c r="B337" s="29" t="inlineStr"/>
      <c r="C337" s="29" t="inlineStr">
        <is>
          <t>Content creation and publishing pipeline</t>
        </is>
      </c>
      <c r="D337" s="29" t="n">
        <v>16</v>
      </c>
      <c r="E337" s="29" t="n">
        <v>21</v>
      </c>
      <c r="F337" s="29" t="inlineStr">
        <is>
          <t>Feature</t>
        </is>
      </c>
      <c r="G337" s="29" t="inlineStr">
        <is>
          <t>Duplicate-publish prevention</t>
        </is>
      </c>
      <c r="H337" s="29" t="inlineStr">
        <is>
          <t>Duplicate-publish prevention</t>
        </is>
      </c>
      <c r="I337" s="29" t="inlineStr">
        <is>
          <t>/home/ubuntu/blyp_product_requirements.md :: Section 16 — Content creation and publishing pipeline</t>
        </is>
      </c>
      <c r="J337" s="29" t="inlineStr">
        <is>
          <t>/home/ubuntu/BLYP_COMPLETE_FEATURE_LIST.md:426</t>
        </is>
      </c>
      <c r="K337" s="29" t="inlineStr">
        <is>
          <t>Required</t>
        </is>
      </c>
      <c r="L337" s="29" t="inlineStr">
        <is>
          <t>Authenticated creator or host</t>
        </is>
      </c>
      <c r="M337" s="29" t="inlineStr">
        <is>
          <t>BLYP mobile application and supporting production services</t>
        </is>
      </c>
      <c r="N337" s="29" t="inlineStr">
        <is>
          <t>Duplicate-publish prevention</t>
        </is>
      </c>
      <c r="O337" s="29" t="inlineStr">
        <is>
          <t>Not explicitly defined in the product source; requires accountable product approval before production sign-off.</t>
        </is>
      </c>
      <c r="P337" s="29" t="inlineStr">
        <is>
          <t>None</t>
        </is>
      </c>
      <c r="Q337" s="29" t="inlineStr">
        <is>
          <t>Partial</t>
        </is>
      </c>
      <c r="R337" s="29" t="inlineStr"/>
      <c r="S337" s="29" t="inlineStr">
        <is>
          <t>Partial</t>
        </is>
      </c>
      <c r="T337" s="29" t="inlineStr">
        <is>
          <t>ReviewScreen.js – post button disabled while isUploading</t>
        </is>
      </c>
      <c r="U337" s="29" t="inlineStr">
        <is>
          <t>ReviewScreen.js – disabled post button (line 2702-2704)</t>
        </is>
      </c>
      <c r="V337" s="29" t="inlineStr">
        <is>
          <t>isUploading state gate</t>
        </is>
      </c>
      <c r="W337" s="29" t="inlineStr">
        <is>
          <t>None</t>
        </is>
      </c>
      <c r="X337" s="29" t="inlineStr">
        <is>
          <t>None</t>
        </is>
      </c>
      <c r="Y337" s="29" t="inlineStr">
        <is>
          <t>None</t>
        </is>
      </c>
      <c r="Z337" s="29" t="inlineStr">
        <is>
          <t>None</t>
        </is>
      </c>
      <c r="AA337" s="29" t="inlineStr">
        <is>
          <t>None</t>
        </is>
      </c>
      <c r="AB337" s="29" t="inlineStr">
        <is>
          <t>Expo mobile binary</t>
        </is>
      </c>
      <c r="AC337" s="29" t="inlineStr"/>
      <c r="AD337" s="29" t="inlineStr">
        <is>
          <t>Post button disabled while isUploading is true, preventing second tap. No server-side idempotency key or deduplication.</t>
        </is>
      </c>
      <c r="AE337" s="29" t="inlineStr">
        <is>
          <t>User reachable</t>
        </is>
      </c>
      <c r="AF337" s="29" t="inlineStr">
        <is>
          <t>ReviewScreen.js – post button disabled while isUploading; Post button disabled while isUploading is true, preventing second tap. No server-side idempotency key or deduplication.</t>
        </is>
      </c>
      <c r="AG337" s="29" t="inlineStr">
        <is>
          <t>Incomplete</t>
        </is>
      </c>
      <c r="AH337" s="29" t="inlineStr">
        <is>
          <t>No</t>
        </is>
      </c>
      <c r="AI337" s="29" t="inlineStr">
        <is>
          <t>UI-only guard; no server-side idempotency; rapid double-tap before isUploading sets could still submit twice.</t>
        </is>
      </c>
      <c r="AJ337" s="29" t="inlineStr">
        <is>
          <t>Source traced</t>
        </is>
      </c>
      <c r="AK337" s="29" t="inlineStr">
        <is>
          <t>EV-16-0027</t>
        </is>
      </c>
      <c r="AL337" s="29" t="inlineStr"/>
      <c r="AM337" s="29" t="inlineStr"/>
      <c r="AN337" s="29" t="inlineStr"/>
      <c r="AO337" s="29" t="inlineStr">
        <is>
          <t>8bc0dcb2a1da1b21368c5536aaeef829d587f316</t>
        </is>
      </c>
      <c r="AP337" s="29" t="inlineStr">
        <is>
          <t>High</t>
        </is>
      </c>
      <c r="AQ337" s="29" t="inlineStr">
        <is>
          <t>Not assessed</t>
        </is>
      </c>
      <c r="AR337" s="29" t="inlineStr">
        <is>
          <t>Not assessed</t>
        </is>
      </c>
      <c r="AS337" s="29" t="inlineStr">
        <is>
          <t>Fail</t>
        </is>
      </c>
      <c r="AT337" s="29" t="inlineStr">
        <is>
          <t>Not assessed</t>
        </is>
      </c>
      <c r="AU337" s="29" t="inlineStr">
        <is>
          <t>Not assessed</t>
        </is>
      </c>
      <c r="AV337" s="29" t="inlineStr">
        <is>
          <t>Not assessed</t>
        </is>
      </c>
      <c r="AW337" s="29" t="inlineStr">
        <is>
          <t>Not assessed</t>
        </is>
      </c>
      <c r="AX337" s="29" t="inlineStr">
        <is>
          <t>Not assessed</t>
        </is>
      </c>
      <c r="AY337" s="29" t="inlineStr">
        <is>
          <t>Not assessed</t>
        </is>
      </c>
      <c r="AZ337" s="29" t="inlineStr">
        <is>
          <t>Not assessed</t>
        </is>
      </c>
      <c r="BA337" s="29" t="inlineStr">
        <is>
          <t>Not assessed</t>
        </is>
      </c>
      <c r="BB337" s="29" t="inlineStr">
        <is>
          <t>Not assessed</t>
        </is>
      </c>
      <c r="BC337" s="29" t="inlineStr">
        <is>
          <t>Not assessed</t>
        </is>
      </c>
      <c r="BD337" s="29" t="inlineStr">
        <is>
          <t>Not assessed</t>
        </is>
      </c>
      <c r="BE337" s="29" t="inlineStr">
        <is>
          <t>Development required</t>
        </is>
      </c>
      <c r="BF337" s="29" t="inlineStr">
        <is>
          <t>Physical implementation is not complete against the stated requirement.; UI-only guard; no server-side idempotency; rapid double-tap before isUploading sets could still submit twice.</t>
        </is>
      </c>
      <c r="BG337" s="29" t="inlineStr">
        <is>
          <t>Confirm server-side idempotency requirement</t>
        </is>
      </c>
      <c r="BH337" s="29" t="inlineStr"/>
      <c r="BI337" s="29" t="inlineStr"/>
      <c r="BJ337" s="29" t="inlineStr"/>
      <c r="BK337" s="29" t="inlineStr">
        <is>
          <t>Evidence reconciled against the reviewed source revision. No production approval is inferred from implementation or file presence.</t>
        </is>
      </c>
      <c r="BL337" s="29" t="inlineStr">
        <is>
          <t>2026-08-02</t>
        </is>
      </c>
    </row>
    <row r="338" ht="42" customHeight="1">
      <c r="A338" s="29" t="inlineStr">
        <is>
          <t>BLYP-16-022</t>
        </is>
      </c>
      <c r="B338" s="29" t="inlineStr"/>
      <c r="C338" s="29" t="inlineStr">
        <is>
          <t>Content creation and publishing pipeline</t>
        </is>
      </c>
      <c r="D338" s="29" t="n">
        <v>16</v>
      </c>
      <c r="E338" s="29" t="n">
        <v>22</v>
      </c>
      <c r="F338" s="29" t="inlineStr">
        <is>
          <t>Feature</t>
        </is>
      </c>
      <c r="G338" s="29" t="inlineStr">
        <is>
          <t>Normalised Firestore post schema</t>
        </is>
      </c>
      <c r="H338" s="29" t="inlineStr">
        <is>
          <t>Normalised Firestore post schema</t>
        </is>
      </c>
      <c r="I338" s="29" t="inlineStr">
        <is>
          <t>/home/ubuntu/blyp_product_requirements.md :: Section 16 — Content creation and publishing pipeline</t>
        </is>
      </c>
      <c r="J338" s="29" t="inlineStr">
        <is>
          <t>/home/ubuntu/BLYP_COMPLETE_FEATURE_LIST.md:427</t>
        </is>
      </c>
      <c r="K338" s="29" t="inlineStr">
        <is>
          <t>Required</t>
        </is>
      </c>
      <c r="L338" s="29" t="inlineStr">
        <is>
          <t>Authenticated creator or host</t>
        </is>
      </c>
      <c r="M338" s="29" t="inlineStr">
        <is>
          <t>BLYP mobile application and supporting production services</t>
        </is>
      </c>
      <c r="N338" s="29" t="inlineStr">
        <is>
          <t>Normalised Firestore post schema</t>
        </is>
      </c>
      <c r="O338" s="29" t="inlineStr">
        <is>
          <t>Not explicitly defined in the product source; requires accountable product approval before production sign-off.</t>
        </is>
      </c>
      <c r="P338" s="29" t="inlineStr">
        <is>
          <t>Firebase Firestore; Firestore 'posts' collection; Firestore rules</t>
        </is>
      </c>
      <c r="Q338" s="29" t="inlineStr">
        <is>
          <t>Yes</t>
        </is>
      </c>
      <c r="R338" s="29" t="inlineStr"/>
      <c r="S338" s="29" t="inlineStr">
        <is>
          <t>End-to-end present</t>
        </is>
      </c>
      <c r="T338" s="29" t="inlineStr">
        <is>
          <t>ReviewScreen.js – handlePost</t>
        </is>
      </c>
      <c r="U338" s="29" t="inlineStr">
        <is>
          <t>None (schema is data-layer)</t>
        </is>
      </c>
      <c r="V338" s="29" t="inlineStr">
        <is>
          <t>postData object construction</t>
        </is>
      </c>
      <c r="W338" s="29" t="inlineStr">
        <is>
          <t>None – client writes directly to Firestore</t>
        </is>
      </c>
      <c r="X338" s="29" t="inlineStr">
        <is>
          <t>Firestore 'posts' collection</t>
        </is>
      </c>
      <c r="Y338" s="29" t="inlineStr">
        <is>
          <t>None</t>
        </is>
      </c>
      <c r="Z338" s="29" t="inlineStr">
        <is>
          <t>Firebase Firestore</t>
        </is>
      </c>
      <c r="AA338" s="29" t="inlineStr">
        <is>
          <t>Firestore rules</t>
        </is>
      </c>
      <c r="AB338" s="29" t="inlineStr">
        <is>
          <t>Expo mobile binary</t>
        </is>
      </c>
      <c r="AC338" s="29" t="inlineStr"/>
      <c r="AD338" s="29" t="inlineStr">
        <is>
          <t>handlePost constructs postData with all required fields and writes to Firestore posts collection via firestore.collection('posts').add(postData).</t>
        </is>
      </c>
      <c r="AE338" s="29" t="inlineStr">
        <is>
          <t>User reachable</t>
        </is>
      </c>
      <c r="AF338" s="29" t="inlineStr">
        <is>
          <t>ReviewScreen.js – handlePost; handlePost constructs postData with all required fields and writes to Firestore posts collection via firestore.collection('posts').add(postData).</t>
        </is>
      </c>
      <c r="AG338" s="29" t="inlineStr">
        <is>
          <t>Complete against stated requirement</t>
        </is>
      </c>
      <c r="AH338" s="29" t="inlineStr">
        <is>
          <t>Yes</t>
        </is>
      </c>
      <c r="AI338" s="29" t="inlineStr">
        <is>
          <t>No schema migration or version field; schema is implicit</t>
        </is>
      </c>
      <c r="AJ338" s="29" t="inlineStr">
        <is>
          <t>Source traced</t>
        </is>
      </c>
      <c r="AK338" s="29" t="inlineStr">
        <is>
          <t>EV-16-0028</t>
        </is>
      </c>
      <c r="AL338" s="29" t="inlineStr"/>
      <c r="AM338" s="29" t="inlineStr"/>
      <c r="AN338" s="29" t="inlineStr"/>
      <c r="AO338" s="29" t="inlineStr">
        <is>
          <t>8bc0dcb2a1da1b21368c5536aaeef829d587f316</t>
        </is>
      </c>
      <c r="AP338" s="29" t="inlineStr">
        <is>
          <t>High</t>
        </is>
      </c>
      <c r="AQ338" s="29" t="inlineStr">
        <is>
          <t>Not assessed</t>
        </is>
      </c>
      <c r="AR338" s="29" t="inlineStr">
        <is>
          <t>Not assessed</t>
        </is>
      </c>
      <c r="AS338" s="29" t="inlineStr">
        <is>
          <t>Not assessed</t>
        </is>
      </c>
      <c r="AT338" s="29" t="inlineStr">
        <is>
          <t>Not assessed</t>
        </is>
      </c>
      <c r="AU338" s="29" t="inlineStr">
        <is>
          <t>Not assessed</t>
        </is>
      </c>
      <c r="AV338" s="29" t="inlineStr">
        <is>
          <t>Not assessed</t>
        </is>
      </c>
      <c r="AW338" s="29" t="inlineStr">
        <is>
          <t>Not assessed</t>
        </is>
      </c>
      <c r="AX338" s="29" t="inlineStr">
        <is>
          <t>Not assessed</t>
        </is>
      </c>
      <c r="AY338" s="29" t="inlineStr">
        <is>
          <t>Not assessed</t>
        </is>
      </c>
      <c r="AZ338" s="29" t="inlineStr">
        <is>
          <t>Not assessed</t>
        </is>
      </c>
      <c r="BA338" s="29" t="inlineStr">
        <is>
          <t>Not assessed</t>
        </is>
      </c>
      <c r="BB338" s="29" t="inlineStr">
        <is>
          <t>Not assessed</t>
        </is>
      </c>
      <c r="BC338" s="29" t="inlineStr">
        <is>
          <t>Not assessed</t>
        </is>
      </c>
      <c r="BD338" s="29" t="inlineStr">
        <is>
          <t>Not assessed</t>
        </is>
      </c>
      <c r="BE338" s="29" t="inlineStr">
        <is>
          <t>Ready for production validation</t>
        </is>
      </c>
      <c r="BF338" s="29" t="inlineStr">
        <is>
          <t>Applicable production gates and acceptance checks have not been completed on an approved release candidate.</t>
        </is>
      </c>
      <c r="BG338" s="29" t="inlineStr"/>
      <c r="BH338" s="29" t="inlineStr"/>
      <c r="BI338" s="29" t="inlineStr"/>
      <c r="BJ338" s="29" t="inlineStr"/>
      <c r="BK338" s="29" t="inlineStr">
        <is>
          <t>Evidence reconciled against the reviewed source revision. No production approval is inferred from implementation or file presence.</t>
        </is>
      </c>
      <c r="BL338" s="29" t="inlineStr">
        <is>
          <t>2026-08-02</t>
        </is>
      </c>
    </row>
    <row r="339" ht="42" customHeight="1">
      <c r="A339" s="29" t="inlineStr">
        <is>
          <t>BLYP-16-023</t>
        </is>
      </c>
      <c r="B339" s="29" t="inlineStr"/>
      <c r="C339" s="29" t="inlineStr">
        <is>
          <t>Content creation and publishing pipeline</t>
        </is>
      </c>
      <c r="D339" s="29" t="n">
        <v>16</v>
      </c>
      <c r="E339" s="29" t="n">
        <v>23</v>
      </c>
      <c r="F339" s="29" t="inlineStr">
        <is>
          <t>Feature</t>
        </is>
      </c>
      <c r="G339" s="29" t="inlineStr">
        <is>
          <t>Null-safe Firestore writes</t>
        </is>
      </c>
      <c r="H339" s="29" t="inlineStr">
        <is>
          <t>Null-safe Firestore writes</t>
        </is>
      </c>
      <c r="I339" s="29" t="inlineStr">
        <is>
          <t>/home/ubuntu/blyp_product_requirements.md :: Section 16 — Content creation and publishing pipeline</t>
        </is>
      </c>
      <c r="J339" s="29" t="inlineStr">
        <is>
          <t>/home/ubuntu/BLYP_COMPLETE_FEATURE_LIST.md:428</t>
        </is>
      </c>
      <c r="K339" s="29" t="inlineStr">
        <is>
          <t>Required</t>
        </is>
      </c>
      <c r="L339" s="29" t="inlineStr">
        <is>
          <t>Authenticated creator or host</t>
        </is>
      </c>
      <c r="M339" s="29" t="inlineStr">
        <is>
          <t>BLYP mobile application and supporting production services</t>
        </is>
      </c>
      <c r="N339" s="29" t="inlineStr">
        <is>
          <t>Null-safe Firestore writes</t>
        </is>
      </c>
      <c r="O339" s="29" t="inlineStr">
        <is>
          <t>Not explicitly defined in the product source; requires accountable product approval before production sign-off.</t>
        </is>
      </c>
      <c r="P339" s="29" t="inlineStr">
        <is>
          <t>Firebase Firestore; Firestore 'posts' collection; None</t>
        </is>
      </c>
      <c r="Q339" s="29" t="inlineStr">
        <is>
          <t>Yes</t>
        </is>
      </c>
      <c r="R339" s="29" t="inlineStr"/>
      <c r="S339" s="29" t="inlineStr">
        <is>
          <t>Partial</t>
        </is>
      </c>
      <c r="T339" s="29" t="inlineStr">
        <is>
          <t>ReviewScreen.js – uploadMedia / handlePost</t>
        </is>
      </c>
      <c r="U339" s="29" t="inlineStr">
        <is>
          <t>None (data-layer)</t>
        </is>
      </c>
      <c r="V339" s="29" t="inlineStr">
        <is>
          <t>thumbnailUrl || null guard</t>
        </is>
      </c>
      <c r="W339" s="29" t="inlineStr">
        <is>
          <t>None</t>
        </is>
      </c>
      <c r="X339" s="29" t="inlineStr">
        <is>
          <t>Firestore 'posts' collection</t>
        </is>
      </c>
      <c r="Y339" s="29" t="inlineStr">
        <is>
          <t>None</t>
        </is>
      </c>
      <c r="Z339" s="29" t="inlineStr">
        <is>
          <t>Firebase Firestore</t>
        </is>
      </c>
      <c r="AA339" s="29" t="inlineStr">
        <is>
          <t>None</t>
        </is>
      </c>
      <c r="AB339" s="29" t="inlineStr">
        <is>
          <t>Expo mobile binary</t>
        </is>
      </c>
      <c r="AC339" s="29" t="inlineStr"/>
      <c r="AD339" s="29" t="inlineStr">
        <is>
          <t>thumbnail field explicitly coerced to null before Firestore write. Comment explains Firestore rejects undefined. Not all optional fields have explicit null guards.</t>
        </is>
      </c>
      <c r="AE339" s="29" t="inlineStr">
        <is>
          <t>User reachable</t>
        </is>
      </c>
      <c r="AF339" s="29" t="inlineStr">
        <is>
          <t>ReviewScreen.js – uploadMedia / handlePost; thumbnail field explicitly coerced to null before Firestore write. Comment explains Firestore rejects undefined. Not all optional fields have explicit null guards.</t>
        </is>
      </c>
      <c r="AG339" s="29" t="inlineStr">
        <is>
          <t>Incomplete</t>
        </is>
      </c>
      <c r="AH339" s="29" t="inlineStr">
        <is>
          <t>No</t>
        </is>
      </c>
      <c r="AI339" s="29" t="inlineStr">
        <is>
          <t>Only thumbnail field has explicit null guard; other optional fields (userPhotoURL, videoUrl, imageUrl, audioUrl) may be undefined in some paths.</t>
        </is>
      </c>
      <c r="AJ339" s="29" t="inlineStr">
        <is>
          <t>Source traced</t>
        </is>
      </c>
      <c r="AK339" s="29" t="inlineStr">
        <is>
          <t>EV-16-0029; EV-16-0030</t>
        </is>
      </c>
      <c r="AL339" s="29" t="inlineStr"/>
      <c r="AM339" s="29" t="inlineStr"/>
      <c r="AN339" s="29" t="inlineStr"/>
      <c r="AO339" s="29" t="inlineStr">
        <is>
          <t>8bc0dcb2a1da1b21368c5536aaeef829d587f316</t>
        </is>
      </c>
      <c r="AP339" s="29" t="inlineStr">
        <is>
          <t>Medium</t>
        </is>
      </c>
      <c r="AQ339" s="29" t="inlineStr">
        <is>
          <t>Not assessed</t>
        </is>
      </c>
      <c r="AR339" s="29" t="inlineStr">
        <is>
          <t>Not assessed</t>
        </is>
      </c>
      <c r="AS339" s="29" t="inlineStr">
        <is>
          <t>Fail</t>
        </is>
      </c>
      <c r="AT339" s="29" t="inlineStr">
        <is>
          <t>Not assessed</t>
        </is>
      </c>
      <c r="AU339" s="29" t="inlineStr">
        <is>
          <t>Not assessed</t>
        </is>
      </c>
      <c r="AV339" s="29" t="inlineStr">
        <is>
          <t>Not assessed</t>
        </is>
      </c>
      <c r="AW339" s="29" t="inlineStr">
        <is>
          <t>Not assessed</t>
        </is>
      </c>
      <c r="AX339" s="29" t="inlineStr">
        <is>
          <t>Not assessed</t>
        </is>
      </c>
      <c r="AY339" s="29" t="inlineStr">
        <is>
          <t>Not assessed</t>
        </is>
      </c>
      <c r="AZ339" s="29" t="inlineStr">
        <is>
          <t>Not assessed</t>
        </is>
      </c>
      <c r="BA339" s="29" t="inlineStr">
        <is>
          <t>Not assessed</t>
        </is>
      </c>
      <c r="BB339" s="29" t="inlineStr">
        <is>
          <t>Not assessed</t>
        </is>
      </c>
      <c r="BC339" s="29" t="inlineStr">
        <is>
          <t>Not assessed</t>
        </is>
      </c>
      <c r="BD339" s="29" t="inlineStr">
        <is>
          <t>Not assessed</t>
        </is>
      </c>
      <c r="BE339" s="29" t="inlineStr">
        <is>
          <t>Development required</t>
        </is>
      </c>
      <c r="BF339" s="29" t="inlineStr">
        <is>
          <t>Physical implementation is not complete against the stated requirement.; Only thumbnail field has explicit null guard; other optional fields (userPhotoURL, videoUrl, imageUrl, audioUrl) may be undefined in some paths.</t>
        </is>
      </c>
      <c r="BG339" s="29" t="inlineStr">
        <is>
          <t>Audit all optional postData fields for undefined-to-null coercion</t>
        </is>
      </c>
      <c r="BH339" s="29" t="inlineStr"/>
      <c r="BI339" s="29" t="inlineStr"/>
      <c r="BJ339" s="29" t="inlineStr"/>
      <c r="BK339" s="29" t="inlineStr">
        <is>
          <t>Evidence reconciled against the reviewed source revision. No production approval is inferred from implementation or file presence.</t>
        </is>
      </c>
      <c r="BL339" s="29" t="inlineStr">
        <is>
          <t>2026-08-02</t>
        </is>
      </c>
    </row>
    <row r="340" ht="42" customHeight="1">
      <c r="A340" s="29" t="inlineStr">
        <is>
          <t>BLYP-17-001</t>
        </is>
      </c>
      <c r="B340" s="29" t="inlineStr"/>
      <c r="C340" s="29" t="inlineStr">
        <is>
          <t>Connected-account cross-posting</t>
        </is>
      </c>
      <c r="D340" s="29" t="n">
        <v>17</v>
      </c>
      <c r="E340" s="29" t="n">
        <v>1</v>
      </c>
      <c r="F340" s="29" t="inlineStr">
        <is>
          <t>Feature</t>
        </is>
      </c>
      <c r="G340" s="29" t="inlineStr">
        <is>
          <t>External-platform selection controls</t>
        </is>
      </c>
      <c r="H340" s="29" t="inlineStr">
        <is>
          <t>External-platform selection controls</t>
        </is>
      </c>
      <c r="I340" s="29" t="inlineStr">
        <is>
          <t>/home/ubuntu/blyp_product_requirements.md :: Section 17 — Connected-account cross-posting</t>
        </is>
      </c>
      <c r="J340" s="29" t="inlineStr">
        <is>
          <t>/home/ubuntu/BLYP_COMPLETE_FEATURE_LIST.md:434</t>
        </is>
      </c>
      <c r="K340" s="29" t="inlineStr">
        <is>
          <t>Required</t>
        </is>
      </c>
      <c r="L340" s="29" t="inlineStr">
        <is>
          <t>Applicable BLYP member</t>
        </is>
      </c>
      <c r="M340" s="29" t="inlineStr">
        <is>
          <t>BLYP mobile application and supporting production services</t>
        </is>
      </c>
      <c r="N340" s="29" t="inlineStr">
        <is>
          <t>External-platform selection controls</t>
        </is>
      </c>
      <c r="O340" s="29" t="inlineStr">
        <is>
          <t>Not explicitly defined in the product source; requires accountable product approval before production sign-off.</t>
        </is>
      </c>
      <c r="P340" s="29" t="inlineStr"/>
      <c r="Q340" s="29" t="inlineStr">
        <is>
          <t>Yes</t>
        </is>
      </c>
      <c r="R340" s="29" t="inlineStr"/>
      <c r="S340" s="29" t="inlineStr">
        <is>
          <t>UI only</t>
        </is>
      </c>
      <c r="T340" s="29" t="inlineStr">
        <is>
          <t>ReviewScreen</t>
        </is>
      </c>
      <c r="U340" s="29" t="inlineStr">
        <is>
          <t>renderPlatformButton</t>
        </is>
      </c>
      <c r="V340" s="29" t="inlineStr">
        <is>
          <t>selectedPlatforms</t>
        </is>
      </c>
      <c r="W340" s="29" t="inlineStr">
        <is>
          <t>Not found</t>
        </is>
      </c>
      <c r="X340" s="29" t="inlineStr">
        <is>
          <t>Not found</t>
        </is>
      </c>
      <c r="Y340" s="29" t="inlineStr">
        <is>
          <t>Not found</t>
        </is>
      </c>
      <c r="Z340" s="29" t="inlineStr">
        <is>
          <t>Not found</t>
        </is>
      </c>
      <c r="AA340" s="29" t="inlineStr">
        <is>
          <t>Not found</t>
        </is>
      </c>
      <c r="AB340" s="29" t="inlineStr">
        <is>
          <t>Unknown</t>
        </is>
      </c>
      <c r="AC340" s="29" t="inlineStr"/>
      <c r="AD340" s="29" t="inlineStr">
        <is>
          <t>Unknown</t>
        </is>
      </c>
      <c r="AE340" s="29" t="inlineStr">
        <is>
          <t>User reachable</t>
        </is>
      </c>
      <c r="AF340" s="29" t="inlineStr">
        <is>
          <t>ReviewScreen</t>
        </is>
      </c>
      <c r="AG340" s="29" t="inlineStr">
        <is>
          <t>Incomplete</t>
        </is>
      </c>
      <c r="AH340" s="29" t="inlineStr">
        <is>
          <t>No</t>
        </is>
      </c>
      <c r="AI340" s="29" t="inlineStr">
        <is>
          <t>No backend implementation to actually use the selection.</t>
        </is>
      </c>
      <c r="AJ340" s="29" t="inlineStr">
        <is>
          <t>Not verified</t>
        </is>
      </c>
      <c r="AK340" s="29" t="inlineStr">
        <is>
          <t>EV-17-0001;EV-17-0002</t>
        </is>
      </c>
      <c r="AL340" s="29" t="inlineStr"/>
      <c r="AM340" s="29" t="inlineStr"/>
      <c r="AN340" s="29" t="inlineStr"/>
      <c r="AO340" s="29" t="inlineStr">
        <is>
          <t>8bc0dcb2a1da1b21368c5536aaeef829d587f316</t>
        </is>
      </c>
      <c r="AP340" s="29" t="inlineStr">
        <is>
          <t>High</t>
        </is>
      </c>
      <c r="AQ340" s="29" t="inlineStr">
        <is>
          <t>Not assessed</t>
        </is>
      </c>
      <c r="AR340" s="29" t="inlineStr">
        <is>
          <t>Not assessed</t>
        </is>
      </c>
      <c r="AS340" s="29" t="inlineStr">
        <is>
          <t>Fail</t>
        </is>
      </c>
      <c r="AT340" s="29" t="inlineStr">
        <is>
          <t>Not assessed</t>
        </is>
      </c>
      <c r="AU340" s="29" t="inlineStr">
        <is>
          <t>Not assessed</t>
        </is>
      </c>
      <c r="AV340" s="29" t="inlineStr">
        <is>
          <t>Not assessed</t>
        </is>
      </c>
      <c r="AW340" s="29" t="inlineStr">
        <is>
          <t>Not assessed</t>
        </is>
      </c>
      <c r="AX340" s="29" t="inlineStr">
        <is>
          <t>Not assessed</t>
        </is>
      </c>
      <c r="AY340" s="29" t="inlineStr">
        <is>
          <t>Not assessed</t>
        </is>
      </c>
      <c r="AZ340" s="29" t="inlineStr">
        <is>
          <t>Not assessed</t>
        </is>
      </c>
      <c r="BA340" s="29" t="inlineStr">
        <is>
          <t>Not assessed</t>
        </is>
      </c>
      <c r="BB340" s="29" t="inlineStr">
        <is>
          <t>Not assessed</t>
        </is>
      </c>
      <c r="BC340" s="29" t="inlineStr">
        <is>
          <t>Not assessed</t>
        </is>
      </c>
      <c r="BD340" s="29" t="inlineStr">
        <is>
          <t>Not assessed</t>
        </is>
      </c>
      <c r="BE340" s="29" t="inlineStr">
        <is>
          <t>Development required</t>
        </is>
      </c>
      <c r="BF340" s="29" t="inlineStr">
        <is>
          <t>Missing backend implementation; Physical implementation is not complete against the stated requirement.; No backend implementation to actually use the selection.</t>
        </is>
      </c>
      <c r="BG340" s="29" t="inlineStr">
        <is>
          <t>Backend code for cross-posting</t>
        </is>
      </c>
      <c r="BH340" s="29" t="inlineStr"/>
      <c r="BI340" s="29" t="inlineStr"/>
      <c r="BJ340" s="29" t="inlineStr"/>
      <c r="BK340" s="29" t="inlineStr">
        <is>
          <t>Evidence reconciled against the reviewed source revision. No production approval is inferred from implementation or file presence.</t>
        </is>
      </c>
      <c r="BL340" s="29" t="inlineStr">
        <is>
          <t>2026-08-02</t>
        </is>
      </c>
    </row>
    <row r="341" ht="42" customHeight="1">
      <c r="A341" s="29" t="inlineStr">
        <is>
          <t>BLYP-17-002</t>
        </is>
      </c>
      <c r="B341" s="29" t="inlineStr"/>
      <c r="C341" s="29" t="inlineStr">
        <is>
          <t>Connected-account cross-posting</t>
        </is>
      </c>
      <c r="D341" s="29" t="n">
        <v>17</v>
      </c>
      <c r="E341" s="29" t="n">
        <v>2</v>
      </c>
      <c r="F341" s="29" t="inlineStr">
        <is>
          <t>Feature</t>
        </is>
      </c>
      <c r="G341" s="29" t="inlineStr">
        <is>
          <t>Connected external accounts</t>
        </is>
      </c>
      <c r="H341" s="29" t="inlineStr">
        <is>
          <t>Connected external accounts</t>
        </is>
      </c>
      <c r="I341" s="29" t="inlineStr">
        <is>
          <t>/home/ubuntu/blyp_product_requirements.md :: Section 17 — Connected-account cross-posting</t>
        </is>
      </c>
      <c r="J341" s="29" t="inlineStr">
        <is>
          <t>/home/ubuntu/BLYP_COMPLETE_FEATURE_LIST.md:435</t>
        </is>
      </c>
      <c r="K341" s="29" t="inlineStr">
        <is>
          <t>Required</t>
        </is>
      </c>
      <c r="L341" s="29" t="inlineStr">
        <is>
          <t>Applicable BLYP member</t>
        </is>
      </c>
      <c r="M341" s="29" t="inlineStr">
        <is>
          <t>BLYP mobile application and supporting production services</t>
        </is>
      </c>
      <c r="N341" s="29" t="inlineStr">
        <is>
          <t>Connected external accounts</t>
        </is>
      </c>
      <c r="O341" s="29" t="inlineStr">
        <is>
          <t>Not explicitly defined in the product source; requires accountable product approval before production sign-off.</t>
        </is>
      </c>
      <c r="P341" s="29" t="inlineStr"/>
      <c r="Q341" s="29" t="inlineStr">
        <is>
          <t>No evidence</t>
        </is>
      </c>
      <c r="R341" s="29" t="inlineStr"/>
      <c r="S341" s="29" t="inlineStr">
        <is>
          <t>Not found</t>
        </is>
      </c>
      <c r="T341" s="29" t="inlineStr">
        <is>
          <t>Not found</t>
        </is>
      </c>
      <c r="U341" s="29" t="inlineStr">
        <is>
          <t>Not found</t>
        </is>
      </c>
      <c r="V341" s="29" t="inlineStr">
        <is>
          <t>Not found</t>
        </is>
      </c>
      <c r="W341" s="29" t="inlineStr">
        <is>
          <t>Not found</t>
        </is>
      </c>
      <c r="X341" s="29" t="inlineStr">
        <is>
          <t>Not found</t>
        </is>
      </c>
      <c r="Y341" s="29" t="inlineStr">
        <is>
          <t>Not found</t>
        </is>
      </c>
      <c r="Z341" s="29" t="inlineStr">
        <is>
          <t>Not found</t>
        </is>
      </c>
      <c r="AA341" s="29" t="inlineStr">
        <is>
          <t>Not found</t>
        </is>
      </c>
      <c r="AB341" s="29" t="inlineStr">
        <is>
          <t>Unknown</t>
        </is>
      </c>
      <c r="AC341" s="29" t="inlineStr"/>
      <c r="AD341" s="29" t="inlineStr">
        <is>
          <t>Unknown</t>
        </is>
      </c>
      <c r="AE341" s="29" t="inlineStr">
        <is>
          <t>Unknown</t>
        </is>
      </c>
      <c r="AF341" s="29" t="inlineStr"/>
      <c r="AG341" s="29" t="inlineStr">
        <is>
          <t>Unknown</t>
        </is>
      </c>
      <c r="AH341" s="29" t="inlineStr">
        <is>
          <t>Unknown</t>
        </is>
      </c>
      <c r="AI341" s="29" t="inlineStr">
        <is>
          <t>Searched for connected accounts, oauth, external platforms in source.</t>
        </is>
      </c>
      <c r="AJ341" s="29" t="inlineStr">
        <is>
          <t>Not verified</t>
        </is>
      </c>
      <c r="AK341" s="29" t="inlineStr">
        <is>
          <t>EV-17-0004</t>
        </is>
      </c>
      <c r="AL341" s="29" t="inlineStr"/>
      <c r="AM341" s="29" t="inlineStr"/>
      <c r="AN341" s="29" t="inlineStr"/>
      <c r="AO341" s="29" t="inlineStr">
        <is>
          <t>8bc0dcb2a1da1b21368c5536aaeef829d587f316</t>
        </is>
      </c>
      <c r="AP341" s="29" t="inlineStr">
        <is>
          <t>High</t>
        </is>
      </c>
      <c r="AQ341" s="29" t="inlineStr">
        <is>
          <t>Not assessed</t>
        </is>
      </c>
      <c r="AR341" s="29" t="inlineStr">
        <is>
          <t>Not assessed</t>
        </is>
      </c>
      <c r="AS341" s="29" t="inlineStr">
        <is>
          <t>Not assessed</t>
        </is>
      </c>
      <c r="AT341" s="29" t="inlineStr">
        <is>
          <t>Not assessed</t>
        </is>
      </c>
      <c r="AU341" s="29" t="inlineStr">
        <is>
          <t>Not assessed</t>
        </is>
      </c>
      <c r="AV341" s="29" t="inlineStr">
        <is>
          <t>Not assessed</t>
        </is>
      </c>
      <c r="AW341" s="29" t="inlineStr">
        <is>
          <t>Not assessed</t>
        </is>
      </c>
      <c r="AX341" s="29" t="inlineStr">
        <is>
          <t>Not assessed</t>
        </is>
      </c>
      <c r="AY341" s="29" t="inlineStr">
        <is>
          <t>Not assessed</t>
        </is>
      </c>
      <c r="AZ341" s="29" t="inlineStr">
        <is>
          <t>Not assessed</t>
        </is>
      </c>
      <c r="BA341" s="29" t="inlineStr">
        <is>
          <t>Not assessed</t>
        </is>
      </c>
      <c r="BB341" s="29" t="inlineStr">
        <is>
          <t>Not assessed</t>
        </is>
      </c>
      <c r="BC341" s="29" t="inlineStr">
        <is>
          <t>Not assessed</t>
        </is>
      </c>
      <c r="BD341" s="29" t="inlineStr">
        <is>
          <t>Not assessed</t>
        </is>
      </c>
      <c r="BE341" s="29" t="inlineStr">
        <is>
          <t>Development required</t>
        </is>
      </c>
      <c r="BF341" s="29" t="inlineStr">
        <is>
          <t>Missing implementation; Physical implementation is not complete against the stated requirement.; Searched for connected accounts, oauth, external platforms in source.</t>
        </is>
      </c>
      <c r="BG341" s="29" t="inlineStr">
        <is>
          <t>Source code for connected accounts</t>
        </is>
      </c>
      <c r="BH341" s="29" t="inlineStr"/>
      <c r="BI341" s="29" t="inlineStr"/>
      <c r="BJ341" s="29" t="inlineStr"/>
      <c r="BK341" s="29" t="inlineStr">
        <is>
          <t>Evidence reconciled against the reviewed source revision. No production approval is inferred from implementation or file presence.</t>
        </is>
      </c>
      <c r="BL341" s="29" t="inlineStr">
        <is>
          <t>2026-08-02</t>
        </is>
      </c>
    </row>
    <row r="342" ht="42" customHeight="1">
      <c r="A342" s="29" t="inlineStr">
        <is>
          <t>BLYP-17-003</t>
        </is>
      </c>
      <c r="B342" s="29" t="inlineStr"/>
      <c r="C342" s="29" t="inlineStr">
        <is>
          <t>Connected-account cross-posting</t>
        </is>
      </c>
      <c r="D342" s="29" t="n">
        <v>17</v>
      </c>
      <c r="E342" s="29" t="n">
        <v>3</v>
      </c>
      <c r="F342" s="29" t="inlineStr">
        <is>
          <t>Feature</t>
        </is>
      </c>
      <c r="G342" s="29" t="inlineStr">
        <is>
          <t>Official platform OAuth</t>
        </is>
      </c>
      <c r="H342" s="29" t="inlineStr">
        <is>
          <t>Official platform OAuth</t>
        </is>
      </c>
      <c r="I342" s="29" t="inlineStr">
        <is>
          <t>/home/ubuntu/blyp_product_requirements.md :: Section 17 — Connected-account cross-posting</t>
        </is>
      </c>
      <c r="J342" s="29" t="inlineStr">
        <is>
          <t>/home/ubuntu/BLYP_COMPLETE_FEATURE_LIST.md:436</t>
        </is>
      </c>
      <c r="K342" s="29" t="inlineStr">
        <is>
          <t>Required</t>
        </is>
      </c>
      <c r="L342" s="29" t="inlineStr">
        <is>
          <t>Applicable BLYP member</t>
        </is>
      </c>
      <c r="M342" s="29" t="inlineStr">
        <is>
          <t>BLYP mobile application and supporting production services</t>
        </is>
      </c>
      <c r="N342" s="29" t="inlineStr">
        <is>
          <t>Official platform OAuth</t>
        </is>
      </c>
      <c r="O342" s="29" t="inlineStr">
        <is>
          <t>Not explicitly defined in the product source; requires accountable product approval before production sign-off.</t>
        </is>
      </c>
      <c r="P342" s="29" t="inlineStr"/>
      <c r="Q342" s="29" t="inlineStr">
        <is>
          <t>No evidence</t>
        </is>
      </c>
      <c r="R342" s="29" t="inlineStr"/>
      <c r="S342" s="29" t="inlineStr">
        <is>
          <t>Not found</t>
        </is>
      </c>
      <c r="T342" s="29" t="inlineStr">
        <is>
          <t>Not found</t>
        </is>
      </c>
      <c r="U342" s="29" t="inlineStr">
        <is>
          <t>Not found</t>
        </is>
      </c>
      <c r="V342" s="29" t="inlineStr">
        <is>
          <t>Not found</t>
        </is>
      </c>
      <c r="W342" s="29" t="inlineStr">
        <is>
          <t>Not found</t>
        </is>
      </c>
      <c r="X342" s="29" t="inlineStr">
        <is>
          <t>Not found</t>
        </is>
      </c>
      <c r="Y342" s="29" t="inlineStr">
        <is>
          <t>Not found</t>
        </is>
      </c>
      <c r="Z342" s="29" t="inlineStr">
        <is>
          <t>Not found</t>
        </is>
      </c>
      <c r="AA342" s="29" t="inlineStr">
        <is>
          <t>Not found</t>
        </is>
      </c>
      <c r="AB342" s="29" t="inlineStr">
        <is>
          <t>Unknown</t>
        </is>
      </c>
      <c r="AC342" s="29" t="inlineStr"/>
      <c r="AD342" s="29" t="inlineStr">
        <is>
          <t>Unknown</t>
        </is>
      </c>
      <c r="AE342" s="29" t="inlineStr">
        <is>
          <t>Unknown</t>
        </is>
      </c>
      <c r="AF342" s="29" t="inlineStr"/>
      <c r="AG342" s="29" t="inlineStr">
        <is>
          <t>Unknown</t>
        </is>
      </c>
      <c r="AH342" s="29" t="inlineStr">
        <is>
          <t>Unknown</t>
        </is>
      </c>
      <c r="AI342" s="29" t="inlineStr">
        <is>
          <t>Searched for oauth in source.</t>
        </is>
      </c>
      <c r="AJ342" s="29" t="inlineStr">
        <is>
          <t>Not verified</t>
        </is>
      </c>
      <c r="AK342" s="29" t="inlineStr">
        <is>
          <t>EV-17-0004</t>
        </is>
      </c>
      <c r="AL342" s="29" t="inlineStr"/>
      <c r="AM342" s="29" t="inlineStr"/>
      <c r="AN342" s="29" t="inlineStr"/>
      <c r="AO342" s="29" t="inlineStr">
        <is>
          <t>8bc0dcb2a1da1b21368c5536aaeef829d587f316</t>
        </is>
      </c>
      <c r="AP342" s="29" t="inlineStr">
        <is>
          <t>High</t>
        </is>
      </c>
      <c r="AQ342" s="29" t="inlineStr">
        <is>
          <t>Not assessed</t>
        </is>
      </c>
      <c r="AR342" s="29" t="inlineStr">
        <is>
          <t>Not assessed</t>
        </is>
      </c>
      <c r="AS342" s="29" t="inlineStr">
        <is>
          <t>Not assessed</t>
        </is>
      </c>
      <c r="AT342" s="29" t="inlineStr">
        <is>
          <t>Not assessed</t>
        </is>
      </c>
      <c r="AU342" s="29" t="inlineStr">
        <is>
          <t>Not assessed</t>
        </is>
      </c>
      <c r="AV342" s="29" t="inlineStr">
        <is>
          <t>Not assessed</t>
        </is>
      </c>
      <c r="AW342" s="29" t="inlineStr">
        <is>
          <t>Not assessed</t>
        </is>
      </c>
      <c r="AX342" s="29" t="inlineStr">
        <is>
          <t>Not assessed</t>
        </is>
      </c>
      <c r="AY342" s="29" t="inlineStr">
        <is>
          <t>Not assessed</t>
        </is>
      </c>
      <c r="AZ342" s="29" t="inlineStr">
        <is>
          <t>Not assessed</t>
        </is>
      </c>
      <c r="BA342" s="29" t="inlineStr">
        <is>
          <t>Not assessed</t>
        </is>
      </c>
      <c r="BB342" s="29" t="inlineStr">
        <is>
          <t>Not assessed</t>
        </is>
      </c>
      <c r="BC342" s="29" t="inlineStr">
        <is>
          <t>Not assessed</t>
        </is>
      </c>
      <c r="BD342" s="29" t="inlineStr">
        <is>
          <t>Not assessed</t>
        </is>
      </c>
      <c r="BE342" s="29" t="inlineStr">
        <is>
          <t>Development required</t>
        </is>
      </c>
      <c r="BF342" s="29" t="inlineStr">
        <is>
          <t>Missing implementation; Physical implementation is not complete against the stated requirement.; Searched for oauth in source.</t>
        </is>
      </c>
      <c r="BG342" s="29" t="inlineStr">
        <is>
          <t>Source code for oauth</t>
        </is>
      </c>
      <c r="BH342" s="29" t="inlineStr"/>
      <c r="BI342" s="29" t="inlineStr"/>
      <c r="BJ342" s="29" t="inlineStr"/>
      <c r="BK342" s="29" t="inlineStr">
        <is>
          <t>Evidence reconciled against the reviewed source revision. No production approval is inferred from implementation or file presence.</t>
        </is>
      </c>
      <c r="BL342" s="29" t="inlineStr">
        <is>
          <t>2026-08-02</t>
        </is>
      </c>
    </row>
    <row r="343" ht="42" customHeight="1">
      <c r="A343" s="29" t="inlineStr">
        <is>
          <t>BLYP-17-004</t>
        </is>
      </c>
      <c r="B343" s="29" t="inlineStr"/>
      <c r="C343" s="29" t="inlineStr">
        <is>
          <t>Connected-account cross-posting</t>
        </is>
      </c>
      <c r="D343" s="29" t="n">
        <v>17</v>
      </c>
      <c r="E343" s="29" t="n">
        <v>4</v>
      </c>
      <c r="F343" s="29" t="inlineStr">
        <is>
          <t>Feature</t>
        </is>
      </c>
      <c r="G343" s="29" t="inlineStr">
        <is>
          <t>Default publishing destinations</t>
        </is>
      </c>
      <c r="H343" s="29" t="inlineStr">
        <is>
          <t>Default publishing destinations</t>
        </is>
      </c>
      <c r="I343" s="29" t="inlineStr">
        <is>
          <t>/home/ubuntu/blyp_product_requirements.md :: Section 17 — Connected-account cross-posting</t>
        </is>
      </c>
      <c r="J343" s="29" t="inlineStr">
        <is>
          <t>/home/ubuntu/BLYP_COMPLETE_FEATURE_LIST.md:437</t>
        </is>
      </c>
      <c r="K343" s="29" t="inlineStr">
        <is>
          <t>Required</t>
        </is>
      </c>
      <c r="L343" s="29" t="inlineStr">
        <is>
          <t>Authenticated creator or host</t>
        </is>
      </c>
      <c r="M343" s="29" t="inlineStr">
        <is>
          <t>BLYP mobile application and supporting production services</t>
        </is>
      </c>
      <c r="N343" s="29" t="inlineStr">
        <is>
          <t>Default publishing destinations</t>
        </is>
      </c>
      <c r="O343" s="29" t="inlineStr">
        <is>
          <t>Not explicitly defined in the product source; requires accountable product approval before production sign-off.</t>
        </is>
      </c>
      <c r="P343" s="29" t="inlineStr"/>
      <c r="Q343" s="29" t="inlineStr">
        <is>
          <t>Scaffold only</t>
        </is>
      </c>
      <c r="R343" s="29" t="inlineStr"/>
      <c r="S343" s="29" t="inlineStr">
        <is>
          <t>Not found</t>
        </is>
      </c>
      <c r="T343" s="29" t="inlineStr">
        <is>
          <t>Not found</t>
        </is>
      </c>
      <c r="U343" s="29" t="inlineStr">
        <is>
          <t>Not found</t>
        </is>
      </c>
      <c r="V343" s="29" t="inlineStr">
        <is>
          <t>Not found</t>
        </is>
      </c>
      <c r="W343" s="29" t="inlineStr">
        <is>
          <t>Not found</t>
        </is>
      </c>
      <c r="X343" s="29" t="inlineStr">
        <is>
          <t>Not found</t>
        </is>
      </c>
      <c r="Y343" s="29" t="inlineStr">
        <is>
          <t>Not found</t>
        </is>
      </c>
      <c r="Z343" s="29" t="inlineStr">
        <is>
          <t>Not found</t>
        </is>
      </c>
      <c r="AA343" s="29" t="inlineStr">
        <is>
          <t>Not found</t>
        </is>
      </c>
      <c r="AB343" s="29" t="inlineStr">
        <is>
          <t>Unknown</t>
        </is>
      </c>
      <c r="AC343" s="29" t="inlineStr"/>
      <c r="AD343" s="29" t="inlineStr">
        <is>
          <t>Unknown</t>
        </is>
      </c>
      <c r="AE343" s="29" t="inlineStr">
        <is>
          <t>Unknown</t>
        </is>
      </c>
      <c r="AF343" s="29" t="inlineStr"/>
      <c r="AG343" s="29" t="inlineStr">
        <is>
          <t>Unknown</t>
        </is>
      </c>
      <c r="AH343" s="29" t="inlineStr">
        <is>
          <t>Unknown</t>
        </is>
      </c>
      <c r="AI343" s="29" t="inlineStr">
        <is>
          <t>Searched for default destinations in source.</t>
        </is>
      </c>
      <c r="AJ343" s="29" t="inlineStr">
        <is>
          <t>Not verified</t>
        </is>
      </c>
      <c r="AK343" s="29" t="inlineStr">
        <is>
          <t>EV-17-0004</t>
        </is>
      </c>
      <c r="AL343" s="29" t="inlineStr"/>
      <c r="AM343" s="29" t="inlineStr"/>
      <c r="AN343" s="29" t="inlineStr"/>
      <c r="AO343" s="29" t="inlineStr">
        <is>
          <t>8bc0dcb2a1da1b21368c5536aaeef829d587f316</t>
        </is>
      </c>
      <c r="AP343" s="29" t="inlineStr">
        <is>
          <t>High</t>
        </is>
      </c>
      <c r="AQ343" s="29" t="inlineStr">
        <is>
          <t>Not assessed</t>
        </is>
      </c>
      <c r="AR343" s="29" t="inlineStr">
        <is>
          <t>Not assessed</t>
        </is>
      </c>
      <c r="AS343" s="29" t="inlineStr">
        <is>
          <t>Not assessed</t>
        </is>
      </c>
      <c r="AT343" s="29" t="inlineStr">
        <is>
          <t>Not assessed</t>
        </is>
      </c>
      <c r="AU343" s="29" t="inlineStr">
        <is>
          <t>Not assessed</t>
        </is>
      </c>
      <c r="AV343" s="29" t="inlineStr">
        <is>
          <t>Not assessed</t>
        </is>
      </c>
      <c r="AW343" s="29" t="inlineStr">
        <is>
          <t>Not assessed</t>
        </is>
      </c>
      <c r="AX343" s="29" t="inlineStr">
        <is>
          <t>Not assessed</t>
        </is>
      </c>
      <c r="AY343" s="29" t="inlineStr">
        <is>
          <t>Not assessed</t>
        </is>
      </c>
      <c r="AZ343" s="29" t="inlineStr">
        <is>
          <t>Not assessed</t>
        </is>
      </c>
      <c r="BA343" s="29" t="inlineStr">
        <is>
          <t>Not assessed</t>
        </is>
      </c>
      <c r="BB343" s="29" t="inlineStr">
        <is>
          <t>Not assessed</t>
        </is>
      </c>
      <c r="BC343" s="29" t="inlineStr">
        <is>
          <t>Not assessed</t>
        </is>
      </c>
      <c r="BD343" s="29" t="inlineStr">
        <is>
          <t>Not assessed</t>
        </is>
      </c>
      <c r="BE343" s="29" t="inlineStr">
        <is>
          <t>Development required</t>
        </is>
      </c>
      <c r="BF343" s="29" t="inlineStr">
        <is>
          <t>Missing implementation; Physical implementation is not complete against the stated requirement.; Searched for default destinations in source.</t>
        </is>
      </c>
      <c r="BG343" s="29" t="inlineStr">
        <is>
          <t>Source code for default destinations</t>
        </is>
      </c>
      <c r="BH343" s="29" t="inlineStr"/>
      <c r="BI343" s="29" t="inlineStr"/>
      <c r="BJ343" s="29" t="inlineStr"/>
      <c r="BK343" s="29" t="inlineStr">
        <is>
          <t>Evidence reconciled against the reviewed source revision. No production approval is inferred from implementation or file presence.</t>
        </is>
      </c>
      <c r="BL343" s="29" t="inlineStr">
        <is>
          <t>2026-08-02</t>
        </is>
      </c>
    </row>
    <row r="344" ht="42" customHeight="1">
      <c r="A344" s="29" t="inlineStr">
        <is>
          <t>BLYP-17-005</t>
        </is>
      </c>
      <c r="B344" s="29" t="inlineStr"/>
      <c r="C344" s="29" t="inlineStr">
        <is>
          <t>Connected-account cross-posting</t>
        </is>
      </c>
      <c r="D344" s="29" t="n">
        <v>17</v>
      </c>
      <c r="E344" s="29" t="n">
        <v>5</v>
      </c>
      <c r="F344" s="29" t="inlineStr">
        <is>
          <t>Feature</t>
        </is>
      </c>
      <c r="G344" s="29" t="inlineStr">
        <is>
          <t>Show destinations before publishing</t>
        </is>
      </c>
      <c r="H344" s="29" t="inlineStr">
        <is>
          <t>Show destinations before publishing</t>
        </is>
      </c>
      <c r="I344" s="29" t="inlineStr">
        <is>
          <t>/home/ubuntu/blyp_product_requirements.md :: Section 17 — Connected-account cross-posting</t>
        </is>
      </c>
      <c r="J344" s="29" t="inlineStr">
        <is>
          <t>/home/ubuntu/BLYP_COMPLETE_FEATURE_LIST.md:438</t>
        </is>
      </c>
      <c r="K344" s="29" t="inlineStr">
        <is>
          <t>Required</t>
        </is>
      </c>
      <c r="L344" s="29" t="inlineStr">
        <is>
          <t>Authenticated creator or host</t>
        </is>
      </c>
      <c r="M344" s="29" t="inlineStr">
        <is>
          <t>BLYP mobile application and supporting production services</t>
        </is>
      </c>
      <c r="N344" s="29" t="inlineStr">
        <is>
          <t>Show destinations before publishing</t>
        </is>
      </c>
      <c r="O344" s="29" t="inlineStr">
        <is>
          <t>Not explicitly defined in the product source; requires accountable product approval before production sign-off.</t>
        </is>
      </c>
      <c r="P344" s="29" t="inlineStr"/>
      <c r="Q344" s="29" t="inlineStr">
        <is>
          <t>Partial</t>
        </is>
      </c>
      <c r="R344" s="29" t="inlineStr"/>
      <c r="S344" s="29" t="inlineStr">
        <is>
          <t>UI only</t>
        </is>
      </c>
      <c r="T344" s="29" t="inlineStr">
        <is>
          <t>ReviewScreen</t>
        </is>
      </c>
      <c r="U344" s="29" t="inlineStr">
        <is>
          <t>renderPlatformButton</t>
        </is>
      </c>
      <c r="V344" s="29" t="inlineStr">
        <is>
          <t>selectedPlatforms</t>
        </is>
      </c>
      <c r="W344" s="29" t="inlineStr">
        <is>
          <t>Not found</t>
        </is>
      </c>
      <c r="X344" s="29" t="inlineStr">
        <is>
          <t>Not found</t>
        </is>
      </c>
      <c r="Y344" s="29" t="inlineStr">
        <is>
          <t>Not found</t>
        </is>
      </c>
      <c r="Z344" s="29" t="inlineStr">
        <is>
          <t>Not found</t>
        </is>
      </c>
      <c r="AA344" s="29" t="inlineStr">
        <is>
          <t>Not found</t>
        </is>
      </c>
      <c r="AB344" s="29" t="inlineStr">
        <is>
          <t>Unknown</t>
        </is>
      </c>
      <c r="AC344" s="29" t="inlineStr"/>
      <c r="AD344" s="29" t="inlineStr">
        <is>
          <t>Unknown</t>
        </is>
      </c>
      <c r="AE344" s="29" t="inlineStr">
        <is>
          <t>User reachable</t>
        </is>
      </c>
      <c r="AF344" s="29" t="inlineStr">
        <is>
          <t>ReviewScreen</t>
        </is>
      </c>
      <c r="AG344" s="29" t="inlineStr">
        <is>
          <t>Incomplete</t>
        </is>
      </c>
      <c r="AH344" s="29" t="inlineStr">
        <is>
          <t>No</t>
        </is>
      </c>
      <c r="AI344" s="29" t="inlineStr">
        <is>
          <t>UI shows destinations, but no backend implementation.</t>
        </is>
      </c>
      <c r="AJ344" s="29" t="inlineStr">
        <is>
          <t>Not verified</t>
        </is>
      </c>
      <c r="AK344" s="29" t="inlineStr">
        <is>
          <t>EV-17-0001;EV-17-0002</t>
        </is>
      </c>
      <c r="AL344" s="29" t="inlineStr"/>
      <c r="AM344" s="29" t="inlineStr"/>
      <c r="AN344" s="29" t="inlineStr"/>
      <c r="AO344" s="29" t="inlineStr">
        <is>
          <t>8bc0dcb2a1da1b21368c5536aaeef829d587f316</t>
        </is>
      </c>
      <c r="AP344" s="29" t="inlineStr">
        <is>
          <t>High</t>
        </is>
      </c>
      <c r="AQ344" s="29" t="inlineStr">
        <is>
          <t>Not assessed</t>
        </is>
      </c>
      <c r="AR344" s="29" t="inlineStr">
        <is>
          <t>Not assessed</t>
        </is>
      </c>
      <c r="AS344" s="29" t="inlineStr">
        <is>
          <t>Fail</t>
        </is>
      </c>
      <c r="AT344" s="29" t="inlineStr">
        <is>
          <t>Not assessed</t>
        </is>
      </c>
      <c r="AU344" s="29" t="inlineStr">
        <is>
          <t>Not assessed</t>
        </is>
      </c>
      <c r="AV344" s="29" t="inlineStr">
        <is>
          <t>Not assessed</t>
        </is>
      </c>
      <c r="AW344" s="29" t="inlineStr">
        <is>
          <t>Not assessed</t>
        </is>
      </c>
      <c r="AX344" s="29" t="inlineStr">
        <is>
          <t>Not assessed</t>
        </is>
      </c>
      <c r="AY344" s="29" t="inlineStr">
        <is>
          <t>Not assessed</t>
        </is>
      </c>
      <c r="AZ344" s="29" t="inlineStr">
        <is>
          <t>Not assessed</t>
        </is>
      </c>
      <c r="BA344" s="29" t="inlineStr">
        <is>
          <t>Not assessed</t>
        </is>
      </c>
      <c r="BB344" s="29" t="inlineStr">
        <is>
          <t>Not assessed</t>
        </is>
      </c>
      <c r="BC344" s="29" t="inlineStr">
        <is>
          <t>Not assessed</t>
        </is>
      </c>
      <c r="BD344" s="29" t="inlineStr">
        <is>
          <t>Not assessed</t>
        </is>
      </c>
      <c r="BE344" s="29" t="inlineStr">
        <is>
          <t>Development required</t>
        </is>
      </c>
      <c r="BF344" s="29" t="inlineStr">
        <is>
          <t>Missing backend implementation; Physical implementation is not complete against the stated requirement.; UI shows destinations, but no backend implementation.</t>
        </is>
      </c>
      <c r="BG344" s="29" t="inlineStr">
        <is>
          <t>Backend code for cross-posting</t>
        </is>
      </c>
      <c r="BH344" s="29" t="inlineStr"/>
      <c r="BI344" s="29" t="inlineStr"/>
      <c r="BJ344" s="29" t="inlineStr"/>
      <c r="BK344" s="29" t="inlineStr">
        <is>
          <t>Evidence reconciled against the reviewed source revision. No production approval is inferred from implementation or file presence.</t>
        </is>
      </c>
      <c r="BL344" s="29" t="inlineStr">
        <is>
          <t>2026-08-02</t>
        </is>
      </c>
    </row>
    <row r="345" ht="42" customHeight="1">
      <c r="A345" s="29" t="inlineStr">
        <is>
          <t>BLYP-17-006</t>
        </is>
      </c>
      <c r="B345" s="29" t="inlineStr"/>
      <c r="C345" s="29" t="inlineStr">
        <is>
          <t>Connected-account cross-posting</t>
        </is>
      </c>
      <c r="D345" s="29" t="n">
        <v>17</v>
      </c>
      <c r="E345" s="29" t="n">
        <v>6</v>
      </c>
      <c r="F345" s="29" t="inlineStr">
        <is>
          <t>Feature</t>
        </is>
      </c>
      <c r="G345" s="29" t="inlineStr">
        <is>
          <t>Deselect a destination</t>
        </is>
      </c>
      <c r="H345" s="29" t="inlineStr">
        <is>
          <t>Deselect a destination</t>
        </is>
      </c>
      <c r="I345" s="29" t="inlineStr">
        <is>
          <t>/home/ubuntu/blyp_product_requirements.md :: Section 17 — Connected-account cross-posting</t>
        </is>
      </c>
      <c r="J345" s="29" t="inlineStr">
        <is>
          <t>/home/ubuntu/BLYP_COMPLETE_FEATURE_LIST.md:439</t>
        </is>
      </c>
      <c r="K345" s="29" t="inlineStr">
        <is>
          <t>Required</t>
        </is>
      </c>
      <c r="L345" s="29" t="inlineStr">
        <is>
          <t>Applicable BLYP member</t>
        </is>
      </c>
      <c r="M345" s="29" t="inlineStr">
        <is>
          <t>BLYP mobile application and supporting production services</t>
        </is>
      </c>
      <c r="N345" s="29" t="inlineStr">
        <is>
          <t>Deselect a destination</t>
        </is>
      </c>
      <c r="O345" s="29" t="inlineStr">
        <is>
          <t>Not explicitly defined in the product source; requires accountable product approval before production sign-off.</t>
        </is>
      </c>
      <c r="P345" s="29" t="inlineStr"/>
      <c r="Q345" s="29" t="inlineStr">
        <is>
          <t>Partial</t>
        </is>
      </c>
      <c r="R345" s="29" t="inlineStr"/>
      <c r="S345" s="29" t="inlineStr">
        <is>
          <t>UI only</t>
        </is>
      </c>
      <c r="T345" s="29" t="inlineStr">
        <is>
          <t>ReviewScreen</t>
        </is>
      </c>
      <c r="U345" s="29" t="inlineStr">
        <is>
          <t>renderPlatformButton</t>
        </is>
      </c>
      <c r="V345" s="29" t="inlineStr">
        <is>
          <t>selectedPlatforms</t>
        </is>
      </c>
      <c r="W345" s="29" t="inlineStr">
        <is>
          <t>Not found</t>
        </is>
      </c>
      <c r="X345" s="29" t="inlineStr">
        <is>
          <t>Not found</t>
        </is>
      </c>
      <c r="Y345" s="29" t="inlineStr">
        <is>
          <t>Not found</t>
        </is>
      </c>
      <c r="Z345" s="29" t="inlineStr">
        <is>
          <t>Not found</t>
        </is>
      </c>
      <c r="AA345" s="29" t="inlineStr">
        <is>
          <t>Not found</t>
        </is>
      </c>
      <c r="AB345" s="29" t="inlineStr">
        <is>
          <t>Unknown</t>
        </is>
      </c>
      <c r="AC345" s="29" t="inlineStr"/>
      <c r="AD345" s="29" t="inlineStr">
        <is>
          <t>Unknown</t>
        </is>
      </c>
      <c r="AE345" s="29" t="inlineStr">
        <is>
          <t>User reachable</t>
        </is>
      </c>
      <c r="AF345" s="29" t="inlineStr">
        <is>
          <t>ReviewScreen</t>
        </is>
      </c>
      <c r="AG345" s="29" t="inlineStr">
        <is>
          <t>Incomplete</t>
        </is>
      </c>
      <c r="AH345" s="29" t="inlineStr">
        <is>
          <t>No</t>
        </is>
      </c>
      <c r="AI345" s="29" t="inlineStr">
        <is>
          <t>UI allows deselecting, but no backend implementation.</t>
        </is>
      </c>
      <c r="AJ345" s="29" t="inlineStr">
        <is>
          <t>Not verified</t>
        </is>
      </c>
      <c r="AK345" s="29" t="inlineStr">
        <is>
          <t>EV-17-0001;EV-17-0002</t>
        </is>
      </c>
      <c r="AL345" s="29" t="inlineStr"/>
      <c r="AM345" s="29" t="inlineStr"/>
      <c r="AN345" s="29" t="inlineStr"/>
      <c r="AO345" s="29" t="inlineStr">
        <is>
          <t>8bc0dcb2a1da1b21368c5536aaeef829d587f316</t>
        </is>
      </c>
      <c r="AP345" s="29" t="inlineStr">
        <is>
          <t>High</t>
        </is>
      </c>
      <c r="AQ345" s="29" t="inlineStr">
        <is>
          <t>Not assessed</t>
        </is>
      </c>
      <c r="AR345" s="29" t="inlineStr">
        <is>
          <t>Not assessed</t>
        </is>
      </c>
      <c r="AS345" s="29" t="inlineStr">
        <is>
          <t>Fail</t>
        </is>
      </c>
      <c r="AT345" s="29" t="inlineStr">
        <is>
          <t>Not assessed</t>
        </is>
      </c>
      <c r="AU345" s="29" t="inlineStr">
        <is>
          <t>Not assessed</t>
        </is>
      </c>
      <c r="AV345" s="29" t="inlineStr">
        <is>
          <t>Not assessed</t>
        </is>
      </c>
      <c r="AW345" s="29" t="inlineStr">
        <is>
          <t>Not assessed</t>
        </is>
      </c>
      <c r="AX345" s="29" t="inlineStr">
        <is>
          <t>Not assessed</t>
        </is>
      </c>
      <c r="AY345" s="29" t="inlineStr">
        <is>
          <t>Not assessed</t>
        </is>
      </c>
      <c r="AZ345" s="29" t="inlineStr">
        <is>
          <t>Not assessed</t>
        </is>
      </c>
      <c r="BA345" s="29" t="inlineStr">
        <is>
          <t>Not assessed</t>
        </is>
      </c>
      <c r="BB345" s="29" t="inlineStr">
        <is>
          <t>Not assessed</t>
        </is>
      </c>
      <c r="BC345" s="29" t="inlineStr">
        <is>
          <t>Not assessed</t>
        </is>
      </c>
      <c r="BD345" s="29" t="inlineStr">
        <is>
          <t>Not assessed</t>
        </is>
      </c>
      <c r="BE345" s="29" t="inlineStr">
        <is>
          <t>Development required</t>
        </is>
      </c>
      <c r="BF345" s="29" t="inlineStr">
        <is>
          <t>Missing backend implementation; Physical implementation is not complete against the stated requirement.; UI allows deselecting, but no backend implementation.</t>
        </is>
      </c>
      <c r="BG345" s="29" t="inlineStr">
        <is>
          <t>Backend code for cross-posting</t>
        </is>
      </c>
      <c r="BH345" s="29" t="inlineStr"/>
      <c r="BI345" s="29" t="inlineStr"/>
      <c r="BJ345" s="29" t="inlineStr"/>
      <c r="BK345" s="29" t="inlineStr">
        <is>
          <t>Evidence reconciled against the reviewed source revision. No production approval is inferred from implementation or file presence.</t>
        </is>
      </c>
      <c r="BL345" s="29" t="inlineStr">
        <is>
          <t>2026-08-02</t>
        </is>
      </c>
    </row>
    <row r="346" ht="42" customHeight="1">
      <c r="A346" s="29" t="inlineStr">
        <is>
          <t>BLYP-17-007</t>
        </is>
      </c>
      <c r="B346" s="29" t="inlineStr"/>
      <c r="C346" s="29" t="inlineStr">
        <is>
          <t>Connected-account cross-posting</t>
        </is>
      </c>
      <c r="D346" s="29" t="n">
        <v>17</v>
      </c>
      <c r="E346" s="29" t="n">
        <v>7</v>
      </c>
      <c r="F346" s="29" t="inlineStr">
        <is>
          <t>Feature</t>
        </is>
      </c>
      <c r="G346" s="29" t="inlineStr">
        <is>
          <t>Customise each platform version</t>
        </is>
      </c>
      <c r="H346" s="29" t="inlineStr">
        <is>
          <t>Customise each platform version</t>
        </is>
      </c>
      <c r="I346" s="29" t="inlineStr">
        <is>
          <t>/home/ubuntu/blyp_product_requirements.md :: Section 17 — Connected-account cross-posting</t>
        </is>
      </c>
      <c r="J346" s="29" t="inlineStr">
        <is>
          <t>/home/ubuntu/BLYP_COMPLETE_FEATURE_LIST.md:440</t>
        </is>
      </c>
      <c r="K346" s="29" t="inlineStr">
        <is>
          <t>Required</t>
        </is>
      </c>
      <c r="L346" s="29" t="inlineStr">
        <is>
          <t>Applicable BLYP member</t>
        </is>
      </c>
      <c r="M346" s="29" t="inlineStr">
        <is>
          <t>BLYP mobile application and supporting production services</t>
        </is>
      </c>
      <c r="N346" s="29" t="inlineStr">
        <is>
          <t>Customise each platform version</t>
        </is>
      </c>
      <c r="O346" s="29" t="inlineStr">
        <is>
          <t>Not explicitly defined in the product source; requires accountable product approval before production sign-off.</t>
        </is>
      </c>
      <c r="P346" s="29" t="inlineStr"/>
      <c r="Q346" s="29" t="inlineStr">
        <is>
          <t>No evidence</t>
        </is>
      </c>
      <c r="R346" s="29" t="inlineStr"/>
      <c r="S346" s="29" t="inlineStr">
        <is>
          <t>Not found</t>
        </is>
      </c>
      <c r="T346" s="29" t="inlineStr">
        <is>
          <t>Not found</t>
        </is>
      </c>
      <c r="U346" s="29" t="inlineStr">
        <is>
          <t>Not found</t>
        </is>
      </c>
      <c r="V346" s="29" t="inlineStr">
        <is>
          <t>Not found</t>
        </is>
      </c>
      <c r="W346" s="29" t="inlineStr">
        <is>
          <t>Not found</t>
        </is>
      </c>
      <c r="X346" s="29" t="inlineStr">
        <is>
          <t>Not found</t>
        </is>
      </c>
      <c r="Y346" s="29" t="inlineStr">
        <is>
          <t>Not found</t>
        </is>
      </c>
      <c r="Z346" s="29" t="inlineStr">
        <is>
          <t>Not found</t>
        </is>
      </c>
      <c r="AA346" s="29" t="inlineStr">
        <is>
          <t>Not found</t>
        </is>
      </c>
      <c r="AB346" s="29" t="inlineStr">
        <is>
          <t>Unknown</t>
        </is>
      </c>
      <c r="AC346" s="29" t="inlineStr"/>
      <c r="AD346" s="29" t="inlineStr">
        <is>
          <t>Unknown</t>
        </is>
      </c>
      <c r="AE346" s="29" t="inlineStr">
        <is>
          <t>Unknown</t>
        </is>
      </c>
      <c r="AF346" s="29" t="inlineStr"/>
      <c r="AG346" s="29" t="inlineStr">
        <is>
          <t>Unknown</t>
        </is>
      </c>
      <c r="AH346" s="29" t="inlineStr">
        <is>
          <t>Unknown</t>
        </is>
      </c>
      <c r="AI346" s="29" t="inlineStr">
        <is>
          <t>Searched for platform customization in source.</t>
        </is>
      </c>
      <c r="AJ346" s="29" t="inlineStr">
        <is>
          <t>Not verified</t>
        </is>
      </c>
      <c r="AK346" s="29" t="inlineStr">
        <is>
          <t>EV-17-0004</t>
        </is>
      </c>
      <c r="AL346" s="29" t="inlineStr"/>
      <c r="AM346" s="29" t="inlineStr"/>
      <c r="AN346" s="29" t="inlineStr"/>
      <c r="AO346" s="29" t="inlineStr">
        <is>
          <t>8bc0dcb2a1da1b21368c5536aaeef829d587f316</t>
        </is>
      </c>
      <c r="AP346" s="29" t="inlineStr">
        <is>
          <t>High</t>
        </is>
      </c>
      <c r="AQ346" s="29" t="inlineStr">
        <is>
          <t>Not assessed</t>
        </is>
      </c>
      <c r="AR346" s="29" t="inlineStr">
        <is>
          <t>Not assessed</t>
        </is>
      </c>
      <c r="AS346" s="29" t="inlineStr">
        <is>
          <t>Not assessed</t>
        </is>
      </c>
      <c r="AT346" s="29" t="inlineStr">
        <is>
          <t>Not assessed</t>
        </is>
      </c>
      <c r="AU346" s="29" t="inlineStr">
        <is>
          <t>Not assessed</t>
        </is>
      </c>
      <c r="AV346" s="29" t="inlineStr">
        <is>
          <t>Not assessed</t>
        </is>
      </c>
      <c r="AW346" s="29" t="inlineStr">
        <is>
          <t>Not assessed</t>
        </is>
      </c>
      <c r="AX346" s="29" t="inlineStr">
        <is>
          <t>Not assessed</t>
        </is>
      </c>
      <c r="AY346" s="29" t="inlineStr">
        <is>
          <t>Not assessed</t>
        </is>
      </c>
      <c r="AZ346" s="29" t="inlineStr">
        <is>
          <t>Not assessed</t>
        </is>
      </c>
      <c r="BA346" s="29" t="inlineStr">
        <is>
          <t>Not assessed</t>
        </is>
      </c>
      <c r="BB346" s="29" t="inlineStr">
        <is>
          <t>Not assessed</t>
        </is>
      </c>
      <c r="BC346" s="29" t="inlineStr">
        <is>
          <t>Not assessed</t>
        </is>
      </c>
      <c r="BD346" s="29" t="inlineStr">
        <is>
          <t>Not assessed</t>
        </is>
      </c>
      <c r="BE346" s="29" t="inlineStr">
        <is>
          <t>Development required</t>
        </is>
      </c>
      <c r="BF346" s="29" t="inlineStr">
        <is>
          <t>Missing implementation; Physical implementation is not complete against the stated requirement.; Searched for platform customization in source.</t>
        </is>
      </c>
      <c r="BG346" s="29" t="inlineStr">
        <is>
          <t>Source code for platform customization</t>
        </is>
      </c>
      <c r="BH346" s="29" t="inlineStr"/>
      <c r="BI346" s="29" t="inlineStr"/>
      <c r="BJ346" s="29" t="inlineStr"/>
      <c r="BK346" s="29" t="inlineStr">
        <is>
          <t>Evidence reconciled against the reviewed source revision. No production approval is inferred from implementation or file presence.</t>
        </is>
      </c>
      <c r="BL346" s="29" t="inlineStr">
        <is>
          <t>2026-08-02</t>
        </is>
      </c>
    </row>
    <row r="347" ht="42" customHeight="1">
      <c r="A347" s="29" t="inlineStr">
        <is>
          <t>BLYP-17-008</t>
        </is>
      </c>
      <c r="B347" s="29" t="inlineStr"/>
      <c r="C347" s="29" t="inlineStr">
        <is>
          <t>Connected-account cross-posting</t>
        </is>
      </c>
      <c r="D347" s="29" t="n">
        <v>17</v>
      </c>
      <c r="E347" s="29" t="n">
        <v>8</v>
      </c>
      <c r="F347" s="29" t="inlineStr">
        <is>
          <t>Feature</t>
        </is>
      </c>
      <c r="G347" s="29" t="inlineStr">
        <is>
          <t>Publish to external platforms</t>
        </is>
      </c>
      <c r="H347" s="29" t="inlineStr">
        <is>
          <t>Publish to external platforms</t>
        </is>
      </c>
      <c r="I347" s="29" t="inlineStr">
        <is>
          <t>/home/ubuntu/blyp_product_requirements.md :: Section 17 — Connected-account cross-posting</t>
        </is>
      </c>
      <c r="J347" s="29" t="inlineStr">
        <is>
          <t>/home/ubuntu/BLYP_COMPLETE_FEATURE_LIST.md:441</t>
        </is>
      </c>
      <c r="K347" s="29" t="inlineStr">
        <is>
          <t>Required</t>
        </is>
      </c>
      <c r="L347" s="29" t="inlineStr">
        <is>
          <t>Authenticated creator or host</t>
        </is>
      </c>
      <c r="M347" s="29" t="inlineStr">
        <is>
          <t>BLYP mobile application and supporting production services</t>
        </is>
      </c>
      <c r="N347" s="29" t="inlineStr">
        <is>
          <t>Publish to external platforms</t>
        </is>
      </c>
      <c r="O347" s="29" t="inlineStr">
        <is>
          <t>Not explicitly defined in the product source; requires accountable product approval before production sign-off.</t>
        </is>
      </c>
      <c r="P347" s="29" t="inlineStr">
        <is>
          <t>Firestore posts collection</t>
        </is>
      </c>
      <c r="Q347" s="29" t="inlineStr">
        <is>
          <t>No evidence</t>
        </is>
      </c>
      <c r="R347" s="29" t="inlineStr"/>
      <c r="S347" s="29" t="inlineStr">
        <is>
          <t>UI only</t>
        </is>
      </c>
      <c r="T347" s="29" t="inlineStr">
        <is>
          <t>ReviewScreen</t>
        </is>
      </c>
      <c r="U347" s="29" t="inlineStr">
        <is>
          <t>renderPlatformButton</t>
        </is>
      </c>
      <c r="V347" s="29" t="inlineStr">
        <is>
          <t>postData.sharedTo</t>
        </is>
      </c>
      <c r="W347" s="29" t="inlineStr">
        <is>
          <t>Not found</t>
        </is>
      </c>
      <c r="X347" s="29" t="inlineStr">
        <is>
          <t>Firestore posts collection</t>
        </is>
      </c>
      <c r="Y347" s="29" t="inlineStr">
        <is>
          <t>Not found</t>
        </is>
      </c>
      <c r="Z347" s="29" t="inlineStr">
        <is>
          <t>Not found</t>
        </is>
      </c>
      <c r="AA347" s="29" t="inlineStr">
        <is>
          <t>Not found</t>
        </is>
      </c>
      <c r="AB347" s="29" t="inlineStr">
        <is>
          <t>Unknown</t>
        </is>
      </c>
      <c r="AC347" s="29" t="inlineStr"/>
      <c r="AD347" s="29" t="inlineStr">
        <is>
          <t>Unknown</t>
        </is>
      </c>
      <c r="AE347" s="29" t="inlineStr">
        <is>
          <t>User reachable</t>
        </is>
      </c>
      <c r="AF347" s="29" t="inlineStr">
        <is>
          <t>ReviewScreen</t>
        </is>
      </c>
      <c r="AG347" s="29" t="inlineStr">
        <is>
          <t>Incomplete</t>
        </is>
      </c>
      <c r="AH347" s="29" t="inlineStr">
        <is>
          <t>No</t>
        </is>
      </c>
      <c r="AI347" s="29" t="inlineStr">
        <is>
          <t>Client saves sharedTo array, but no backend worker processes it.</t>
        </is>
      </c>
      <c r="AJ347" s="29" t="inlineStr">
        <is>
          <t>Not verified</t>
        </is>
      </c>
      <c r="AK347" s="29" t="inlineStr">
        <is>
          <t>EV-17-0003;EV-17-0004</t>
        </is>
      </c>
      <c r="AL347" s="29" t="inlineStr"/>
      <c r="AM347" s="29" t="inlineStr"/>
      <c r="AN347" s="29" t="inlineStr"/>
      <c r="AO347" s="29" t="inlineStr">
        <is>
          <t>8bc0dcb2a1da1b21368c5536aaeef829d587f316</t>
        </is>
      </c>
      <c r="AP347" s="29" t="inlineStr">
        <is>
          <t>High</t>
        </is>
      </c>
      <c r="AQ347" s="29" t="inlineStr">
        <is>
          <t>Not assessed</t>
        </is>
      </c>
      <c r="AR347" s="29" t="inlineStr">
        <is>
          <t>Not assessed</t>
        </is>
      </c>
      <c r="AS347" s="29" t="inlineStr">
        <is>
          <t>Fail</t>
        </is>
      </c>
      <c r="AT347" s="29" t="inlineStr">
        <is>
          <t>Not assessed</t>
        </is>
      </c>
      <c r="AU347" s="29" t="inlineStr">
        <is>
          <t>Not assessed</t>
        </is>
      </c>
      <c r="AV347" s="29" t="inlineStr">
        <is>
          <t>Not assessed</t>
        </is>
      </c>
      <c r="AW347" s="29" t="inlineStr">
        <is>
          <t>Not assessed</t>
        </is>
      </c>
      <c r="AX347" s="29" t="inlineStr">
        <is>
          <t>Not assessed</t>
        </is>
      </c>
      <c r="AY347" s="29" t="inlineStr">
        <is>
          <t>Not assessed</t>
        </is>
      </c>
      <c r="AZ347" s="29" t="inlineStr">
        <is>
          <t>Not assessed</t>
        </is>
      </c>
      <c r="BA347" s="29" t="inlineStr">
        <is>
          <t>Not assessed</t>
        </is>
      </c>
      <c r="BB347" s="29" t="inlineStr">
        <is>
          <t>Not assessed</t>
        </is>
      </c>
      <c r="BC347" s="29" t="inlineStr">
        <is>
          <t>Not assessed</t>
        </is>
      </c>
      <c r="BD347" s="29" t="inlineStr">
        <is>
          <t>Not assessed</t>
        </is>
      </c>
      <c r="BE347" s="29" t="inlineStr">
        <is>
          <t>Development required</t>
        </is>
      </c>
      <c r="BF347" s="29" t="inlineStr">
        <is>
          <t>Missing backend implementation; Physical implementation is not complete against the stated requirement.; Client saves sharedTo array, but no backend worker processes it.</t>
        </is>
      </c>
      <c r="BG347" s="29" t="inlineStr">
        <is>
          <t>Backend code for cross-posting</t>
        </is>
      </c>
      <c r="BH347" s="29" t="inlineStr"/>
      <c r="BI347" s="29" t="inlineStr"/>
      <c r="BJ347" s="29" t="inlineStr"/>
      <c r="BK347" s="29" t="inlineStr">
        <is>
          <t>Evidence reconciled against the reviewed source revision. No production approval is inferred from implementation or file presence.</t>
        </is>
      </c>
      <c r="BL347" s="29" t="inlineStr">
        <is>
          <t>2026-08-02</t>
        </is>
      </c>
    </row>
    <row r="348" ht="42" customHeight="1">
      <c r="A348" s="29" t="inlineStr">
        <is>
          <t>BLYP-17-009</t>
        </is>
      </c>
      <c r="B348" s="29" t="inlineStr"/>
      <c r="C348" s="29" t="inlineStr">
        <is>
          <t>Connected-account cross-posting</t>
        </is>
      </c>
      <c r="D348" s="29" t="n">
        <v>17</v>
      </c>
      <c r="E348" s="29" t="n">
        <v>9</v>
      </c>
      <c r="F348" s="29" t="inlineStr">
        <is>
          <t>Feature</t>
        </is>
      </c>
      <c r="G348" s="29" t="inlineStr">
        <is>
          <t>Adapt captions per platform</t>
        </is>
      </c>
      <c r="H348" s="29" t="inlineStr">
        <is>
          <t>Adapt captions per platform</t>
        </is>
      </c>
      <c r="I348" s="29" t="inlineStr">
        <is>
          <t>/home/ubuntu/blyp_product_requirements.md :: Section 17 — Connected-account cross-posting</t>
        </is>
      </c>
      <c r="J348" s="29" t="inlineStr">
        <is>
          <t>/home/ubuntu/BLYP_COMPLETE_FEATURE_LIST.md:442</t>
        </is>
      </c>
      <c r="K348" s="29" t="inlineStr">
        <is>
          <t>Required</t>
        </is>
      </c>
      <c r="L348" s="29" t="inlineStr">
        <is>
          <t>Applicable BLYP member</t>
        </is>
      </c>
      <c r="M348" s="29" t="inlineStr">
        <is>
          <t>BLYP mobile application and supporting production services</t>
        </is>
      </c>
      <c r="N348" s="29" t="inlineStr">
        <is>
          <t>Adapt captions per platform</t>
        </is>
      </c>
      <c r="O348" s="29" t="inlineStr">
        <is>
          <t>Not explicitly defined in the product source; requires accountable product approval before production sign-off.</t>
        </is>
      </c>
      <c r="P348" s="29" t="inlineStr"/>
      <c r="Q348" s="29" t="inlineStr">
        <is>
          <t>No evidence</t>
        </is>
      </c>
      <c r="R348" s="29" t="inlineStr"/>
      <c r="S348" s="29" t="inlineStr">
        <is>
          <t>Not found</t>
        </is>
      </c>
      <c r="T348" s="29" t="inlineStr">
        <is>
          <t>Not found</t>
        </is>
      </c>
      <c r="U348" s="29" t="inlineStr">
        <is>
          <t>Not found</t>
        </is>
      </c>
      <c r="V348" s="29" t="inlineStr">
        <is>
          <t>Not found</t>
        </is>
      </c>
      <c r="W348" s="29" t="inlineStr">
        <is>
          <t>Not found</t>
        </is>
      </c>
      <c r="X348" s="29" t="inlineStr">
        <is>
          <t>Not found</t>
        </is>
      </c>
      <c r="Y348" s="29" t="inlineStr">
        <is>
          <t>Not found</t>
        </is>
      </c>
      <c r="Z348" s="29" t="inlineStr">
        <is>
          <t>Not found</t>
        </is>
      </c>
      <c r="AA348" s="29" t="inlineStr">
        <is>
          <t>Not found</t>
        </is>
      </c>
      <c r="AB348" s="29" t="inlineStr">
        <is>
          <t>Unknown</t>
        </is>
      </c>
      <c r="AC348" s="29" t="inlineStr"/>
      <c r="AD348" s="29" t="inlineStr">
        <is>
          <t>Unknown</t>
        </is>
      </c>
      <c r="AE348" s="29" t="inlineStr">
        <is>
          <t>Unknown</t>
        </is>
      </c>
      <c r="AF348" s="29" t="inlineStr"/>
      <c r="AG348" s="29" t="inlineStr">
        <is>
          <t>Unknown</t>
        </is>
      </c>
      <c r="AH348" s="29" t="inlineStr">
        <is>
          <t>Unknown</t>
        </is>
      </c>
      <c r="AI348" s="29" t="inlineStr">
        <is>
          <t>Searched for caption adaptation in source.</t>
        </is>
      </c>
      <c r="AJ348" s="29" t="inlineStr">
        <is>
          <t>Not verified</t>
        </is>
      </c>
      <c r="AK348" s="29" t="inlineStr">
        <is>
          <t>EV-17-0004</t>
        </is>
      </c>
      <c r="AL348" s="29" t="inlineStr"/>
      <c r="AM348" s="29" t="inlineStr"/>
      <c r="AN348" s="29" t="inlineStr"/>
      <c r="AO348" s="29" t="inlineStr">
        <is>
          <t>8bc0dcb2a1da1b21368c5536aaeef829d587f316</t>
        </is>
      </c>
      <c r="AP348" s="29" t="inlineStr">
        <is>
          <t>High</t>
        </is>
      </c>
      <c r="AQ348" s="29" t="inlineStr">
        <is>
          <t>Not assessed</t>
        </is>
      </c>
      <c r="AR348" s="29" t="inlineStr">
        <is>
          <t>Not assessed</t>
        </is>
      </c>
      <c r="AS348" s="29" t="inlineStr">
        <is>
          <t>Not assessed</t>
        </is>
      </c>
      <c r="AT348" s="29" t="inlineStr">
        <is>
          <t>Not assessed</t>
        </is>
      </c>
      <c r="AU348" s="29" t="inlineStr">
        <is>
          <t>Not assessed</t>
        </is>
      </c>
      <c r="AV348" s="29" t="inlineStr">
        <is>
          <t>Not assessed</t>
        </is>
      </c>
      <c r="AW348" s="29" t="inlineStr">
        <is>
          <t>Not assessed</t>
        </is>
      </c>
      <c r="AX348" s="29" t="inlineStr">
        <is>
          <t>Not assessed</t>
        </is>
      </c>
      <c r="AY348" s="29" t="inlineStr">
        <is>
          <t>Not assessed</t>
        </is>
      </c>
      <c r="AZ348" s="29" t="inlineStr">
        <is>
          <t>Not assessed</t>
        </is>
      </c>
      <c r="BA348" s="29" t="inlineStr">
        <is>
          <t>Not assessed</t>
        </is>
      </c>
      <c r="BB348" s="29" t="inlineStr">
        <is>
          <t>Not assessed</t>
        </is>
      </c>
      <c r="BC348" s="29" t="inlineStr">
        <is>
          <t>Not assessed</t>
        </is>
      </c>
      <c r="BD348" s="29" t="inlineStr">
        <is>
          <t>Not assessed</t>
        </is>
      </c>
      <c r="BE348" s="29" t="inlineStr">
        <is>
          <t>Development required</t>
        </is>
      </c>
      <c r="BF348" s="29" t="inlineStr">
        <is>
          <t>Missing implementation; Physical implementation is not complete against the stated requirement.; Searched for caption adaptation in source.</t>
        </is>
      </c>
      <c r="BG348" s="29" t="inlineStr">
        <is>
          <t>Source code for caption adaptation</t>
        </is>
      </c>
      <c r="BH348" s="29" t="inlineStr"/>
      <c r="BI348" s="29" t="inlineStr"/>
      <c r="BJ348" s="29" t="inlineStr"/>
      <c r="BK348" s="29" t="inlineStr">
        <is>
          <t>Evidence reconciled against the reviewed source revision. No production approval is inferred from implementation or file presence.</t>
        </is>
      </c>
      <c r="BL348" s="29" t="inlineStr">
        <is>
          <t>2026-08-02</t>
        </is>
      </c>
    </row>
    <row r="349" ht="42" customHeight="1">
      <c r="A349" s="29" t="inlineStr">
        <is>
          <t>BLYP-17-010</t>
        </is>
      </c>
      <c r="B349" s="29" t="inlineStr"/>
      <c r="C349" s="29" t="inlineStr">
        <is>
          <t>Connected-account cross-posting</t>
        </is>
      </c>
      <c r="D349" s="29" t="n">
        <v>17</v>
      </c>
      <c r="E349" s="29" t="n">
        <v>10</v>
      </c>
      <c r="F349" s="29" t="inlineStr">
        <is>
          <t>Feature</t>
        </is>
      </c>
      <c r="G349" s="29" t="inlineStr">
        <is>
          <t>Adapt hashtags per platform</t>
        </is>
      </c>
      <c r="H349" s="29" t="inlineStr">
        <is>
          <t>Adapt hashtags per platform</t>
        </is>
      </c>
      <c r="I349" s="29" t="inlineStr">
        <is>
          <t>/home/ubuntu/blyp_product_requirements.md :: Section 17 — Connected-account cross-posting</t>
        </is>
      </c>
      <c r="J349" s="29" t="inlineStr">
        <is>
          <t>/home/ubuntu/BLYP_COMPLETE_FEATURE_LIST.md:443</t>
        </is>
      </c>
      <c r="K349" s="29" t="inlineStr">
        <is>
          <t>Required</t>
        </is>
      </c>
      <c r="L349" s="29" t="inlineStr">
        <is>
          <t>Applicable BLYP member</t>
        </is>
      </c>
      <c r="M349" s="29" t="inlineStr">
        <is>
          <t>BLYP mobile application and supporting production services</t>
        </is>
      </c>
      <c r="N349" s="29" t="inlineStr">
        <is>
          <t>Adapt hashtags per platform</t>
        </is>
      </c>
      <c r="O349" s="29" t="inlineStr">
        <is>
          <t>Not explicitly defined in the product source; requires accountable product approval before production sign-off.</t>
        </is>
      </c>
      <c r="P349" s="29" t="inlineStr"/>
      <c r="Q349" s="29" t="inlineStr">
        <is>
          <t>No evidence</t>
        </is>
      </c>
      <c r="R349" s="29" t="inlineStr"/>
      <c r="S349" s="29" t="inlineStr">
        <is>
          <t>Not found</t>
        </is>
      </c>
      <c r="T349" s="29" t="inlineStr">
        <is>
          <t>Not found</t>
        </is>
      </c>
      <c r="U349" s="29" t="inlineStr">
        <is>
          <t>Not found</t>
        </is>
      </c>
      <c r="V349" s="29" t="inlineStr">
        <is>
          <t>Not found</t>
        </is>
      </c>
      <c r="W349" s="29" t="inlineStr">
        <is>
          <t>Not found</t>
        </is>
      </c>
      <c r="X349" s="29" t="inlineStr">
        <is>
          <t>Not found</t>
        </is>
      </c>
      <c r="Y349" s="29" t="inlineStr">
        <is>
          <t>Not found</t>
        </is>
      </c>
      <c r="Z349" s="29" t="inlineStr">
        <is>
          <t>Not found</t>
        </is>
      </c>
      <c r="AA349" s="29" t="inlineStr">
        <is>
          <t>Not found</t>
        </is>
      </c>
      <c r="AB349" s="29" t="inlineStr">
        <is>
          <t>Unknown</t>
        </is>
      </c>
      <c r="AC349" s="29" t="inlineStr"/>
      <c r="AD349" s="29" t="inlineStr">
        <is>
          <t>Unknown</t>
        </is>
      </c>
      <c r="AE349" s="29" t="inlineStr">
        <is>
          <t>Unknown</t>
        </is>
      </c>
      <c r="AF349" s="29" t="inlineStr"/>
      <c r="AG349" s="29" t="inlineStr">
        <is>
          <t>Unknown</t>
        </is>
      </c>
      <c r="AH349" s="29" t="inlineStr">
        <is>
          <t>Unknown</t>
        </is>
      </c>
      <c r="AI349" s="29" t="inlineStr">
        <is>
          <t>Searched for hashtag adaptation in source.</t>
        </is>
      </c>
      <c r="AJ349" s="29" t="inlineStr">
        <is>
          <t>Not verified</t>
        </is>
      </c>
      <c r="AK349" s="29" t="inlineStr">
        <is>
          <t>EV-17-0004</t>
        </is>
      </c>
      <c r="AL349" s="29" t="inlineStr"/>
      <c r="AM349" s="29" t="inlineStr"/>
      <c r="AN349" s="29" t="inlineStr"/>
      <c r="AO349" s="29" t="inlineStr">
        <is>
          <t>8bc0dcb2a1da1b21368c5536aaeef829d587f316</t>
        </is>
      </c>
      <c r="AP349" s="29" t="inlineStr">
        <is>
          <t>High</t>
        </is>
      </c>
      <c r="AQ349" s="29" t="inlineStr">
        <is>
          <t>Not assessed</t>
        </is>
      </c>
      <c r="AR349" s="29" t="inlineStr">
        <is>
          <t>Not assessed</t>
        </is>
      </c>
      <c r="AS349" s="29" t="inlineStr">
        <is>
          <t>Not assessed</t>
        </is>
      </c>
      <c r="AT349" s="29" t="inlineStr">
        <is>
          <t>Not assessed</t>
        </is>
      </c>
      <c r="AU349" s="29" t="inlineStr">
        <is>
          <t>Not assessed</t>
        </is>
      </c>
      <c r="AV349" s="29" t="inlineStr">
        <is>
          <t>Not assessed</t>
        </is>
      </c>
      <c r="AW349" s="29" t="inlineStr">
        <is>
          <t>Not assessed</t>
        </is>
      </c>
      <c r="AX349" s="29" t="inlineStr">
        <is>
          <t>Not assessed</t>
        </is>
      </c>
      <c r="AY349" s="29" t="inlineStr">
        <is>
          <t>Not assessed</t>
        </is>
      </c>
      <c r="AZ349" s="29" t="inlineStr">
        <is>
          <t>Not assessed</t>
        </is>
      </c>
      <c r="BA349" s="29" t="inlineStr">
        <is>
          <t>Not assessed</t>
        </is>
      </c>
      <c r="BB349" s="29" t="inlineStr">
        <is>
          <t>Not assessed</t>
        </is>
      </c>
      <c r="BC349" s="29" t="inlineStr">
        <is>
          <t>Not assessed</t>
        </is>
      </c>
      <c r="BD349" s="29" t="inlineStr">
        <is>
          <t>Not assessed</t>
        </is>
      </c>
      <c r="BE349" s="29" t="inlineStr">
        <is>
          <t>Development required</t>
        </is>
      </c>
      <c r="BF349" s="29" t="inlineStr">
        <is>
          <t>Missing implementation; Physical implementation is not complete against the stated requirement.; Searched for hashtag adaptation in source.</t>
        </is>
      </c>
      <c r="BG349" s="29" t="inlineStr">
        <is>
          <t>Source code for hashtag adaptation</t>
        </is>
      </c>
      <c r="BH349" s="29" t="inlineStr"/>
      <c r="BI349" s="29" t="inlineStr"/>
      <c r="BJ349" s="29" t="inlineStr"/>
      <c r="BK349" s="29" t="inlineStr">
        <is>
          <t>Evidence reconciled against the reviewed source revision. No production approval is inferred from implementation or file presence.</t>
        </is>
      </c>
      <c r="BL349" s="29" t="inlineStr">
        <is>
          <t>2026-08-02</t>
        </is>
      </c>
    </row>
    <row r="350" ht="42" customHeight="1">
      <c r="A350" s="29" t="inlineStr">
        <is>
          <t>BLYP-17-011</t>
        </is>
      </c>
      <c r="B350" s="29" t="inlineStr"/>
      <c r="C350" s="29" t="inlineStr">
        <is>
          <t>Connected-account cross-posting</t>
        </is>
      </c>
      <c r="D350" s="29" t="n">
        <v>17</v>
      </c>
      <c r="E350" s="29" t="n">
        <v>11</v>
      </c>
      <c r="F350" s="29" t="inlineStr">
        <is>
          <t>Feature</t>
        </is>
      </c>
      <c r="G350" s="29" t="inlineStr">
        <is>
          <t>Adapt media size and duration per platform</t>
        </is>
      </c>
      <c r="H350" s="29" t="inlineStr">
        <is>
          <t>Adapt media size and duration per platform</t>
        </is>
      </c>
      <c r="I350" s="29" t="inlineStr">
        <is>
          <t>/home/ubuntu/blyp_product_requirements.md :: Section 17 — Connected-account cross-posting</t>
        </is>
      </c>
      <c r="J350" s="29" t="inlineStr">
        <is>
          <t>/home/ubuntu/BLYP_COMPLETE_FEATURE_LIST.md:444</t>
        </is>
      </c>
      <c r="K350" s="29" t="inlineStr">
        <is>
          <t>Required</t>
        </is>
      </c>
      <c r="L350" s="29" t="inlineStr">
        <is>
          <t>Applicable BLYP member</t>
        </is>
      </c>
      <c r="M350" s="29" t="inlineStr">
        <is>
          <t>BLYP mobile application and supporting production services</t>
        </is>
      </c>
      <c r="N350" s="29" t="inlineStr">
        <is>
          <t>Adapt media size and duration per platform</t>
        </is>
      </c>
      <c r="O350" s="29" t="inlineStr">
        <is>
          <t>Not explicitly defined in the product source; requires accountable product approval before production sign-off.</t>
        </is>
      </c>
      <c r="P350" s="29" t="inlineStr"/>
      <c r="Q350" s="29" t="inlineStr">
        <is>
          <t>No evidence</t>
        </is>
      </c>
      <c r="R350" s="29" t="inlineStr"/>
      <c r="S350" s="29" t="inlineStr">
        <is>
          <t>Not found</t>
        </is>
      </c>
      <c r="T350" s="29" t="inlineStr">
        <is>
          <t>Not found</t>
        </is>
      </c>
      <c r="U350" s="29" t="inlineStr">
        <is>
          <t>Not found</t>
        </is>
      </c>
      <c r="V350" s="29" t="inlineStr">
        <is>
          <t>Not found</t>
        </is>
      </c>
      <c r="W350" s="29" t="inlineStr">
        <is>
          <t>Not found</t>
        </is>
      </c>
      <c r="X350" s="29" t="inlineStr">
        <is>
          <t>Not found</t>
        </is>
      </c>
      <c r="Y350" s="29" t="inlineStr">
        <is>
          <t>Not found</t>
        </is>
      </c>
      <c r="Z350" s="29" t="inlineStr">
        <is>
          <t>Not found</t>
        </is>
      </c>
      <c r="AA350" s="29" t="inlineStr">
        <is>
          <t>Not found</t>
        </is>
      </c>
      <c r="AB350" s="29" t="inlineStr">
        <is>
          <t>Unknown</t>
        </is>
      </c>
      <c r="AC350" s="29" t="inlineStr"/>
      <c r="AD350" s="29" t="inlineStr">
        <is>
          <t>Unknown</t>
        </is>
      </c>
      <c r="AE350" s="29" t="inlineStr">
        <is>
          <t>Unknown</t>
        </is>
      </c>
      <c r="AF350" s="29" t="inlineStr"/>
      <c r="AG350" s="29" t="inlineStr">
        <is>
          <t>Unknown</t>
        </is>
      </c>
      <c r="AH350" s="29" t="inlineStr">
        <is>
          <t>Unknown</t>
        </is>
      </c>
      <c r="AI350" s="29" t="inlineStr">
        <is>
          <t>Searched for media adaptation in source.</t>
        </is>
      </c>
      <c r="AJ350" s="29" t="inlineStr">
        <is>
          <t>Not verified</t>
        </is>
      </c>
      <c r="AK350" s="29" t="inlineStr">
        <is>
          <t>EV-17-0004</t>
        </is>
      </c>
      <c r="AL350" s="29" t="inlineStr"/>
      <c r="AM350" s="29" t="inlineStr"/>
      <c r="AN350" s="29" t="inlineStr"/>
      <c r="AO350" s="29" t="inlineStr">
        <is>
          <t>8bc0dcb2a1da1b21368c5536aaeef829d587f316</t>
        </is>
      </c>
      <c r="AP350" s="29" t="inlineStr">
        <is>
          <t>High</t>
        </is>
      </c>
      <c r="AQ350" s="29" t="inlineStr">
        <is>
          <t>Not assessed</t>
        </is>
      </c>
      <c r="AR350" s="29" t="inlineStr">
        <is>
          <t>Not assessed</t>
        </is>
      </c>
      <c r="AS350" s="29" t="inlineStr">
        <is>
          <t>Not assessed</t>
        </is>
      </c>
      <c r="AT350" s="29" t="inlineStr">
        <is>
          <t>Not assessed</t>
        </is>
      </c>
      <c r="AU350" s="29" t="inlineStr">
        <is>
          <t>Not assessed</t>
        </is>
      </c>
      <c r="AV350" s="29" t="inlineStr">
        <is>
          <t>Not assessed</t>
        </is>
      </c>
      <c r="AW350" s="29" t="inlineStr">
        <is>
          <t>Not assessed</t>
        </is>
      </c>
      <c r="AX350" s="29" t="inlineStr">
        <is>
          <t>Not assessed</t>
        </is>
      </c>
      <c r="AY350" s="29" t="inlineStr">
        <is>
          <t>Not assessed</t>
        </is>
      </c>
      <c r="AZ350" s="29" t="inlineStr">
        <is>
          <t>Not assessed</t>
        </is>
      </c>
      <c r="BA350" s="29" t="inlineStr">
        <is>
          <t>Not assessed</t>
        </is>
      </c>
      <c r="BB350" s="29" t="inlineStr">
        <is>
          <t>Not assessed</t>
        </is>
      </c>
      <c r="BC350" s="29" t="inlineStr">
        <is>
          <t>Not assessed</t>
        </is>
      </c>
      <c r="BD350" s="29" t="inlineStr">
        <is>
          <t>Not assessed</t>
        </is>
      </c>
      <c r="BE350" s="29" t="inlineStr">
        <is>
          <t>Development required</t>
        </is>
      </c>
      <c r="BF350" s="29" t="inlineStr">
        <is>
          <t>Missing implementation; Physical implementation is not complete against the stated requirement.; Searched for media adaptation in source.</t>
        </is>
      </c>
      <c r="BG350" s="29" t="inlineStr">
        <is>
          <t>Source code for media adaptation</t>
        </is>
      </c>
      <c r="BH350" s="29" t="inlineStr"/>
      <c r="BI350" s="29" t="inlineStr"/>
      <c r="BJ350" s="29" t="inlineStr"/>
      <c r="BK350" s="29" t="inlineStr">
        <is>
          <t>Evidence reconciled against the reviewed source revision. No production approval is inferred from implementation or file presence.</t>
        </is>
      </c>
      <c r="BL350" s="29" t="inlineStr">
        <is>
          <t>2026-08-02</t>
        </is>
      </c>
    </row>
    <row r="351" ht="42" customHeight="1">
      <c r="A351" s="29" t="inlineStr">
        <is>
          <t>BLYP-17-012</t>
        </is>
      </c>
      <c r="B351" s="29" t="inlineStr"/>
      <c r="C351" s="29" t="inlineStr">
        <is>
          <t>Connected-account cross-posting</t>
        </is>
      </c>
      <c r="D351" s="29" t="n">
        <v>17</v>
      </c>
      <c r="E351" s="29" t="n">
        <v>12</v>
      </c>
      <c r="F351" s="29" t="inlineStr">
        <is>
          <t>Feature</t>
        </is>
      </c>
      <c r="G351" s="29" t="inlineStr">
        <is>
          <t>Per-platform queued status</t>
        </is>
      </c>
      <c r="H351" s="29" t="inlineStr">
        <is>
          <t>Per-platform queued status</t>
        </is>
      </c>
      <c r="I351" s="29" t="inlineStr">
        <is>
          <t>/home/ubuntu/blyp_product_requirements.md :: Section 17 — Connected-account cross-posting</t>
        </is>
      </c>
      <c r="J351" s="29" t="inlineStr">
        <is>
          <t>/home/ubuntu/BLYP_COMPLETE_FEATURE_LIST.md:445</t>
        </is>
      </c>
      <c r="K351" s="29" t="inlineStr">
        <is>
          <t>Required</t>
        </is>
      </c>
      <c r="L351" s="29" t="inlineStr">
        <is>
          <t>Applicable BLYP member</t>
        </is>
      </c>
      <c r="M351" s="29" t="inlineStr">
        <is>
          <t>BLYP mobile application and supporting production services</t>
        </is>
      </c>
      <c r="N351" s="29" t="inlineStr">
        <is>
          <t>Per-platform queued status</t>
        </is>
      </c>
      <c r="O351" s="29" t="inlineStr">
        <is>
          <t>Not explicitly defined in the product source; requires accountable product approval before production sign-off.</t>
        </is>
      </c>
      <c r="P351" s="29" t="inlineStr"/>
      <c r="Q351" s="29" t="inlineStr">
        <is>
          <t>No evidence</t>
        </is>
      </c>
      <c r="R351" s="29" t="inlineStr"/>
      <c r="S351" s="29" t="inlineStr">
        <is>
          <t>Not found</t>
        </is>
      </c>
      <c r="T351" s="29" t="inlineStr">
        <is>
          <t>Not found</t>
        </is>
      </c>
      <c r="U351" s="29" t="inlineStr">
        <is>
          <t>Not found</t>
        </is>
      </c>
      <c r="V351" s="29" t="inlineStr">
        <is>
          <t>Not found</t>
        </is>
      </c>
      <c r="W351" s="29" t="inlineStr">
        <is>
          <t>Not found</t>
        </is>
      </c>
      <c r="X351" s="29" t="inlineStr">
        <is>
          <t>Not found</t>
        </is>
      </c>
      <c r="Y351" s="29" t="inlineStr">
        <is>
          <t>Not found</t>
        </is>
      </c>
      <c r="Z351" s="29" t="inlineStr">
        <is>
          <t>Not found</t>
        </is>
      </c>
      <c r="AA351" s="29" t="inlineStr">
        <is>
          <t>Not found</t>
        </is>
      </c>
      <c r="AB351" s="29" t="inlineStr">
        <is>
          <t>Unknown</t>
        </is>
      </c>
      <c r="AC351" s="29" t="inlineStr"/>
      <c r="AD351" s="29" t="inlineStr">
        <is>
          <t>Unknown</t>
        </is>
      </c>
      <c r="AE351" s="29" t="inlineStr">
        <is>
          <t>Unknown</t>
        </is>
      </c>
      <c r="AF351" s="29" t="inlineStr"/>
      <c r="AG351" s="29" t="inlineStr">
        <is>
          <t>Unknown</t>
        </is>
      </c>
      <c r="AH351" s="29" t="inlineStr">
        <is>
          <t>Unknown</t>
        </is>
      </c>
      <c r="AI351" s="29" t="inlineStr">
        <is>
          <t>Searched for queued status in source.</t>
        </is>
      </c>
      <c r="AJ351" s="29" t="inlineStr">
        <is>
          <t>Not verified</t>
        </is>
      </c>
      <c r="AK351" s="29" t="inlineStr">
        <is>
          <t>EV-17-0004</t>
        </is>
      </c>
      <c r="AL351" s="29" t="inlineStr"/>
      <c r="AM351" s="29" t="inlineStr"/>
      <c r="AN351" s="29" t="inlineStr"/>
      <c r="AO351" s="29" t="inlineStr">
        <is>
          <t>8bc0dcb2a1da1b21368c5536aaeef829d587f316</t>
        </is>
      </c>
      <c r="AP351" s="29" t="inlineStr">
        <is>
          <t>High</t>
        </is>
      </c>
      <c r="AQ351" s="29" t="inlineStr">
        <is>
          <t>Not assessed</t>
        </is>
      </c>
      <c r="AR351" s="29" t="inlineStr">
        <is>
          <t>Not assessed</t>
        </is>
      </c>
      <c r="AS351" s="29" t="inlineStr">
        <is>
          <t>Not assessed</t>
        </is>
      </c>
      <c r="AT351" s="29" t="inlineStr">
        <is>
          <t>Not assessed</t>
        </is>
      </c>
      <c r="AU351" s="29" t="inlineStr">
        <is>
          <t>Not assessed</t>
        </is>
      </c>
      <c r="AV351" s="29" t="inlineStr">
        <is>
          <t>Not assessed</t>
        </is>
      </c>
      <c r="AW351" s="29" t="inlineStr">
        <is>
          <t>Not assessed</t>
        </is>
      </c>
      <c r="AX351" s="29" t="inlineStr">
        <is>
          <t>Not assessed</t>
        </is>
      </c>
      <c r="AY351" s="29" t="inlineStr">
        <is>
          <t>Not assessed</t>
        </is>
      </c>
      <c r="AZ351" s="29" t="inlineStr">
        <is>
          <t>Not assessed</t>
        </is>
      </c>
      <c r="BA351" s="29" t="inlineStr">
        <is>
          <t>Not assessed</t>
        </is>
      </c>
      <c r="BB351" s="29" t="inlineStr">
        <is>
          <t>Not assessed</t>
        </is>
      </c>
      <c r="BC351" s="29" t="inlineStr">
        <is>
          <t>Not assessed</t>
        </is>
      </c>
      <c r="BD351" s="29" t="inlineStr">
        <is>
          <t>Not assessed</t>
        </is>
      </c>
      <c r="BE351" s="29" t="inlineStr">
        <is>
          <t>Development required</t>
        </is>
      </c>
      <c r="BF351" s="29" t="inlineStr">
        <is>
          <t>Missing implementation; Physical implementation is not complete against the stated requirement.; Searched for queued status in source.</t>
        </is>
      </c>
      <c r="BG351" s="29" t="inlineStr">
        <is>
          <t>Source code for queued status</t>
        </is>
      </c>
      <c r="BH351" s="29" t="inlineStr"/>
      <c r="BI351" s="29" t="inlineStr"/>
      <c r="BJ351" s="29" t="inlineStr"/>
      <c r="BK351" s="29" t="inlineStr">
        <is>
          <t>Evidence reconciled against the reviewed source revision. No production approval is inferred from implementation or file presence.</t>
        </is>
      </c>
      <c r="BL351" s="29" t="inlineStr">
        <is>
          <t>2026-08-02</t>
        </is>
      </c>
    </row>
    <row r="352" ht="42" customHeight="1">
      <c r="A352" s="29" t="inlineStr">
        <is>
          <t>BLYP-17-013</t>
        </is>
      </c>
      <c r="B352" s="29" t="inlineStr"/>
      <c r="C352" s="29" t="inlineStr">
        <is>
          <t>Connected-account cross-posting</t>
        </is>
      </c>
      <c r="D352" s="29" t="n">
        <v>17</v>
      </c>
      <c r="E352" s="29" t="n">
        <v>13</v>
      </c>
      <c r="F352" s="29" t="inlineStr">
        <is>
          <t>Feature</t>
        </is>
      </c>
      <c r="G352" s="29" t="inlineStr">
        <is>
          <t>Per-platform success status</t>
        </is>
      </c>
      <c r="H352" s="29" t="inlineStr">
        <is>
          <t>Per-platform success status</t>
        </is>
      </c>
      <c r="I352" s="29" t="inlineStr">
        <is>
          <t>/home/ubuntu/blyp_product_requirements.md :: Section 17 — Connected-account cross-posting</t>
        </is>
      </c>
      <c r="J352" s="29" t="inlineStr">
        <is>
          <t>/home/ubuntu/BLYP_COMPLETE_FEATURE_LIST.md:446</t>
        </is>
      </c>
      <c r="K352" s="29" t="inlineStr">
        <is>
          <t>Required</t>
        </is>
      </c>
      <c r="L352" s="29" t="inlineStr">
        <is>
          <t>Applicable BLYP member</t>
        </is>
      </c>
      <c r="M352" s="29" t="inlineStr">
        <is>
          <t>BLYP mobile application and supporting production services</t>
        </is>
      </c>
      <c r="N352" s="29" t="inlineStr">
        <is>
          <t>Per-platform success status</t>
        </is>
      </c>
      <c r="O352" s="29" t="inlineStr">
        <is>
          <t>Not explicitly defined in the product source; requires accountable product approval before production sign-off.</t>
        </is>
      </c>
      <c r="P352" s="29" t="inlineStr"/>
      <c r="Q352" s="29" t="inlineStr">
        <is>
          <t>No evidence</t>
        </is>
      </c>
      <c r="R352" s="29" t="inlineStr"/>
      <c r="S352" s="29" t="inlineStr">
        <is>
          <t>Not found</t>
        </is>
      </c>
      <c r="T352" s="29" t="inlineStr">
        <is>
          <t>Not found</t>
        </is>
      </c>
      <c r="U352" s="29" t="inlineStr">
        <is>
          <t>Not found</t>
        </is>
      </c>
      <c r="V352" s="29" t="inlineStr">
        <is>
          <t>Not found</t>
        </is>
      </c>
      <c r="W352" s="29" t="inlineStr">
        <is>
          <t>Not found</t>
        </is>
      </c>
      <c r="X352" s="29" t="inlineStr">
        <is>
          <t>Not found</t>
        </is>
      </c>
      <c r="Y352" s="29" t="inlineStr">
        <is>
          <t>Not found</t>
        </is>
      </c>
      <c r="Z352" s="29" t="inlineStr">
        <is>
          <t>Not found</t>
        </is>
      </c>
      <c r="AA352" s="29" t="inlineStr">
        <is>
          <t>Not found</t>
        </is>
      </c>
      <c r="AB352" s="29" t="inlineStr">
        <is>
          <t>Unknown</t>
        </is>
      </c>
      <c r="AC352" s="29" t="inlineStr"/>
      <c r="AD352" s="29" t="inlineStr">
        <is>
          <t>Unknown</t>
        </is>
      </c>
      <c r="AE352" s="29" t="inlineStr">
        <is>
          <t>Unknown</t>
        </is>
      </c>
      <c r="AF352" s="29" t="inlineStr"/>
      <c r="AG352" s="29" t="inlineStr">
        <is>
          <t>Unknown</t>
        </is>
      </c>
      <c r="AH352" s="29" t="inlineStr">
        <is>
          <t>Unknown</t>
        </is>
      </c>
      <c r="AI352" s="29" t="inlineStr">
        <is>
          <t>Searched for success status in source.</t>
        </is>
      </c>
      <c r="AJ352" s="29" t="inlineStr">
        <is>
          <t>Not verified</t>
        </is>
      </c>
      <c r="AK352" s="29" t="inlineStr">
        <is>
          <t>EV-17-0004</t>
        </is>
      </c>
      <c r="AL352" s="29" t="inlineStr"/>
      <c r="AM352" s="29" t="inlineStr"/>
      <c r="AN352" s="29" t="inlineStr"/>
      <c r="AO352" s="29" t="inlineStr">
        <is>
          <t>8bc0dcb2a1da1b21368c5536aaeef829d587f316</t>
        </is>
      </c>
      <c r="AP352" s="29" t="inlineStr">
        <is>
          <t>High</t>
        </is>
      </c>
      <c r="AQ352" s="29" t="inlineStr">
        <is>
          <t>Not assessed</t>
        </is>
      </c>
      <c r="AR352" s="29" t="inlineStr">
        <is>
          <t>Not assessed</t>
        </is>
      </c>
      <c r="AS352" s="29" t="inlineStr">
        <is>
          <t>Not assessed</t>
        </is>
      </c>
      <c r="AT352" s="29" t="inlineStr">
        <is>
          <t>Not assessed</t>
        </is>
      </c>
      <c r="AU352" s="29" t="inlineStr">
        <is>
          <t>Not assessed</t>
        </is>
      </c>
      <c r="AV352" s="29" t="inlineStr">
        <is>
          <t>Not assessed</t>
        </is>
      </c>
      <c r="AW352" s="29" t="inlineStr">
        <is>
          <t>Not assessed</t>
        </is>
      </c>
      <c r="AX352" s="29" t="inlineStr">
        <is>
          <t>Not assessed</t>
        </is>
      </c>
      <c r="AY352" s="29" t="inlineStr">
        <is>
          <t>Not assessed</t>
        </is>
      </c>
      <c r="AZ352" s="29" t="inlineStr">
        <is>
          <t>Not assessed</t>
        </is>
      </c>
      <c r="BA352" s="29" t="inlineStr">
        <is>
          <t>Not assessed</t>
        </is>
      </c>
      <c r="BB352" s="29" t="inlineStr">
        <is>
          <t>Not assessed</t>
        </is>
      </c>
      <c r="BC352" s="29" t="inlineStr">
        <is>
          <t>Not assessed</t>
        </is>
      </c>
      <c r="BD352" s="29" t="inlineStr">
        <is>
          <t>Not assessed</t>
        </is>
      </c>
      <c r="BE352" s="29" t="inlineStr">
        <is>
          <t>Development required</t>
        </is>
      </c>
      <c r="BF352" s="29" t="inlineStr">
        <is>
          <t>Missing implementation; Physical implementation is not complete against the stated requirement.; Searched for success status in source.</t>
        </is>
      </c>
      <c r="BG352" s="29" t="inlineStr">
        <is>
          <t>Source code for success status</t>
        </is>
      </c>
      <c r="BH352" s="29" t="inlineStr"/>
      <c r="BI352" s="29" t="inlineStr"/>
      <c r="BJ352" s="29" t="inlineStr"/>
      <c r="BK352" s="29" t="inlineStr">
        <is>
          <t>Evidence reconciled against the reviewed source revision. No production approval is inferred from implementation or file presence.</t>
        </is>
      </c>
      <c r="BL352" s="29" t="inlineStr">
        <is>
          <t>2026-08-02</t>
        </is>
      </c>
    </row>
    <row r="353" ht="42" customHeight="1">
      <c r="A353" s="29" t="inlineStr">
        <is>
          <t>BLYP-17-014</t>
        </is>
      </c>
      <c r="B353" s="29" t="inlineStr"/>
      <c r="C353" s="29" t="inlineStr">
        <is>
          <t>Connected-account cross-posting</t>
        </is>
      </c>
      <c r="D353" s="29" t="n">
        <v>17</v>
      </c>
      <c r="E353" s="29" t="n">
        <v>14</v>
      </c>
      <c r="F353" s="29" t="inlineStr">
        <is>
          <t>Feature</t>
        </is>
      </c>
      <c r="G353" s="29" t="inlineStr">
        <is>
          <t>Per-platform failure status</t>
        </is>
      </c>
      <c r="H353" s="29" t="inlineStr">
        <is>
          <t>Per-platform failure status</t>
        </is>
      </c>
      <c r="I353" s="29" t="inlineStr">
        <is>
          <t>/home/ubuntu/blyp_product_requirements.md :: Section 17 — Connected-account cross-posting</t>
        </is>
      </c>
      <c r="J353" s="29" t="inlineStr">
        <is>
          <t>/home/ubuntu/BLYP_COMPLETE_FEATURE_LIST.md:447</t>
        </is>
      </c>
      <c r="K353" s="29" t="inlineStr">
        <is>
          <t>Required</t>
        </is>
      </c>
      <c r="L353" s="29" t="inlineStr">
        <is>
          <t>Applicable BLYP member</t>
        </is>
      </c>
      <c r="M353" s="29" t="inlineStr">
        <is>
          <t>BLYP mobile application and supporting production services</t>
        </is>
      </c>
      <c r="N353" s="29" t="inlineStr">
        <is>
          <t>Per-platform failure status</t>
        </is>
      </c>
      <c r="O353" s="29" t="inlineStr">
        <is>
          <t>Not explicitly defined in the product source; requires accountable product approval before production sign-off.</t>
        </is>
      </c>
      <c r="P353" s="29" t="inlineStr"/>
      <c r="Q353" s="29" t="inlineStr">
        <is>
          <t>No evidence</t>
        </is>
      </c>
      <c r="R353" s="29" t="inlineStr"/>
      <c r="S353" s="29" t="inlineStr">
        <is>
          <t>Not found</t>
        </is>
      </c>
      <c r="T353" s="29" t="inlineStr">
        <is>
          <t>Not found</t>
        </is>
      </c>
      <c r="U353" s="29" t="inlineStr">
        <is>
          <t>Not found</t>
        </is>
      </c>
      <c r="V353" s="29" t="inlineStr">
        <is>
          <t>Not found</t>
        </is>
      </c>
      <c r="W353" s="29" t="inlineStr">
        <is>
          <t>Not found</t>
        </is>
      </c>
      <c r="X353" s="29" t="inlineStr">
        <is>
          <t>Not found</t>
        </is>
      </c>
      <c r="Y353" s="29" t="inlineStr">
        <is>
          <t>Not found</t>
        </is>
      </c>
      <c r="Z353" s="29" t="inlineStr">
        <is>
          <t>Not found</t>
        </is>
      </c>
      <c r="AA353" s="29" t="inlineStr">
        <is>
          <t>Not found</t>
        </is>
      </c>
      <c r="AB353" s="29" t="inlineStr">
        <is>
          <t>Unknown</t>
        </is>
      </c>
      <c r="AC353" s="29" t="inlineStr"/>
      <c r="AD353" s="29" t="inlineStr">
        <is>
          <t>Unknown</t>
        </is>
      </c>
      <c r="AE353" s="29" t="inlineStr">
        <is>
          <t>Unknown</t>
        </is>
      </c>
      <c r="AF353" s="29" t="inlineStr"/>
      <c r="AG353" s="29" t="inlineStr">
        <is>
          <t>Unknown</t>
        </is>
      </c>
      <c r="AH353" s="29" t="inlineStr">
        <is>
          <t>Unknown</t>
        </is>
      </c>
      <c r="AI353" s="29" t="inlineStr">
        <is>
          <t>Searched for failure status in source.</t>
        </is>
      </c>
      <c r="AJ353" s="29" t="inlineStr">
        <is>
          <t>Not verified</t>
        </is>
      </c>
      <c r="AK353" s="29" t="inlineStr">
        <is>
          <t>EV-17-0004</t>
        </is>
      </c>
      <c r="AL353" s="29" t="inlineStr"/>
      <c r="AM353" s="29" t="inlineStr"/>
      <c r="AN353" s="29" t="inlineStr"/>
      <c r="AO353" s="29" t="inlineStr">
        <is>
          <t>8bc0dcb2a1da1b21368c5536aaeef829d587f316</t>
        </is>
      </c>
      <c r="AP353" s="29" t="inlineStr">
        <is>
          <t>High</t>
        </is>
      </c>
      <c r="AQ353" s="29" t="inlineStr">
        <is>
          <t>Not assessed</t>
        </is>
      </c>
      <c r="AR353" s="29" t="inlineStr">
        <is>
          <t>Not assessed</t>
        </is>
      </c>
      <c r="AS353" s="29" t="inlineStr">
        <is>
          <t>Not assessed</t>
        </is>
      </c>
      <c r="AT353" s="29" t="inlineStr">
        <is>
          <t>Not assessed</t>
        </is>
      </c>
      <c r="AU353" s="29" t="inlineStr">
        <is>
          <t>Not assessed</t>
        </is>
      </c>
      <c r="AV353" s="29" t="inlineStr">
        <is>
          <t>Not assessed</t>
        </is>
      </c>
      <c r="AW353" s="29" t="inlineStr">
        <is>
          <t>Not assessed</t>
        </is>
      </c>
      <c r="AX353" s="29" t="inlineStr">
        <is>
          <t>Not assessed</t>
        </is>
      </c>
      <c r="AY353" s="29" t="inlineStr">
        <is>
          <t>Not assessed</t>
        </is>
      </c>
      <c r="AZ353" s="29" t="inlineStr">
        <is>
          <t>Not assessed</t>
        </is>
      </c>
      <c r="BA353" s="29" t="inlineStr">
        <is>
          <t>Not assessed</t>
        </is>
      </c>
      <c r="BB353" s="29" t="inlineStr">
        <is>
          <t>Not assessed</t>
        </is>
      </c>
      <c r="BC353" s="29" t="inlineStr">
        <is>
          <t>Not assessed</t>
        </is>
      </c>
      <c r="BD353" s="29" t="inlineStr">
        <is>
          <t>Not assessed</t>
        </is>
      </c>
      <c r="BE353" s="29" t="inlineStr">
        <is>
          <t>Development required</t>
        </is>
      </c>
      <c r="BF353" s="29" t="inlineStr">
        <is>
          <t>Missing implementation; Physical implementation is not complete against the stated requirement.; Searched for failure status in source.</t>
        </is>
      </c>
      <c r="BG353" s="29" t="inlineStr">
        <is>
          <t>Source code for failure status</t>
        </is>
      </c>
      <c r="BH353" s="29" t="inlineStr"/>
      <c r="BI353" s="29" t="inlineStr"/>
      <c r="BJ353" s="29" t="inlineStr"/>
      <c r="BK353" s="29" t="inlineStr">
        <is>
          <t>Evidence reconciled against the reviewed source revision. No production approval is inferred from implementation or file presence.</t>
        </is>
      </c>
      <c r="BL353" s="29" t="inlineStr">
        <is>
          <t>2026-08-02</t>
        </is>
      </c>
    </row>
    <row r="354" ht="42" customHeight="1">
      <c r="A354" s="29" t="inlineStr">
        <is>
          <t>BLYP-17-015</t>
        </is>
      </c>
      <c r="B354" s="29" t="inlineStr"/>
      <c r="C354" s="29" t="inlineStr">
        <is>
          <t>Connected-account cross-posting</t>
        </is>
      </c>
      <c r="D354" s="29" t="n">
        <v>17</v>
      </c>
      <c r="E354" s="29" t="n">
        <v>15</v>
      </c>
      <c r="F354" s="29" t="inlineStr">
        <is>
          <t>Feature</t>
        </is>
      </c>
      <c r="G354" s="29" t="inlineStr">
        <is>
          <t>Per-platform retry</t>
        </is>
      </c>
      <c r="H354" s="29" t="inlineStr">
        <is>
          <t>Per-platform retry</t>
        </is>
      </c>
      <c r="I354" s="29" t="inlineStr">
        <is>
          <t>/home/ubuntu/blyp_product_requirements.md :: Section 17 — Connected-account cross-posting</t>
        </is>
      </c>
      <c r="J354" s="29" t="inlineStr">
        <is>
          <t>/home/ubuntu/BLYP_COMPLETE_FEATURE_LIST.md:448</t>
        </is>
      </c>
      <c r="K354" s="29" t="inlineStr">
        <is>
          <t>Required</t>
        </is>
      </c>
      <c r="L354" s="29" t="inlineStr">
        <is>
          <t>Applicable BLYP member</t>
        </is>
      </c>
      <c r="M354" s="29" t="inlineStr">
        <is>
          <t>BLYP mobile application and supporting production services</t>
        </is>
      </c>
      <c r="N354" s="29" t="inlineStr">
        <is>
          <t>Per-platform retry</t>
        </is>
      </c>
      <c r="O354" s="29" t="inlineStr">
        <is>
          <t>Not explicitly defined in the product source; requires accountable product approval before production sign-off.</t>
        </is>
      </c>
      <c r="P354" s="29" t="inlineStr"/>
      <c r="Q354" s="29" t="inlineStr">
        <is>
          <t>No evidence</t>
        </is>
      </c>
      <c r="R354" s="29" t="inlineStr"/>
      <c r="S354" s="29" t="inlineStr">
        <is>
          <t>Not found</t>
        </is>
      </c>
      <c r="T354" s="29" t="inlineStr">
        <is>
          <t>Not found</t>
        </is>
      </c>
      <c r="U354" s="29" t="inlineStr">
        <is>
          <t>Not found</t>
        </is>
      </c>
      <c r="V354" s="29" t="inlineStr">
        <is>
          <t>Not found</t>
        </is>
      </c>
      <c r="W354" s="29" t="inlineStr">
        <is>
          <t>Not found</t>
        </is>
      </c>
      <c r="X354" s="29" t="inlineStr">
        <is>
          <t>Not found</t>
        </is>
      </c>
      <c r="Y354" s="29" t="inlineStr">
        <is>
          <t>Not found</t>
        </is>
      </c>
      <c r="Z354" s="29" t="inlineStr">
        <is>
          <t>Not found</t>
        </is>
      </c>
      <c r="AA354" s="29" t="inlineStr">
        <is>
          <t>Not found</t>
        </is>
      </c>
      <c r="AB354" s="29" t="inlineStr">
        <is>
          <t>Unknown</t>
        </is>
      </c>
      <c r="AC354" s="29" t="inlineStr"/>
      <c r="AD354" s="29" t="inlineStr">
        <is>
          <t>Unknown</t>
        </is>
      </c>
      <c r="AE354" s="29" t="inlineStr">
        <is>
          <t>Unknown</t>
        </is>
      </c>
      <c r="AF354" s="29" t="inlineStr"/>
      <c r="AG354" s="29" t="inlineStr">
        <is>
          <t>Unknown</t>
        </is>
      </c>
      <c r="AH354" s="29" t="inlineStr">
        <is>
          <t>Unknown</t>
        </is>
      </c>
      <c r="AI354" s="29" t="inlineStr">
        <is>
          <t>Searched for retry in source.</t>
        </is>
      </c>
      <c r="AJ354" s="29" t="inlineStr">
        <is>
          <t>Not verified</t>
        </is>
      </c>
      <c r="AK354" s="29" t="inlineStr">
        <is>
          <t>EV-17-0004</t>
        </is>
      </c>
      <c r="AL354" s="29" t="inlineStr"/>
      <c r="AM354" s="29" t="inlineStr"/>
      <c r="AN354" s="29" t="inlineStr"/>
      <c r="AO354" s="29" t="inlineStr">
        <is>
          <t>8bc0dcb2a1da1b21368c5536aaeef829d587f316</t>
        </is>
      </c>
      <c r="AP354" s="29" t="inlineStr">
        <is>
          <t>High</t>
        </is>
      </c>
      <c r="AQ354" s="29" t="inlineStr">
        <is>
          <t>Not assessed</t>
        </is>
      </c>
      <c r="AR354" s="29" t="inlineStr">
        <is>
          <t>Not assessed</t>
        </is>
      </c>
      <c r="AS354" s="29" t="inlineStr">
        <is>
          <t>Not assessed</t>
        </is>
      </c>
      <c r="AT354" s="29" t="inlineStr">
        <is>
          <t>Not assessed</t>
        </is>
      </c>
      <c r="AU354" s="29" t="inlineStr">
        <is>
          <t>Not assessed</t>
        </is>
      </c>
      <c r="AV354" s="29" t="inlineStr">
        <is>
          <t>Not assessed</t>
        </is>
      </c>
      <c r="AW354" s="29" t="inlineStr">
        <is>
          <t>Not assessed</t>
        </is>
      </c>
      <c r="AX354" s="29" t="inlineStr">
        <is>
          <t>Not assessed</t>
        </is>
      </c>
      <c r="AY354" s="29" t="inlineStr">
        <is>
          <t>Not assessed</t>
        </is>
      </c>
      <c r="AZ354" s="29" t="inlineStr">
        <is>
          <t>Not assessed</t>
        </is>
      </c>
      <c r="BA354" s="29" t="inlineStr">
        <is>
          <t>Not assessed</t>
        </is>
      </c>
      <c r="BB354" s="29" t="inlineStr">
        <is>
          <t>Not assessed</t>
        </is>
      </c>
      <c r="BC354" s="29" t="inlineStr">
        <is>
          <t>Not assessed</t>
        </is>
      </c>
      <c r="BD354" s="29" t="inlineStr">
        <is>
          <t>Not assessed</t>
        </is>
      </c>
      <c r="BE354" s="29" t="inlineStr">
        <is>
          <t>Development required</t>
        </is>
      </c>
      <c r="BF354" s="29" t="inlineStr">
        <is>
          <t>Missing implementation; Physical implementation is not complete against the stated requirement.; Searched for retry in source.</t>
        </is>
      </c>
      <c r="BG354" s="29" t="inlineStr">
        <is>
          <t>Source code for retry</t>
        </is>
      </c>
      <c r="BH354" s="29" t="inlineStr"/>
      <c r="BI354" s="29" t="inlineStr"/>
      <c r="BJ354" s="29" t="inlineStr"/>
      <c r="BK354" s="29" t="inlineStr">
        <is>
          <t>Evidence reconciled against the reviewed source revision. No production approval is inferred from implementation or file presence.</t>
        </is>
      </c>
      <c r="BL354" s="29" t="inlineStr">
        <is>
          <t>2026-08-02</t>
        </is>
      </c>
    </row>
    <row r="355" ht="42" customHeight="1">
      <c r="A355" s="29" t="inlineStr">
        <is>
          <t>BLYP-17-016</t>
        </is>
      </c>
      <c r="B355" s="29" t="inlineStr"/>
      <c r="C355" s="29" t="inlineStr">
        <is>
          <t>Connected-account cross-posting</t>
        </is>
      </c>
      <c r="D355" s="29" t="n">
        <v>17</v>
      </c>
      <c r="E355" s="29" t="n">
        <v>16</v>
      </c>
      <c r="F355" s="29" t="inlineStr">
        <is>
          <t>Feature</t>
        </is>
      </c>
      <c r="G355" s="29" t="inlineStr">
        <is>
          <t>Secure revocable tokens</t>
        </is>
      </c>
      <c r="H355" s="29" t="inlineStr">
        <is>
          <t>Secure revocable tokens</t>
        </is>
      </c>
      <c r="I355" s="29" t="inlineStr">
        <is>
          <t>/home/ubuntu/blyp_product_requirements.md :: Section 17 — Connected-account cross-posting</t>
        </is>
      </c>
      <c r="J355" s="29" t="inlineStr">
        <is>
          <t>/home/ubuntu/BLYP_COMPLETE_FEATURE_LIST.md:449</t>
        </is>
      </c>
      <c r="K355" s="29" t="inlineStr">
        <is>
          <t>Required</t>
        </is>
      </c>
      <c r="L355" s="29" t="inlineStr">
        <is>
          <t>Applicable BLYP member</t>
        </is>
      </c>
      <c r="M355" s="29" t="inlineStr">
        <is>
          <t>BLYP mobile application and supporting production services</t>
        </is>
      </c>
      <c r="N355" s="29" t="inlineStr">
        <is>
          <t>Secure revocable tokens</t>
        </is>
      </c>
      <c r="O355" s="29" t="inlineStr">
        <is>
          <t>Not explicitly defined in the product source; requires accountable product approval before production sign-off.</t>
        </is>
      </c>
      <c r="P355" s="29" t="inlineStr"/>
      <c r="Q355" s="29" t="inlineStr">
        <is>
          <t>No evidence</t>
        </is>
      </c>
      <c r="R355" s="29" t="inlineStr"/>
      <c r="S355" s="29" t="inlineStr">
        <is>
          <t>Not found</t>
        </is>
      </c>
      <c r="T355" s="29" t="inlineStr">
        <is>
          <t>Not found</t>
        </is>
      </c>
      <c r="U355" s="29" t="inlineStr">
        <is>
          <t>Not found</t>
        </is>
      </c>
      <c r="V355" s="29" t="inlineStr">
        <is>
          <t>Not found</t>
        </is>
      </c>
      <c r="W355" s="29" t="inlineStr">
        <is>
          <t>Not found</t>
        </is>
      </c>
      <c r="X355" s="29" t="inlineStr">
        <is>
          <t>Not found</t>
        </is>
      </c>
      <c r="Y355" s="29" t="inlineStr">
        <is>
          <t>Not found</t>
        </is>
      </c>
      <c r="Z355" s="29" t="inlineStr">
        <is>
          <t>Not found</t>
        </is>
      </c>
      <c r="AA355" s="29" t="inlineStr">
        <is>
          <t>Not found</t>
        </is>
      </c>
      <c r="AB355" s="29" t="inlineStr">
        <is>
          <t>Unknown</t>
        </is>
      </c>
      <c r="AC355" s="29" t="inlineStr"/>
      <c r="AD355" s="29" t="inlineStr">
        <is>
          <t>Unknown</t>
        </is>
      </c>
      <c r="AE355" s="29" t="inlineStr">
        <is>
          <t>Unknown</t>
        </is>
      </c>
      <c r="AF355" s="29" t="inlineStr"/>
      <c r="AG355" s="29" t="inlineStr">
        <is>
          <t>Unknown</t>
        </is>
      </c>
      <c r="AH355" s="29" t="inlineStr">
        <is>
          <t>Unknown</t>
        </is>
      </c>
      <c r="AI355" s="29" t="inlineStr">
        <is>
          <t>Searched for secure tokens in source.</t>
        </is>
      </c>
      <c r="AJ355" s="29" t="inlineStr">
        <is>
          <t>Not verified</t>
        </is>
      </c>
      <c r="AK355" s="29" t="inlineStr">
        <is>
          <t>EV-17-0004</t>
        </is>
      </c>
      <c r="AL355" s="29" t="inlineStr"/>
      <c r="AM355" s="29" t="inlineStr"/>
      <c r="AN355" s="29" t="inlineStr"/>
      <c r="AO355" s="29" t="inlineStr">
        <is>
          <t>8bc0dcb2a1da1b21368c5536aaeef829d587f316</t>
        </is>
      </c>
      <c r="AP355" s="29" t="inlineStr">
        <is>
          <t>High</t>
        </is>
      </c>
      <c r="AQ355" s="29" t="inlineStr">
        <is>
          <t>Not assessed</t>
        </is>
      </c>
      <c r="AR355" s="29" t="inlineStr">
        <is>
          <t>Not assessed</t>
        </is>
      </c>
      <c r="AS355" s="29" t="inlineStr">
        <is>
          <t>Not assessed</t>
        </is>
      </c>
      <c r="AT355" s="29" t="inlineStr">
        <is>
          <t>Not assessed</t>
        </is>
      </c>
      <c r="AU355" s="29" t="inlineStr">
        <is>
          <t>Not assessed</t>
        </is>
      </c>
      <c r="AV355" s="29" t="inlineStr">
        <is>
          <t>Not assessed</t>
        </is>
      </c>
      <c r="AW355" s="29" t="inlineStr">
        <is>
          <t>Not assessed</t>
        </is>
      </c>
      <c r="AX355" s="29" t="inlineStr">
        <is>
          <t>Not assessed</t>
        </is>
      </c>
      <c r="AY355" s="29" t="inlineStr">
        <is>
          <t>Not assessed</t>
        </is>
      </c>
      <c r="AZ355" s="29" t="inlineStr">
        <is>
          <t>Not assessed</t>
        </is>
      </c>
      <c r="BA355" s="29" t="inlineStr">
        <is>
          <t>Not assessed</t>
        </is>
      </c>
      <c r="BB355" s="29" t="inlineStr">
        <is>
          <t>Not assessed</t>
        </is>
      </c>
      <c r="BC355" s="29" t="inlineStr">
        <is>
          <t>Not assessed</t>
        </is>
      </c>
      <c r="BD355" s="29" t="inlineStr">
        <is>
          <t>Not assessed</t>
        </is>
      </c>
      <c r="BE355" s="29" t="inlineStr">
        <is>
          <t>Development required</t>
        </is>
      </c>
      <c r="BF355" s="29" t="inlineStr">
        <is>
          <t>Missing implementation; Physical implementation is not complete against the stated requirement.; Searched for secure tokens in source.</t>
        </is>
      </c>
      <c r="BG355" s="29" t="inlineStr">
        <is>
          <t>Source code for secure tokens</t>
        </is>
      </c>
      <c r="BH355" s="29" t="inlineStr"/>
      <c r="BI355" s="29" t="inlineStr"/>
      <c r="BJ355" s="29" t="inlineStr"/>
      <c r="BK355" s="29" t="inlineStr">
        <is>
          <t>Evidence reconciled against the reviewed source revision. No production approval is inferred from implementation or file presence.</t>
        </is>
      </c>
      <c r="BL355" s="29" t="inlineStr">
        <is>
          <t>2026-08-02</t>
        </is>
      </c>
    </row>
    <row r="356" ht="42" customHeight="1">
      <c r="A356" s="29" t="inlineStr">
        <is>
          <t>BLYP-17-017</t>
        </is>
      </c>
      <c r="B356" s="29" t="inlineStr"/>
      <c r="C356" s="29" t="inlineStr">
        <is>
          <t>Connected-account cross-posting</t>
        </is>
      </c>
      <c r="D356" s="29" t="n">
        <v>17</v>
      </c>
      <c r="E356" s="29" t="n">
        <v>17</v>
      </c>
      <c r="F356" s="29" t="inlineStr">
        <is>
          <t>Feature</t>
        </is>
      </c>
      <c r="G356" s="29" t="inlineStr">
        <is>
          <t>Least-privilege external access</t>
        </is>
      </c>
      <c r="H356" s="29" t="inlineStr">
        <is>
          <t>Least-privilege external access</t>
        </is>
      </c>
      <c r="I356" s="29" t="inlineStr">
        <is>
          <t>/home/ubuntu/blyp_product_requirements.md :: Section 17 — Connected-account cross-posting</t>
        </is>
      </c>
      <c r="J356" s="29" t="inlineStr">
        <is>
          <t>/home/ubuntu/BLYP_COMPLETE_FEATURE_LIST.md:450</t>
        </is>
      </c>
      <c r="K356" s="29" t="inlineStr">
        <is>
          <t>Required</t>
        </is>
      </c>
      <c r="L356" s="29" t="inlineStr">
        <is>
          <t>Applicable BLYP member</t>
        </is>
      </c>
      <c r="M356" s="29" t="inlineStr">
        <is>
          <t>BLYP mobile application and supporting production services</t>
        </is>
      </c>
      <c r="N356" s="29" t="inlineStr">
        <is>
          <t>Least-privilege external access</t>
        </is>
      </c>
      <c r="O356" s="29" t="inlineStr">
        <is>
          <t>Not explicitly defined in the product source; requires accountable product approval before production sign-off.</t>
        </is>
      </c>
      <c r="P356" s="29" t="inlineStr"/>
      <c r="Q356" s="29" t="inlineStr">
        <is>
          <t>No evidence</t>
        </is>
      </c>
      <c r="R356" s="29" t="inlineStr"/>
      <c r="S356" s="29" t="inlineStr">
        <is>
          <t>Not found</t>
        </is>
      </c>
      <c r="T356" s="29" t="inlineStr">
        <is>
          <t>Not found</t>
        </is>
      </c>
      <c r="U356" s="29" t="inlineStr">
        <is>
          <t>Not found</t>
        </is>
      </c>
      <c r="V356" s="29" t="inlineStr">
        <is>
          <t>Not found</t>
        </is>
      </c>
      <c r="W356" s="29" t="inlineStr">
        <is>
          <t>Not found</t>
        </is>
      </c>
      <c r="X356" s="29" t="inlineStr">
        <is>
          <t>Not found</t>
        </is>
      </c>
      <c r="Y356" s="29" t="inlineStr">
        <is>
          <t>Not found</t>
        </is>
      </c>
      <c r="Z356" s="29" t="inlineStr">
        <is>
          <t>Not found</t>
        </is>
      </c>
      <c r="AA356" s="29" t="inlineStr">
        <is>
          <t>Not found</t>
        </is>
      </c>
      <c r="AB356" s="29" t="inlineStr">
        <is>
          <t>Unknown</t>
        </is>
      </c>
      <c r="AC356" s="29" t="inlineStr"/>
      <c r="AD356" s="29" t="inlineStr">
        <is>
          <t>Unknown</t>
        </is>
      </c>
      <c r="AE356" s="29" t="inlineStr">
        <is>
          <t>Unknown</t>
        </is>
      </c>
      <c r="AF356" s="29" t="inlineStr"/>
      <c r="AG356" s="29" t="inlineStr">
        <is>
          <t>Unknown</t>
        </is>
      </c>
      <c r="AH356" s="29" t="inlineStr">
        <is>
          <t>Unknown</t>
        </is>
      </c>
      <c r="AI356" s="29" t="inlineStr">
        <is>
          <t>Searched for least-privilege access in source.</t>
        </is>
      </c>
      <c r="AJ356" s="29" t="inlineStr">
        <is>
          <t>Not verified</t>
        </is>
      </c>
      <c r="AK356" s="29" t="inlineStr">
        <is>
          <t>EV-17-0004</t>
        </is>
      </c>
      <c r="AL356" s="29" t="inlineStr"/>
      <c r="AM356" s="29" t="inlineStr"/>
      <c r="AN356" s="29" t="inlineStr"/>
      <c r="AO356" s="29" t="inlineStr">
        <is>
          <t>8bc0dcb2a1da1b21368c5536aaeef829d587f316</t>
        </is>
      </c>
      <c r="AP356" s="29" t="inlineStr">
        <is>
          <t>High</t>
        </is>
      </c>
      <c r="AQ356" s="29" t="inlineStr">
        <is>
          <t>Not assessed</t>
        </is>
      </c>
      <c r="AR356" s="29" t="inlineStr">
        <is>
          <t>Not assessed</t>
        </is>
      </c>
      <c r="AS356" s="29" t="inlineStr">
        <is>
          <t>Not assessed</t>
        </is>
      </c>
      <c r="AT356" s="29" t="inlineStr">
        <is>
          <t>Not assessed</t>
        </is>
      </c>
      <c r="AU356" s="29" t="inlineStr">
        <is>
          <t>Not assessed</t>
        </is>
      </c>
      <c r="AV356" s="29" t="inlineStr">
        <is>
          <t>Not assessed</t>
        </is>
      </c>
      <c r="AW356" s="29" t="inlineStr">
        <is>
          <t>Not assessed</t>
        </is>
      </c>
      <c r="AX356" s="29" t="inlineStr">
        <is>
          <t>Not assessed</t>
        </is>
      </c>
      <c r="AY356" s="29" t="inlineStr">
        <is>
          <t>Not assessed</t>
        </is>
      </c>
      <c r="AZ356" s="29" t="inlineStr">
        <is>
          <t>Not assessed</t>
        </is>
      </c>
      <c r="BA356" s="29" t="inlineStr">
        <is>
          <t>Not assessed</t>
        </is>
      </c>
      <c r="BB356" s="29" t="inlineStr">
        <is>
          <t>Not assessed</t>
        </is>
      </c>
      <c r="BC356" s="29" t="inlineStr">
        <is>
          <t>Not assessed</t>
        </is>
      </c>
      <c r="BD356" s="29" t="inlineStr">
        <is>
          <t>Not assessed</t>
        </is>
      </c>
      <c r="BE356" s="29" t="inlineStr">
        <is>
          <t>Development required</t>
        </is>
      </c>
      <c r="BF356" s="29" t="inlineStr">
        <is>
          <t>Missing implementation; Physical implementation is not complete against the stated requirement.; Searched for least-privilege access in source.</t>
        </is>
      </c>
      <c r="BG356" s="29" t="inlineStr">
        <is>
          <t>Source code for least-privilege access</t>
        </is>
      </c>
      <c r="BH356" s="29" t="inlineStr"/>
      <c r="BI356" s="29" t="inlineStr"/>
      <c r="BJ356" s="29" t="inlineStr"/>
      <c r="BK356" s="29" t="inlineStr">
        <is>
          <t>Evidence reconciled against the reviewed source revision. No production approval is inferred from implementation or file presence.</t>
        </is>
      </c>
      <c r="BL356" s="29" t="inlineStr">
        <is>
          <t>2026-08-02</t>
        </is>
      </c>
    </row>
    <row r="357" ht="42" customHeight="1">
      <c r="A357" s="29" t="inlineStr">
        <is>
          <t>BLYP-17-018</t>
        </is>
      </c>
      <c r="B357" s="29" t="inlineStr"/>
      <c r="C357" s="29" t="inlineStr">
        <is>
          <t>Connected-account cross-posting</t>
        </is>
      </c>
      <c r="D357" s="29" t="n">
        <v>17</v>
      </c>
      <c r="E357" s="29" t="n">
        <v>18</v>
      </c>
      <c r="F357" s="29" t="inlineStr">
        <is>
          <t>Rule</t>
        </is>
      </c>
      <c r="G357" s="29" t="inlineStr">
        <is>
          <t>No silent external publishing</t>
        </is>
      </c>
      <c r="H357" s="29" t="inlineStr">
        <is>
          <t>No silent external publishing</t>
        </is>
      </c>
      <c r="I357" s="29" t="inlineStr">
        <is>
          <t>/home/ubuntu/blyp_product_requirements.md :: Section 17 — Connected-account cross-posting</t>
        </is>
      </c>
      <c r="J357" s="29" t="inlineStr">
        <is>
          <t>/home/ubuntu/BLYP_COMPLETE_FEATURE_LIST.md:451</t>
        </is>
      </c>
      <c r="K357" s="29" t="inlineStr">
        <is>
          <t>Required</t>
        </is>
      </c>
      <c r="L357" s="29" t="inlineStr">
        <is>
          <t>Authenticated creator or host</t>
        </is>
      </c>
      <c r="M357" s="29" t="inlineStr">
        <is>
          <t>BLYP mobile application and supporting production services</t>
        </is>
      </c>
      <c r="N357" s="29" t="inlineStr">
        <is>
          <t>No silent external publishing</t>
        </is>
      </c>
      <c r="O357" s="29" t="inlineStr">
        <is>
          <t>Not explicitly defined in the product source; requires accountable product approval before production sign-off.</t>
        </is>
      </c>
      <c r="P357" s="29" t="inlineStr"/>
      <c r="Q357" s="29" t="inlineStr">
        <is>
          <t>Yes</t>
        </is>
      </c>
      <c r="R357" s="29" t="inlineStr">
        <is>
          <t>because external publishing is not implemented.</t>
        </is>
      </c>
      <c r="S357" s="29" t="inlineStr">
        <is>
          <t>Not found</t>
        </is>
      </c>
      <c r="T357" s="29" t="inlineStr">
        <is>
          <t>Not found</t>
        </is>
      </c>
      <c r="U357" s="29" t="inlineStr">
        <is>
          <t>Not found</t>
        </is>
      </c>
      <c r="V357" s="29" t="inlineStr">
        <is>
          <t>Not found</t>
        </is>
      </c>
      <c r="W357" s="29" t="inlineStr">
        <is>
          <t>Not found</t>
        </is>
      </c>
      <c r="X357" s="29" t="inlineStr">
        <is>
          <t>Not found</t>
        </is>
      </c>
      <c r="Y357" s="29" t="inlineStr">
        <is>
          <t>Not found</t>
        </is>
      </c>
      <c r="Z357" s="29" t="inlineStr">
        <is>
          <t>Not found</t>
        </is>
      </c>
      <c r="AA357" s="29" t="inlineStr">
        <is>
          <t>Not found</t>
        </is>
      </c>
      <c r="AB357" s="29" t="inlineStr">
        <is>
          <t>Unknown</t>
        </is>
      </c>
      <c r="AC357" s="29" t="inlineStr"/>
      <c r="AD357" s="29" t="inlineStr">
        <is>
          <t>Unknown</t>
        </is>
      </c>
      <c r="AE357" s="29" t="inlineStr">
        <is>
          <t>Unknown</t>
        </is>
      </c>
      <c r="AF357" s="29" t="inlineStr"/>
      <c r="AG357" s="29" t="inlineStr">
        <is>
          <t>Unknown</t>
        </is>
      </c>
      <c r="AH357" s="29" t="inlineStr">
        <is>
          <t>Unknown</t>
        </is>
      </c>
      <c r="AI357" s="29" t="inlineStr">
        <is>
          <t>Rule is supported by lack of backend implementation.</t>
        </is>
      </c>
      <c r="AJ357" s="29" t="inlineStr">
        <is>
          <t>Not verified</t>
        </is>
      </c>
      <c r="AK357" s="29" t="inlineStr">
        <is>
          <t>EV-17-0004</t>
        </is>
      </c>
      <c r="AL357" s="29" t="inlineStr"/>
      <c r="AM357" s="29" t="inlineStr"/>
      <c r="AN357" s="29" t="inlineStr"/>
      <c r="AO357" s="29" t="inlineStr">
        <is>
          <t>8bc0dcb2a1da1b21368c5536aaeef829d587f316</t>
        </is>
      </c>
      <c r="AP357" s="29" t="inlineStr">
        <is>
          <t>High</t>
        </is>
      </c>
      <c r="AQ357" s="29" t="inlineStr">
        <is>
          <t>Not assessed</t>
        </is>
      </c>
      <c r="AR357" s="29" t="inlineStr">
        <is>
          <t>Not assessed</t>
        </is>
      </c>
      <c r="AS357" s="29" t="inlineStr">
        <is>
          <t>Not assessed</t>
        </is>
      </c>
      <c r="AT357" s="29" t="inlineStr">
        <is>
          <t>Not assessed</t>
        </is>
      </c>
      <c r="AU357" s="29" t="inlineStr">
        <is>
          <t>Not assessed</t>
        </is>
      </c>
      <c r="AV357" s="29" t="inlineStr">
        <is>
          <t>Not assessed</t>
        </is>
      </c>
      <c r="AW357" s="29" t="inlineStr">
        <is>
          <t>Not assessed</t>
        </is>
      </c>
      <c r="AX357" s="29" t="inlineStr">
        <is>
          <t>Not assessed</t>
        </is>
      </c>
      <c r="AY357" s="29" t="inlineStr">
        <is>
          <t>Not assessed</t>
        </is>
      </c>
      <c r="AZ357" s="29" t="inlineStr">
        <is>
          <t>Not assessed</t>
        </is>
      </c>
      <c r="BA357" s="29" t="inlineStr">
        <is>
          <t>Not assessed</t>
        </is>
      </c>
      <c r="BB357" s="29" t="inlineStr">
        <is>
          <t>Not assessed</t>
        </is>
      </c>
      <c r="BC357" s="29" t="inlineStr">
        <is>
          <t>Not assessed</t>
        </is>
      </c>
      <c r="BD357" s="29" t="inlineStr">
        <is>
          <t>Not assessed</t>
        </is>
      </c>
      <c r="BE357" s="29" t="inlineStr">
        <is>
          <t>Development required</t>
        </is>
      </c>
      <c r="BF357" s="29" t="inlineStr">
        <is>
          <t>None; Physical implementation is not complete against the stated requirement.; Rule is supported by lack of backend implementation.</t>
        </is>
      </c>
      <c r="BG357" s="29" t="inlineStr">
        <is>
          <t>None</t>
        </is>
      </c>
      <c r="BH357" s="29" t="inlineStr"/>
      <c r="BI357" s="29" t="inlineStr"/>
      <c r="BJ357" s="29" t="inlineStr"/>
      <c r="BK357" s="29" t="inlineStr">
        <is>
          <t>Evidence reconciled against the reviewed source revision. No production approval is inferred from implementation or file presence.</t>
        </is>
      </c>
      <c r="BL357" s="29" t="inlineStr">
        <is>
          <t>2026-08-02</t>
        </is>
      </c>
    </row>
    <row r="358" ht="42" customHeight="1">
      <c r="A358" s="29" t="inlineStr">
        <is>
          <t>BLYP-18-001</t>
        </is>
      </c>
      <c r="B358" s="29" t="inlineStr"/>
      <c r="C358" s="29" t="inlineStr">
        <is>
          <t>BLYP Operations and Admin Centre</t>
        </is>
      </c>
      <c r="D358" s="29" t="n">
        <v>18</v>
      </c>
      <c r="E358" s="29" t="n">
        <v>1</v>
      </c>
      <c r="F358" s="29" t="inlineStr">
        <is>
          <t>Feature</t>
        </is>
      </c>
      <c r="G358" s="29" t="inlineStr">
        <is>
          <t>Admin backend routes</t>
        </is>
      </c>
      <c r="H358" s="29" t="inlineStr">
        <is>
          <t>Admin backend routes</t>
        </is>
      </c>
      <c r="I358" s="29" t="inlineStr">
        <is>
          <t>/home/ubuntu/blyp_product_requirements.md :: Section 18 — BLYP Operations and Admin Centre</t>
        </is>
      </c>
      <c r="J358" s="29" t="inlineStr">
        <is>
          <t>/home/ubuntu/BLYP_COMPLETE_FEATURE_LIST.md:457</t>
        </is>
      </c>
      <c r="K358" s="29" t="inlineStr">
        <is>
          <t>Required</t>
        </is>
      </c>
      <c r="L358" s="29" t="inlineStr">
        <is>
          <t>Authorized operator or accountable service owner</t>
        </is>
      </c>
      <c r="M358" s="29" t="inlineStr">
        <is>
          <t>BLYP mobile application and supporting production services</t>
        </is>
      </c>
      <c r="N358" s="29" t="inlineStr">
        <is>
          <t>Admin backend routes</t>
        </is>
      </c>
      <c r="O358" s="29" t="inlineStr">
        <is>
          <t>Not explicitly defined in the product source; requires accountable product approval before production sign-off.</t>
        </is>
      </c>
      <c r="P358" s="29" t="inlineStr"/>
      <c r="Q358" s="29" t="inlineStr">
        <is>
          <t>Yes</t>
        </is>
      </c>
      <c r="R358" s="29" t="inlineStr"/>
      <c r="S358" s="29" t="inlineStr">
        <is>
          <t>Unknown</t>
        </is>
      </c>
      <c r="T358" s="29" t="inlineStr"/>
      <c r="U358" s="29" t="inlineStr"/>
      <c r="V358" s="29" t="inlineStr"/>
      <c r="W358" s="29" t="inlineStr"/>
      <c r="X358" s="29" t="inlineStr"/>
      <c r="Y358" s="29" t="inlineStr"/>
      <c r="Z358" s="29" t="inlineStr"/>
      <c r="AA358" s="29" t="inlineStr"/>
      <c r="AB358" s="29" t="inlineStr"/>
      <c r="AC358" s="29" t="inlineStr"/>
      <c r="AD358" s="29" t="inlineStr"/>
      <c r="AE358" s="29" t="inlineStr">
        <is>
          <t>Unknown</t>
        </is>
      </c>
      <c r="AF358" s="29" t="inlineStr"/>
      <c r="AG358" s="29" t="inlineStr">
        <is>
          <t>Unknown</t>
        </is>
      </c>
      <c r="AH358" s="29" t="inlineStr">
        <is>
          <t>Unknown</t>
        </is>
      </c>
      <c r="AI358" s="29" t="inlineStr">
        <is>
          <t>No client UI found for admin features</t>
        </is>
      </c>
      <c r="AJ358" s="29" t="inlineStr">
        <is>
          <t>Source traced</t>
        </is>
      </c>
      <c r="AK358" s="29" t="inlineStr"/>
      <c r="AL358" s="29" t="inlineStr"/>
      <c r="AM358" s="29" t="inlineStr"/>
      <c r="AN358" s="29" t="inlineStr"/>
      <c r="AO358" s="29" t="inlineStr">
        <is>
          <t>8bc0dcb2a1da1b21368c5536aaeef829d587f316</t>
        </is>
      </c>
      <c r="AP358" s="29" t="inlineStr">
        <is>
          <t>Medium</t>
        </is>
      </c>
      <c r="AQ358" s="29" t="inlineStr">
        <is>
          <t>Not assessed</t>
        </is>
      </c>
      <c r="AR358" s="29" t="inlineStr">
        <is>
          <t>Not assessed</t>
        </is>
      </c>
      <c r="AS358" s="29" t="inlineStr">
        <is>
          <t>Not assessed</t>
        </is>
      </c>
      <c r="AT358" s="29" t="inlineStr">
        <is>
          <t>Not assessed</t>
        </is>
      </c>
      <c r="AU358" s="29" t="inlineStr">
        <is>
          <t>Not assessed</t>
        </is>
      </c>
      <c r="AV358" s="29" t="inlineStr">
        <is>
          <t>Not assessed</t>
        </is>
      </c>
      <c r="AW358" s="29" t="inlineStr">
        <is>
          <t>Not assessed</t>
        </is>
      </c>
      <c r="AX358" s="29" t="inlineStr">
        <is>
          <t>Not assessed</t>
        </is>
      </c>
      <c r="AY358" s="29" t="inlineStr">
        <is>
          <t>Not assessed</t>
        </is>
      </c>
      <c r="AZ358" s="29" t="inlineStr">
        <is>
          <t>Not assessed</t>
        </is>
      </c>
      <c r="BA358" s="29" t="inlineStr">
        <is>
          <t>Not assessed</t>
        </is>
      </c>
      <c r="BB358" s="29" t="inlineStr">
        <is>
          <t>Not assessed</t>
        </is>
      </c>
      <c r="BC358" s="29" t="inlineStr">
        <is>
          <t>Not assessed</t>
        </is>
      </c>
      <c r="BD358" s="29" t="inlineStr">
        <is>
          <t>Not assessed</t>
        </is>
      </c>
      <c r="BE358" s="29" t="inlineStr">
        <is>
          <t>Not assessed</t>
        </is>
      </c>
      <c r="BF358" s="29" t="inlineStr">
        <is>
          <t>Insufficient evidence to issue a production-readiness conclusion.</t>
        </is>
      </c>
      <c r="BG358" s="29" t="inlineStr"/>
      <c r="BH358" s="29" t="inlineStr"/>
      <c r="BI358" s="29" t="inlineStr"/>
      <c r="BJ358" s="29" t="inlineStr"/>
      <c r="BK358" s="29" t="inlineStr">
        <is>
          <t>Evidence reconciled against the reviewed source revision. No production approval is inferred from implementation or file presence.</t>
        </is>
      </c>
      <c r="BL358" s="29" t="inlineStr">
        <is>
          <t>2026-08-02</t>
        </is>
      </c>
    </row>
    <row r="359" ht="42" customHeight="1">
      <c r="A359" s="29" t="inlineStr">
        <is>
          <t>BLYP-18-002</t>
        </is>
      </c>
      <c r="B359" s="29" t="inlineStr"/>
      <c r="C359" s="29" t="inlineStr">
        <is>
          <t>BLYP Operations and Admin Centre</t>
        </is>
      </c>
      <c r="D359" s="29" t="n">
        <v>18</v>
      </c>
      <c r="E359" s="29" t="n">
        <v>2</v>
      </c>
      <c r="F359" s="29" t="inlineStr">
        <is>
          <t>Feature</t>
        </is>
      </c>
      <c r="G359" s="29" t="inlineStr">
        <is>
          <t>Mobile moderation prototype</t>
        </is>
      </c>
      <c r="H359" s="29" t="inlineStr">
        <is>
          <t>Mobile moderation prototype</t>
        </is>
      </c>
      <c r="I359" s="29" t="inlineStr">
        <is>
          <t>/home/ubuntu/blyp_product_requirements.md :: Section 18 — BLYP Operations and Admin Centre</t>
        </is>
      </c>
      <c r="J359" s="29" t="inlineStr">
        <is>
          <t>/home/ubuntu/BLYP_COMPLETE_FEATURE_LIST.md:458</t>
        </is>
      </c>
      <c r="K359" s="29" t="inlineStr">
        <is>
          <t>Required</t>
        </is>
      </c>
      <c r="L359" s="29" t="inlineStr">
        <is>
          <t>Authorized operator or accountable service owner</t>
        </is>
      </c>
      <c r="M359" s="29" t="inlineStr">
        <is>
          <t>BLYP mobile application and supporting production services</t>
        </is>
      </c>
      <c r="N359" s="29" t="inlineStr">
        <is>
          <t>Mobile moderation prototype</t>
        </is>
      </c>
      <c r="O359" s="29" t="inlineStr">
        <is>
          <t>Not explicitly defined in the product source; requires accountable product approval before production sign-off.</t>
        </is>
      </c>
      <c r="P359" s="29" t="inlineStr"/>
      <c r="Q359" s="29" t="inlineStr">
        <is>
          <t>Yes</t>
        </is>
      </c>
      <c r="R359" s="29" t="inlineStr"/>
      <c r="S359" s="29" t="inlineStr">
        <is>
          <t>Unknown</t>
        </is>
      </c>
      <c r="T359" s="29" t="inlineStr"/>
      <c r="U359" s="29" t="inlineStr"/>
      <c r="V359" s="29" t="inlineStr"/>
      <c r="W359" s="29" t="inlineStr"/>
      <c r="X359" s="29" t="inlineStr"/>
      <c r="Y359" s="29" t="inlineStr"/>
      <c r="Z359" s="29" t="inlineStr"/>
      <c r="AA359" s="29" t="inlineStr"/>
      <c r="AB359" s="29" t="inlineStr"/>
      <c r="AC359" s="29" t="inlineStr"/>
      <c r="AD359" s="29" t="inlineStr"/>
      <c r="AE359" s="29" t="inlineStr">
        <is>
          <t>Unknown</t>
        </is>
      </c>
      <c r="AF359" s="29" t="inlineStr"/>
      <c r="AG359" s="29" t="inlineStr">
        <is>
          <t>Unknown</t>
        </is>
      </c>
      <c r="AH359" s="29" t="inlineStr">
        <is>
          <t>Unknown</t>
        </is>
      </c>
      <c r="AI359" s="29" t="inlineStr">
        <is>
          <t>No client UI found for admin features</t>
        </is>
      </c>
      <c r="AJ359" s="29" t="inlineStr">
        <is>
          <t>Source traced</t>
        </is>
      </c>
      <c r="AK359" s="29" t="inlineStr"/>
      <c r="AL359" s="29" t="inlineStr"/>
      <c r="AM359" s="29" t="inlineStr"/>
      <c r="AN359" s="29" t="inlineStr"/>
      <c r="AO359" s="29" t="inlineStr">
        <is>
          <t>8bc0dcb2a1da1b21368c5536aaeef829d587f316</t>
        </is>
      </c>
      <c r="AP359" s="29" t="inlineStr">
        <is>
          <t>Medium</t>
        </is>
      </c>
      <c r="AQ359" s="29" t="inlineStr">
        <is>
          <t>Not assessed</t>
        </is>
      </c>
      <c r="AR359" s="29" t="inlineStr">
        <is>
          <t>Not assessed</t>
        </is>
      </c>
      <c r="AS359" s="29" t="inlineStr">
        <is>
          <t>Not assessed</t>
        </is>
      </c>
      <c r="AT359" s="29" t="inlineStr">
        <is>
          <t>Not assessed</t>
        </is>
      </c>
      <c r="AU359" s="29" t="inlineStr">
        <is>
          <t>Not assessed</t>
        </is>
      </c>
      <c r="AV359" s="29" t="inlineStr">
        <is>
          <t>Not assessed</t>
        </is>
      </c>
      <c r="AW359" s="29" t="inlineStr">
        <is>
          <t>Not assessed</t>
        </is>
      </c>
      <c r="AX359" s="29" t="inlineStr">
        <is>
          <t>Not assessed</t>
        </is>
      </c>
      <c r="AY359" s="29" t="inlineStr">
        <is>
          <t>Not assessed</t>
        </is>
      </c>
      <c r="AZ359" s="29" t="inlineStr">
        <is>
          <t>Not assessed</t>
        </is>
      </c>
      <c r="BA359" s="29" t="inlineStr">
        <is>
          <t>Not assessed</t>
        </is>
      </c>
      <c r="BB359" s="29" t="inlineStr">
        <is>
          <t>Not assessed</t>
        </is>
      </c>
      <c r="BC359" s="29" t="inlineStr">
        <is>
          <t>Not assessed</t>
        </is>
      </c>
      <c r="BD359" s="29" t="inlineStr">
        <is>
          <t>Not assessed</t>
        </is>
      </c>
      <c r="BE359" s="29" t="inlineStr">
        <is>
          <t>Not assessed</t>
        </is>
      </c>
      <c r="BF359" s="29" t="inlineStr">
        <is>
          <t>Insufficient evidence to issue a production-readiness conclusion.</t>
        </is>
      </c>
      <c r="BG359" s="29" t="inlineStr"/>
      <c r="BH359" s="29" t="inlineStr"/>
      <c r="BI359" s="29" t="inlineStr"/>
      <c r="BJ359" s="29" t="inlineStr"/>
      <c r="BK359" s="29" t="inlineStr">
        <is>
          <t>Evidence reconciled against the reviewed source revision. No production approval is inferred from implementation or file presence.</t>
        </is>
      </c>
      <c r="BL359" s="29" t="inlineStr">
        <is>
          <t>2026-08-02</t>
        </is>
      </c>
    </row>
    <row r="360" ht="42" customHeight="1">
      <c r="A360" s="29" t="inlineStr">
        <is>
          <t>BLYP-18-003</t>
        </is>
      </c>
      <c r="B360" s="29" t="inlineStr"/>
      <c r="C360" s="29" t="inlineStr">
        <is>
          <t>BLYP Operations and Admin Centre</t>
        </is>
      </c>
      <c r="D360" s="29" t="n">
        <v>18</v>
      </c>
      <c r="E360" s="29" t="n">
        <v>3</v>
      </c>
      <c r="F360" s="29" t="inlineStr">
        <is>
          <t>Operational requirement</t>
        </is>
      </c>
      <c r="G360" s="29" t="inlineStr">
        <is>
          <t>Separate web operations centre</t>
        </is>
      </c>
      <c r="H360" s="29" t="inlineStr">
        <is>
          <t>Separate web operations centre</t>
        </is>
      </c>
      <c r="I360" s="29" t="inlineStr">
        <is>
          <t>/home/ubuntu/blyp_product_requirements.md :: Section 18 — BLYP Operations and Admin Centre</t>
        </is>
      </c>
      <c r="J360" s="29" t="inlineStr">
        <is>
          <t>/home/ubuntu/BLYP_COMPLETE_FEATURE_LIST.md:459</t>
        </is>
      </c>
      <c r="K360" s="29" t="inlineStr">
        <is>
          <t>Required</t>
        </is>
      </c>
      <c r="L360" s="29" t="inlineStr">
        <is>
          <t>Authorized operator or accountable service owner</t>
        </is>
      </c>
      <c r="M360" s="29" t="inlineStr">
        <is>
          <t>Production platform and operations</t>
        </is>
      </c>
      <c r="N360" s="29" t="inlineStr">
        <is>
          <t>Separate web operations centre</t>
        </is>
      </c>
      <c r="O360" s="29" t="inlineStr">
        <is>
          <t>Not explicitly defined in the product source; requires accountable product approval before production sign-off.</t>
        </is>
      </c>
      <c r="P360" s="29" t="inlineStr"/>
      <c r="Q360" s="29" t="inlineStr">
        <is>
          <t>No evidence</t>
        </is>
      </c>
      <c r="R360" s="29" t="inlineStr"/>
      <c r="S360" s="29" t="inlineStr">
        <is>
          <t>Unknown</t>
        </is>
      </c>
      <c r="T360" s="29" t="inlineStr"/>
      <c r="U360" s="29" t="inlineStr"/>
      <c r="V360" s="29" t="inlineStr"/>
      <c r="W360" s="29" t="inlineStr"/>
      <c r="X360" s="29" t="inlineStr"/>
      <c r="Y360" s="29" t="inlineStr"/>
      <c r="Z360" s="29" t="inlineStr"/>
      <c r="AA360" s="29" t="inlineStr"/>
      <c r="AB360" s="29" t="inlineStr"/>
      <c r="AC360" s="29" t="inlineStr"/>
      <c r="AD360" s="29" t="inlineStr"/>
      <c r="AE360" s="29" t="inlineStr">
        <is>
          <t>Unknown</t>
        </is>
      </c>
      <c r="AF360" s="29" t="inlineStr"/>
      <c r="AG360" s="29" t="inlineStr">
        <is>
          <t>Unknown</t>
        </is>
      </c>
      <c r="AH360" s="29" t="inlineStr">
        <is>
          <t>Unknown</t>
        </is>
      </c>
      <c r="AI360" s="29" t="inlineStr">
        <is>
          <t>No client UI found for admin features</t>
        </is>
      </c>
      <c r="AJ360" s="29" t="inlineStr">
        <is>
          <t>Source traced</t>
        </is>
      </c>
      <c r="AK360" s="29" t="inlineStr"/>
      <c r="AL360" s="29" t="inlineStr"/>
      <c r="AM360" s="29" t="inlineStr"/>
      <c r="AN360" s="29" t="inlineStr"/>
      <c r="AO360" s="29" t="inlineStr">
        <is>
          <t>8bc0dcb2a1da1b21368c5536aaeef829d587f316</t>
        </is>
      </c>
      <c r="AP360" s="29" t="inlineStr">
        <is>
          <t>Medium</t>
        </is>
      </c>
      <c r="AQ360" s="29" t="inlineStr">
        <is>
          <t>Not assessed</t>
        </is>
      </c>
      <c r="AR360" s="29" t="inlineStr">
        <is>
          <t>Not assessed</t>
        </is>
      </c>
      <c r="AS360" s="29" t="inlineStr">
        <is>
          <t>Not assessed</t>
        </is>
      </c>
      <c r="AT360" s="29" t="inlineStr">
        <is>
          <t>Not assessed</t>
        </is>
      </c>
      <c r="AU360" s="29" t="inlineStr">
        <is>
          <t>Not assessed</t>
        </is>
      </c>
      <c r="AV360" s="29" t="inlineStr">
        <is>
          <t>Not assessed</t>
        </is>
      </c>
      <c r="AW360" s="29" t="inlineStr">
        <is>
          <t>Not assessed</t>
        </is>
      </c>
      <c r="AX360" s="29" t="inlineStr">
        <is>
          <t>Not assessed</t>
        </is>
      </c>
      <c r="AY360" s="29" t="inlineStr">
        <is>
          <t>Not assessed</t>
        </is>
      </c>
      <c r="AZ360" s="29" t="inlineStr">
        <is>
          <t>Not assessed</t>
        </is>
      </c>
      <c r="BA360" s="29" t="inlineStr">
        <is>
          <t>Not assessed</t>
        </is>
      </c>
      <c r="BB360" s="29" t="inlineStr">
        <is>
          <t>Not assessed</t>
        </is>
      </c>
      <c r="BC360" s="29" t="inlineStr">
        <is>
          <t>Not assessed</t>
        </is>
      </c>
      <c r="BD360" s="29" t="inlineStr">
        <is>
          <t>Not assessed</t>
        </is>
      </c>
      <c r="BE360" s="29" t="inlineStr">
        <is>
          <t>Not assessed</t>
        </is>
      </c>
      <c r="BF360" s="29" t="inlineStr">
        <is>
          <t>Insufficient evidence to issue a production-readiness conclusion.</t>
        </is>
      </c>
      <c r="BG360" s="29" t="inlineStr"/>
      <c r="BH360" s="29" t="inlineStr"/>
      <c r="BI360" s="29" t="inlineStr"/>
      <c r="BJ360" s="29" t="inlineStr"/>
      <c r="BK360" s="29" t="inlineStr">
        <is>
          <t>Evidence reconciled against the reviewed source revision. No production approval is inferred from implementation or file presence.</t>
        </is>
      </c>
      <c r="BL360" s="29" t="inlineStr">
        <is>
          <t>2026-08-02</t>
        </is>
      </c>
    </row>
    <row r="361" ht="42" customHeight="1">
      <c r="A361" s="29" t="inlineStr">
        <is>
          <t>BLYP-18-004</t>
        </is>
      </c>
      <c r="B361" s="29" t="inlineStr"/>
      <c r="C361" s="29" t="inlineStr">
        <is>
          <t>BLYP Operations and Admin Centre</t>
        </is>
      </c>
      <c r="D361" s="29" t="n">
        <v>18</v>
      </c>
      <c r="E361" s="29" t="n">
        <v>4</v>
      </c>
      <c r="F361" s="29" t="inlineStr">
        <is>
          <t>Feature</t>
        </is>
      </c>
      <c r="G361" s="29" t="inlineStr">
        <is>
          <t>Multi-factor administrator authentication</t>
        </is>
      </c>
      <c r="H361" s="29" t="inlineStr">
        <is>
          <t>Multi-factor administrator authentication</t>
        </is>
      </c>
      <c r="I361" s="29" t="inlineStr">
        <is>
          <t>/home/ubuntu/blyp_product_requirements.md :: Section 18 — BLYP Operations and Admin Centre</t>
        </is>
      </c>
      <c r="J361" s="29" t="inlineStr">
        <is>
          <t>/home/ubuntu/BLYP_COMPLETE_FEATURE_LIST.md:460</t>
        </is>
      </c>
      <c r="K361" s="29" t="inlineStr">
        <is>
          <t>Required</t>
        </is>
      </c>
      <c r="L361" s="29" t="inlineStr">
        <is>
          <t>Authorized operator or accountable service owner</t>
        </is>
      </c>
      <c r="M361" s="29" t="inlineStr">
        <is>
          <t>BLYP mobile application and supporting production services</t>
        </is>
      </c>
      <c r="N361" s="29" t="inlineStr">
        <is>
          <t>Multi-factor administrator authentication</t>
        </is>
      </c>
      <c r="O361" s="29" t="inlineStr">
        <is>
          <t>Not explicitly defined in the product source; requires accountable product approval before production sign-off.</t>
        </is>
      </c>
      <c r="P361" s="29" t="inlineStr"/>
      <c r="Q361" s="29" t="inlineStr">
        <is>
          <t>No evidence</t>
        </is>
      </c>
      <c r="R361" s="29" t="inlineStr"/>
      <c r="S361" s="29" t="inlineStr">
        <is>
          <t>Unknown</t>
        </is>
      </c>
      <c r="T361" s="29" t="inlineStr"/>
      <c r="U361" s="29" t="inlineStr"/>
      <c r="V361" s="29" t="inlineStr"/>
      <c r="W361" s="29" t="inlineStr"/>
      <c r="X361" s="29" t="inlineStr"/>
      <c r="Y361" s="29" t="inlineStr"/>
      <c r="Z361" s="29" t="inlineStr"/>
      <c r="AA361" s="29" t="inlineStr"/>
      <c r="AB361" s="29" t="inlineStr"/>
      <c r="AC361" s="29" t="inlineStr"/>
      <c r="AD361" s="29" t="inlineStr"/>
      <c r="AE361" s="29" t="inlineStr">
        <is>
          <t>Unknown</t>
        </is>
      </c>
      <c r="AF361" s="29" t="inlineStr"/>
      <c r="AG361" s="29" t="inlineStr">
        <is>
          <t>Unknown</t>
        </is>
      </c>
      <c r="AH361" s="29" t="inlineStr">
        <is>
          <t>Unknown</t>
        </is>
      </c>
      <c r="AI361" s="29" t="inlineStr">
        <is>
          <t>No client UI found for admin features</t>
        </is>
      </c>
      <c r="AJ361" s="29" t="inlineStr">
        <is>
          <t>Source traced</t>
        </is>
      </c>
      <c r="AK361" s="29" t="inlineStr"/>
      <c r="AL361" s="29" t="inlineStr"/>
      <c r="AM361" s="29" t="inlineStr"/>
      <c r="AN361" s="29" t="inlineStr"/>
      <c r="AO361" s="29" t="inlineStr">
        <is>
          <t>8bc0dcb2a1da1b21368c5536aaeef829d587f316</t>
        </is>
      </c>
      <c r="AP361" s="29" t="inlineStr">
        <is>
          <t>Medium</t>
        </is>
      </c>
      <c r="AQ361" s="29" t="inlineStr">
        <is>
          <t>Not assessed</t>
        </is>
      </c>
      <c r="AR361" s="29" t="inlineStr">
        <is>
          <t>Not assessed</t>
        </is>
      </c>
      <c r="AS361" s="29" t="inlineStr">
        <is>
          <t>Not assessed</t>
        </is>
      </c>
      <c r="AT361" s="29" t="inlineStr">
        <is>
          <t>Not assessed</t>
        </is>
      </c>
      <c r="AU361" s="29" t="inlineStr">
        <is>
          <t>Not assessed</t>
        </is>
      </c>
      <c r="AV361" s="29" t="inlineStr">
        <is>
          <t>Not assessed</t>
        </is>
      </c>
      <c r="AW361" s="29" t="inlineStr">
        <is>
          <t>Not assessed</t>
        </is>
      </c>
      <c r="AX361" s="29" t="inlineStr">
        <is>
          <t>Not assessed</t>
        </is>
      </c>
      <c r="AY361" s="29" t="inlineStr">
        <is>
          <t>Not assessed</t>
        </is>
      </c>
      <c r="AZ361" s="29" t="inlineStr">
        <is>
          <t>Not assessed</t>
        </is>
      </c>
      <c r="BA361" s="29" t="inlineStr">
        <is>
          <t>Not assessed</t>
        </is>
      </c>
      <c r="BB361" s="29" t="inlineStr">
        <is>
          <t>Not assessed</t>
        </is>
      </c>
      <c r="BC361" s="29" t="inlineStr">
        <is>
          <t>Not assessed</t>
        </is>
      </c>
      <c r="BD361" s="29" t="inlineStr">
        <is>
          <t>Not assessed</t>
        </is>
      </c>
      <c r="BE361" s="29" t="inlineStr">
        <is>
          <t>Not assessed</t>
        </is>
      </c>
      <c r="BF361" s="29" t="inlineStr">
        <is>
          <t>Insufficient evidence to issue a production-readiness conclusion.</t>
        </is>
      </c>
      <c r="BG361" s="29" t="inlineStr"/>
      <c r="BH361" s="29" t="inlineStr"/>
      <c r="BI361" s="29" t="inlineStr"/>
      <c r="BJ361" s="29" t="inlineStr"/>
      <c r="BK361" s="29" t="inlineStr">
        <is>
          <t>Evidence reconciled against the reviewed source revision. No production approval is inferred from implementation or file presence.</t>
        </is>
      </c>
      <c r="BL361" s="29" t="inlineStr">
        <is>
          <t>2026-08-02</t>
        </is>
      </c>
    </row>
    <row r="362" ht="42" customHeight="1">
      <c r="A362" s="29" t="inlineStr">
        <is>
          <t>BLYP-18-005</t>
        </is>
      </c>
      <c r="B362" s="29" t="inlineStr"/>
      <c r="C362" s="29" t="inlineStr">
        <is>
          <t>BLYP Operations and Admin Centre</t>
        </is>
      </c>
      <c r="D362" s="29" t="n">
        <v>18</v>
      </c>
      <c r="E362" s="29" t="n">
        <v>5</v>
      </c>
      <c r="F362" s="29" t="inlineStr">
        <is>
          <t>Feature</t>
        </is>
      </c>
      <c r="G362" s="29" t="inlineStr">
        <is>
          <t>Least-privilege operator roles</t>
        </is>
      </c>
      <c r="H362" s="29" t="inlineStr">
        <is>
          <t>Least-privilege operator roles</t>
        </is>
      </c>
      <c r="I362" s="29" t="inlineStr">
        <is>
          <t>/home/ubuntu/blyp_product_requirements.md :: Section 18 — BLYP Operations and Admin Centre</t>
        </is>
      </c>
      <c r="J362" s="29" t="inlineStr">
        <is>
          <t>/home/ubuntu/BLYP_COMPLETE_FEATURE_LIST.md:461</t>
        </is>
      </c>
      <c r="K362" s="29" t="inlineStr">
        <is>
          <t>Required</t>
        </is>
      </c>
      <c r="L362" s="29" t="inlineStr">
        <is>
          <t>Authorized operator or accountable service owner</t>
        </is>
      </c>
      <c r="M362" s="29" t="inlineStr">
        <is>
          <t>BLYP mobile application and supporting production services</t>
        </is>
      </c>
      <c r="N362" s="29" t="inlineStr">
        <is>
          <t>Least-privilege operator roles</t>
        </is>
      </c>
      <c r="O362" s="29" t="inlineStr">
        <is>
          <t>Not explicitly defined in the product source; requires accountable product approval before production sign-off.</t>
        </is>
      </c>
      <c r="P362" s="29" t="inlineStr"/>
      <c r="Q362" s="29" t="inlineStr">
        <is>
          <t>Partial</t>
        </is>
      </c>
      <c r="R362" s="29" t="inlineStr"/>
      <c r="S362" s="29" t="inlineStr">
        <is>
          <t>Unknown</t>
        </is>
      </c>
      <c r="T362" s="29" t="inlineStr"/>
      <c r="U362" s="29" t="inlineStr"/>
      <c r="V362" s="29" t="inlineStr"/>
      <c r="W362" s="29" t="inlineStr"/>
      <c r="X362" s="29" t="inlineStr"/>
      <c r="Y362" s="29" t="inlineStr"/>
      <c r="Z362" s="29" t="inlineStr"/>
      <c r="AA362" s="29" t="inlineStr"/>
      <c r="AB362" s="29" t="inlineStr"/>
      <c r="AC362" s="29" t="inlineStr"/>
      <c r="AD362" s="29" t="inlineStr"/>
      <c r="AE362" s="29" t="inlineStr">
        <is>
          <t>Unknown</t>
        </is>
      </c>
      <c r="AF362" s="29" t="inlineStr"/>
      <c r="AG362" s="29" t="inlineStr">
        <is>
          <t>Unknown</t>
        </is>
      </c>
      <c r="AH362" s="29" t="inlineStr">
        <is>
          <t>Unknown</t>
        </is>
      </c>
      <c r="AI362" s="29" t="inlineStr">
        <is>
          <t>No client UI found for admin features</t>
        </is>
      </c>
      <c r="AJ362" s="29" t="inlineStr">
        <is>
          <t>Source traced</t>
        </is>
      </c>
      <c r="AK362" s="29" t="inlineStr"/>
      <c r="AL362" s="29" t="inlineStr"/>
      <c r="AM362" s="29" t="inlineStr"/>
      <c r="AN362" s="29" t="inlineStr"/>
      <c r="AO362" s="29" t="inlineStr">
        <is>
          <t>8bc0dcb2a1da1b21368c5536aaeef829d587f316</t>
        </is>
      </c>
      <c r="AP362" s="29" t="inlineStr">
        <is>
          <t>Medium</t>
        </is>
      </c>
      <c r="AQ362" s="29" t="inlineStr">
        <is>
          <t>Not assessed</t>
        </is>
      </c>
      <c r="AR362" s="29" t="inlineStr">
        <is>
          <t>Not assessed</t>
        </is>
      </c>
      <c r="AS362" s="29" t="inlineStr">
        <is>
          <t>Not assessed</t>
        </is>
      </c>
      <c r="AT362" s="29" t="inlineStr">
        <is>
          <t>Not assessed</t>
        </is>
      </c>
      <c r="AU362" s="29" t="inlineStr">
        <is>
          <t>Not assessed</t>
        </is>
      </c>
      <c r="AV362" s="29" t="inlineStr">
        <is>
          <t>Not assessed</t>
        </is>
      </c>
      <c r="AW362" s="29" t="inlineStr">
        <is>
          <t>Not assessed</t>
        </is>
      </c>
      <c r="AX362" s="29" t="inlineStr">
        <is>
          <t>Not assessed</t>
        </is>
      </c>
      <c r="AY362" s="29" t="inlineStr">
        <is>
          <t>Not assessed</t>
        </is>
      </c>
      <c r="AZ362" s="29" t="inlineStr">
        <is>
          <t>Not assessed</t>
        </is>
      </c>
      <c r="BA362" s="29" t="inlineStr">
        <is>
          <t>Not assessed</t>
        </is>
      </c>
      <c r="BB362" s="29" t="inlineStr">
        <is>
          <t>Not assessed</t>
        </is>
      </c>
      <c r="BC362" s="29" t="inlineStr">
        <is>
          <t>Not assessed</t>
        </is>
      </c>
      <c r="BD362" s="29" t="inlineStr">
        <is>
          <t>Not assessed</t>
        </is>
      </c>
      <c r="BE362" s="29" t="inlineStr">
        <is>
          <t>Not assessed</t>
        </is>
      </c>
      <c r="BF362" s="29" t="inlineStr">
        <is>
          <t>Insufficient evidence to issue a production-readiness conclusion.</t>
        </is>
      </c>
      <c r="BG362" s="29" t="inlineStr"/>
      <c r="BH362" s="29" t="inlineStr"/>
      <c r="BI362" s="29" t="inlineStr"/>
      <c r="BJ362" s="29" t="inlineStr"/>
      <c r="BK362" s="29" t="inlineStr">
        <is>
          <t>Evidence reconciled against the reviewed source revision. No production approval is inferred from implementation or file presence.</t>
        </is>
      </c>
      <c r="BL362" s="29" t="inlineStr">
        <is>
          <t>2026-08-02</t>
        </is>
      </c>
    </row>
    <row r="363" ht="42" customHeight="1">
      <c r="A363" s="29" t="inlineStr">
        <is>
          <t>BLYP-18-006</t>
        </is>
      </c>
      <c r="B363" s="29" t="inlineStr"/>
      <c r="C363" s="29" t="inlineStr">
        <is>
          <t>BLYP Operations and Admin Centre</t>
        </is>
      </c>
      <c r="D363" s="29" t="n">
        <v>18</v>
      </c>
      <c r="E363" s="29" t="n">
        <v>6</v>
      </c>
      <c r="F363" s="29" t="inlineStr">
        <is>
          <t>Feature</t>
        </is>
      </c>
      <c r="G363" s="29" t="inlineStr">
        <is>
          <t>Member moderation</t>
        </is>
      </c>
      <c r="H363" s="29" t="inlineStr">
        <is>
          <t>Member moderation</t>
        </is>
      </c>
      <c r="I363" s="29" t="inlineStr">
        <is>
          <t>/home/ubuntu/blyp_product_requirements.md :: Section 18 — BLYP Operations and Admin Centre</t>
        </is>
      </c>
      <c r="J363" s="29" t="inlineStr">
        <is>
          <t>/home/ubuntu/BLYP_COMPLETE_FEATURE_LIST.md:462</t>
        </is>
      </c>
      <c r="K363" s="29" t="inlineStr">
        <is>
          <t>Required</t>
        </is>
      </c>
      <c r="L363" s="29" t="inlineStr">
        <is>
          <t>Authorized operator or accountable service owner</t>
        </is>
      </c>
      <c r="M363" s="29" t="inlineStr">
        <is>
          <t>BLYP mobile application and supporting production services</t>
        </is>
      </c>
      <c r="N363" s="29" t="inlineStr">
        <is>
          <t>Member moderation</t>
        </is>
      </c>
      <c r="O363" s="29" t="inlineStr">
        <is>
          <t>Not explicitly defined in the product source; requires accountable product approval before production sign-off.</t>
        </is>
      </c>
      <c r="P363" s="29" t="inlineStr"/>
      <c r="Q363" s="29" t="inlineStr">
        <is>
          <t>Partial</t>
        </is>
      </c>
      <c r="R363" s="29" t="inlineStr"/>
      <c r="S363" s="29" t="inlineStr">
        <is>
          <t>Unknown</t>
        </is>
      </c>
      <c r="T363" s="29" t="inlineStr"/>
      <c r="U363" s="29" t="inlineStr"/>
      <c r="V363" s="29" t="inlineStr"/>
      <c r="W363" s="29" t="inlineStr"/>
      <c r="X363" s="29" t="inlineStr"/>
      <c r="Y363" s="29" t="inlineStr"/>
      <c r="Z363" s="29" t="inlineStr"/>
      <c r="AA363" s="29" t="inlineStr"/>
      <c r="AB363" s="29" t="inlineStr"/>
      <c r="AC363" s="29" t="inlineStr"/>
      <c r="AD363" s="29" t="inlineStr"/>
      <c r="AE363" s="29" t="inlineStr">
        <is>
          <t>Unknown</t>
        </is>
      </c>
      <c r="AF363" s="29" t="inlineStr"/>
      <c r="AG363" s="29" t="inlineStr">
        <is>
          <t>Unknown</t>
        </is>
      </c>
      <c r="AH363" s="29" t="inlineStr">
        <is>
          <t>Unknown</t>
        </is>
      </c>
      <c r="AI363" s="29" t="inlineStr">
        <is>
          <t>No client UI found for admin features</t>
        </is>
      </c>
      <c r="AJ363" s="29" t="inlineStr">
        <is>
          <t>Source traced</t>
        </is>
      </c>
      <c r="AK363" s="29" t="inlineStr"/>
      <c r="AL363" s="29" t="inlineStr"/>
      <c r="AM363" s="29" t="inlineStr"/>
      <c r="AN363" s="29" t="inlineStr"/>
      <c r="AO363" s="29" t="inlineStr">
        <is>
          <t>8bc0dcb2a1da1b21368c5536aaeef829d587f316</t>
        </is>
      </c>
      <c r="AP363" s="29" t="inlineStr">
        <is>
          <t>Medium</t>
        </is>
      </c>
      <c r="AQ363" s="29" t="inlineStr">
        <is>
          <t>Not assessed</t>
        </is>
      </c>
      <c r="AR363" s="29" t="inlineStr">
        <is>
          <t>Not assessed</t>
        </is>
      </c>
      <c r="AS363" s="29" t="inlineStr">
        <is>
          <t>Not assessed</t>
        </is>
      </c>
      <c r="AT363" s="29" t="inlineStr">
        <is>
          <t>Not assessed</t>
        </is>
      </c>
      <c r="AU363" s="29" t="inlineStr">
        <is>
          <t>Not assessed</t>
        </is>
      </c>
      <c r="AV363" s="29" t="inlineStr">
        <is>
          <t>Not assessed</t>
        </is>
      </c>
      <c r="AW363" s="29" t="inlineStr">
        <is>
          <t>Not assessed</t>
        </is>
      </c>
      <c r="AX363" s="29" t="inlineStr">
        <is>
          <t>Not assessed</t>
        </is>
      </c>
      <c r="AY363" s="29" t="inlineStr">
        <is>
          <t>Not assessed</t>
        </is>
      </c>
      <c r="AZ363" s="29" t="inlineStr">
        <is>
          <t>Not assessed</t>
        </is>
      </c>
      <c r="BA363" s="29" t="inlineStr">
        <is>
          <t>Not assessed</t>
        </is>
      </c>
      <c r="BB363" s="29" t="inlineStr">
        <is>
          <t>Not assessed</t>
        </is>
      </c>
      <c r="BC363" s="29" t="inlineStr">
        <is>
          <t>Not assessed</t>
        </is>
      </c>
      <c r="BD363" s="29" t="inlineStr">
        <is>
          <t>Not assessed</t>
        </is>
      </c>
      <c r="BE363" s="29" t="inlineStr">
        <is>
          <t>Not assessed</t>
        </is>
      </c>
      <c r="BF363" s="29" t="inlineStr">
        <is>
          <t>Insufficient evidence to issue a production-readiness conclusion.</t>
        </is>
      </c>
      <c r="BG363" s="29" t="inlineStr"/>
      <c r="BH363" s="29" t="inlineStr"/>
      <c r="BI363" s="29" t="inlineStr"/>
      <c r="BJ363" s="29" t="inlineStr"/>
      <c r="BK363" s="29" t="inlineStr">
        <is>
          <t>Evidence reconciled against the reviewed source revision. No production approval is inferred from implementation or file presence.</t>
        </is>
      </c>
      <c r="BL363" s="29" t="inlineStr">
        <is>
          <t>2026-08-02</t>
        </is>
      </c>
    </row>
    <row r="364" ht="42" customHeight="1">
      <c r="A364" s="29" t="inlineStr">
        <is>
          <t>BLYP-18-007</t>
        </is>
      </c>
      <c r="B364" s="29" t="inlineStr"/>
      <c r="C364" s="29" t="inlineStr">
        <is>
          <t>BLYP Operations and Admin Centre</t>
        </is>
      </c>
      <c r="D364" s="29" t="n">
        <v>18</v>
      </c>
      <c r="E364" s="29" t="n">
        <v>7</v>
      </c>
      <c r="F364" s="29" t="inlineStr">
        <is>
          <t>Feature</t>
        </is>
      </c>
      <c r="G364" s="29" t="inlineStr">
        <is>
          <t>Content moderation</t>
        </is>
      </c>
      <c r="H364" s="29" t="inlineStr">
        <is>
          <t>Content moderation</t>
        </is>
      </c>
      <c r="I364" s="29" t="inlineStr">
        <is>
          <t>/home/ubuntu/blyp_product_requirements.md :: Section 18 — BLYP Operations and Admin Centre</t>
        </is>
      </c>
      <c r="J364" s="29" t="inlineStr">
        <is>
          <t>/home/ubuntu/BLYP_COMPLETE_FEATURE_LIST.md:463</t>
        </is>
      </c>
      <c r="K364" s="29" t="inlineStr">
        <is>
          <t>Required</t>
        </is>
      </c>
      <c r="L364" s="29" t="inlineStr">
        <is>
          <t>Authorized operator or accountable service owner</t>
        </is>
      </c>
      <c r="M364" s="29" t="inlineStr">
        <is>
          <t>BLYP mobile application and supporting production services</t>
        </is>
      </c>
      <c r="N364" s="29" t="inlineStr">
        <is>
          <t>Content moderation</t>
        </is>
      </c>
      <c r="O364" s="29" t="inlineStr">
        <is>
          <t>Not explicitly defined in the product source; requires accountable product approval before production sign-off.</t>
        </is>
      </c>
      <c r="P364" s="29" t="inlineStr"/>
      <c r="Q364" s="29" t="inlineStr">
        <is>
          <t>Partial</t>
        </is>
      </c>
      <c r="R364" s="29" t="inlineStr"/>
      <c r="S364" s="29" t="inlineStr">
        <is>
          <t>Unknown</t>
        </is>
      </c>
      <c r="T364" s="29" t="inlineStr"/>
      <c r="U364" s="29" t="inlineStr"/>
      <c r="V364" s="29" t="inlineStr"/>
      <c r="W364" s="29" t="inlineStr"/>
      <c r="X364" s="29" t="inlineStr"/>
      <c r="Y364" s="29" t="inlineStr"/>
      <c r="Z364" s="29" t="inlineStr"/>
      <c r="AA364" s="29" t="inlineStr"/>
      <c r="AB364" s="29" t="inlineStr"/>
      <c r="AC364" s="29" t="inlineStr"/>
      <c r="AD364" s="29" t="inlineStr"/>
      <c r="AE364" s="29" t="inlineStr">
        <is>
          <t>Unknown</t>
        </is>
      </c>
      <c r="AF364" s="29" t="inlineStr"/>
      <c r="AG364" s="29" t="inlineStr">
        <is>
          <t>Unknown</t>
        </is>
      </c>
      <c r="AH364" s="29" t="inlineStr">
        <is>
          <t>Unknown</t>
        </is>
      </c>
      <c r="AI364" s="29" t="inlineStr">
        <is>
          <t>No client UI found for admin features</t>
        </is>
      </c>
      <c r="AJ364" s="29" t="inlineStr">
        <is>
          <t>Source traced</t>
        </is>
      </c>
      <c r="AK364" s="29" t="inlineStr"/>
      <c r="AL364" s="29" t="inlineStr"/>
      <c r="AM364" s="29" t="inlineStr"/>
      <c r="AN364" s="29" t="inlineStr"/>
      <c r="AO364" s="29" t="inlineStr">
        <is>
          <t>8bc0dcb2a1da1b21368c5536aaeef829d587f316</t>
        </is>
      </c>
      <c r="AP364" s="29" t="inlineStr">
        <is>
          <t>Medium</t>
        </is>
      </c>
      <c r="AQ364" s="29" t="inlineStr">
        <is>
          <t>Not assessed</t>
        </is>
      </c>
      <c r="AR364" s="29" t="inlineStr">
        <is>
          <t>Not assessed</t>
        </is>
      </c>
      <c r="AS364" s="29" t="inlineStr">
        <is>
          <t>Not assessed</t>
        </is>
      </c>
      <c r="AT364" s="29" t="inlineStr">
        <is>
          <t>Not assessed</t>
        </is>
      </c>
      <c r="AU364" s="29" t="inlineStr">
        <is>
          <t>Not assessed</t>
        </is>
      </c>
      <c r="AV364" s="29" t="inlineStr">
        <is>
          <t>Not assessed</t>
        </is>
      </c>
      <c r="AW364" s="29" t="inlineStr">
        <is>
          <t>Not assessed</t>
        </is>
      </c>
      <c r="AX364" s="29" t="inlineStr">
        <is>
          <t>Not assessed</t>
        </is>
      </c>
      <c r="AY364" s="29" t="inlineStr">
        <is>
          <t>Not assessed</t>
        </is>
      </c>
      <c r="AZ364" s="29" t="inlineStr">
        <is>
          <t>Not assessed</t>
        </is>
      </c>
      <c r="BA364" s="29" t="inlineStr">
        <is>
          <t>Not assessed</t>
        </is>
      </c>
      <c r="BB364" s="29" t="inlineStr">
        <is>
          <t>Not assessed</t>
        </is>
      </c>
      <c r="BC364" s="29" t="inlineStr">
        <is>
          <t>Not assessed</t>
        </is>
      </c>
      <c r="BD364" s="29" t="inlineStr">
        <is>
          <t>Not assessed</t>
        </is>
      </c>
      <c r="BE364" s="29" t="inlineStr">
        <is>
          <t>Not assessed</t>
        </is>
      </c>
      <c r="BF364" s="29" t="inlineStr">
        <is>
          <t>Insufficient evidence to issue a production-readiness conclusion.</t>
        </is>
      </c>
      <c r="BG364" s="29" t="inlineStr"/>
      <c r="BH364" s="29" t="inlineStr"/>
      <c r="BI364" s="29" t="inlineStr"/>
      <c r="BJ364" s="29" t="inlineStr"/>
      <c r="BK364" s="29" t="inlineStr">
        <is>
          <t>Evidence reconciled against the reviewed source revision. No production approval is inferred from implementation or file presence.</t>
        </is>
      </c>
      <c r="BL364" s="29" t="inlineStr">
        <is>
          <t>2026-08-02</t>
        </is>
      </c>
    </row>
    <row r="365" ht="42" customHeight="1">
      <c r="A365" s="29" t="inlineStr">
        <is>
          <t>BLYP-18-008</t>
        </is>
      </c>
      <c r="B365" s="29" t="inlineStr"/>
      <c r="C365" s="29" t="inlineStr">
        <is>
          <t>BLYP Operations and Admin Centre</t>
        </is>
      </c>
      <c r="D365" s="29" t="n">
        <v>18</v>
      </c>
      <c r="E365" s="29" t="n">
        <v>8</v>
      </c>
      <c r="F365" s="29" t="inlineStr">
        <is>
          <t>Feature</t>
        </is>
      </c>
      <c r="G365" s="29" t="inlineStr">
        <is>
          <t>Report review</t>
        </is>
      </c>
      <c r="H365" s="29" t="inlineStr">
        <is>
          <t>Report review</t>
        </is>
      </c>
      <c r="I365" s="29" t="inlineStr">
        <is>
          <t>/home/ubuntu/blyp_product_requirements.md :: Section 18 — BLYP Operations and Admin Centre</t>
        </is>
      </c>
      <c r="J365" s="29" t="inlineStr">
        <is>
          <t>/home/ubuntu/BLYP_COMPLETE_FEATURE_LIST.md:464</t>
        </is>
      </c>
      <c r="K365" s="29" t="inlineStr">
        <is>
          <t>Required</t>
        </is>
      </c>
      <c r="L365" s="29" t="inlineStr">
        <is>
          <t>Authorized operator or accountable service owner</t>
        </is>
      </c>
      <c r="M365" s="29" t="inlineStr">
        <is>
          <t>BLYP mobile application and supporting production services</t>
        </is>
      </c>
      <c r="N365" s="29" t="inlineStr">
        <is>
          <t>Report review</t>
        </is>
      </c>
      <c r="O365" s="29" t="inlineStr">
        <is>
          <t>Not explicitly defined in the product source; requires accountable product approval before production sign-off.</t>
        </is>
      </c>
      <c r="P365" s="29" t="inlineStr"/>
      <c r="Q365" s="29" t="inlineStr">
        <is>
          <t>Partial</t>
        </is>
      </c>
      <c r="R365" s="29" t="inlineStr"/>
      <c r="S365" s="29" t="inlineStr">
        <is>
          <t>Unknown</t>
        </is>
      </c>
      <c r="T365" s="29" t="inlineStr"/>
      <c r="U365" s="29" t="inlineStr"/>
      <c r="V365" s="29" t="inlineStr"/>
      <c r="W365" s="29" t="inlineStr"/>
      <c r="X365" s="29" t="inlineStr"/>
      <c r="Y365" s="29" t="inlineStr"/>
      <c r="Z365" s="29" t="inlineStr"/>
      <c r="AA365" s="29" t="inlineStr"/>
      <c r="AB365" s="29" t="inlineStr"/>
      <c r="AC365" s="29" t="inlineStr"/>
      <c r="AD365" s="29" t="inlineStr"/>
      <c r="AE365" s="29" t="inlineStr">
        <is>
          <t>Unknown</t>
        </is>
      </c>
      <c r="AF365" s="29" t="inlineStr"/>
      <c r="AG365" s="29" t="inlineStr">
        <is>
          <t>Unknown</t>
        </is>
      </c>
      <c r="AH365" s="29" t="inlineStr">
        <is>
          <t>Unknown</t>
        </is>
      </c>
      <c r="AI365" s="29" t="inlineStr">
        <is>
          <t>No client UI found for admin features</t>
        </is>
      </c>
      <c r="AJ365" s="29" t="inlineStr">
        <is>
          <t>Source traced</t>
        </is>
      </c>
      <c r="AK365" s="29" t="inlineStr"/>
      <c r="AL365" s="29" t="inlineStr"/>
      <c r="AM365" s="29" t="inlineStr"/>
      <c r="AN365" s="29" t="inlineStr"/>
      <c r="AO365" s="29" t="inlineStr">
        <is>
          <t>8bc0dcb2a1da1b21368c5536aaeef829d587f316</t>
        </is>
      </c>
      <c r="AP365" s="29" t="inlineStr">
        <is>
          <t>Medium</t>
        </is>
      </c>
      <c r="AQ365" s="29" t="inlineStr">
        <is>
          <t>Not assessed</t>
        </is>
      </c>
      <c r="AR365" s="29" t="inlineStr">
        <is>
          <t>Not assessed</t>
        </is>
      </c>
      <c r="AS365" s="29" t="inlineStr">
        <is>
          <t>Not assessed</t>
        </is>
      </c>
      <c r="AT365" s="29" t="inlineStr">
        <is>
          <t>Not assessed</t>
        </is>
      </c>
      <c r="AU365" s="29" t="inlineStr">
        <is>
          <t>Not assessed</t>
        </is>
      </c>
      <c r="AV365" s="29" t="inlineStr">
        <is>
          <t>Not assessed</t>
        </is>
      </c>
      <c r="AW365" s="29" t="inlineStr">
        <is>
          <t>Not assessed</t>
        </is>
      </c>
      <c r="AX365" s="29" t="inlineStr">
        <is>
          <t>Not assessed</t>
        </is>
      </c>
      <c r="AY365" s="29" t="inlineStr">
        <is>
          <t>Not assessed</t>
        </is>
      </c>
      <c r="AZ365" s="29" t="inlineStr">
        <is>
          <t>Not assessed</t>
        </is>
      </c>
      <c r="BA365" s="29" t="inlineStr">
        <is>
          <t>Not assessed</t>
        </is>
      </c>
      <c r="BB365" s="29" t="inlineStr">
        <is>
          <t>Not assessed</t>
        </is>
      </c>
      <c r="BC365" s="29" t="inlineStr">
        <is>
          <t>Not assessed</t>
        </is>
      </c>
      <c r="BD365" s="29" t="inlineStr">
        <is>
          <t>Not assessed</t>
        </is>
      </c>
      <c r="BE365" s="29" t="inlineStr">
        <is>
          <t>Not assessed</t>
        </is>
      </c>
      <c r="BF365" s="29" t="inlineStr">
        <is>
          <t>Insufficient evidence to issue a production-readiness conclusion.</t>
        </is>
      </c>
      <c r="BG365" s="29" t="inlineStr"/>
      <c r="BH365" s="29" t="inlineStr"/>
      <c r="BI365" s="29" t="inlineStr"/>
      <c r="BJ365" s="29" t="inlineStr"/>
      <c r="BK365" s="29" t="inlineStr">
        <is>
          <t>Evidence reconciled against the reviewed source revision. No production approval is inferred from implementation or file presence.</t>
        </is>
      </c>
      <c r="BL365" s="29" t="inlineStr">
        <is>
          <t>2026-08-02</t>
        </is>
      </c>
    </row>
    <row r="366" ht="42" customHeight="1">
      <c r="A366" s="29" t="inlineStr">
        <is>
          <t>BLYP-18-009</t>
        </is>
      </c>
      <c r="B366" s="29" t="inlineStr"/>
      <c r="C366" s="29" t="inlineStr">
        <is>
          <t>BLYP Operations and Admin Centre</t>
        </is>
      </c>
      <c r="D366" s="29" t="n">
        <v>18</v>
      </c>
      <c r="E366" s="29" t="n">
        <v>9</v>
      </c>
      <c r="F366" s="29" t="inlineStr">
        <is>
          <t>Feature</t>
        </is>
      </c>
      <c r="G366" s="29" t="inlineStr">
        <is>
          <t>Appeal review</t>
        </is>
      </c>
      <c r="H366" s="29" t="inlineStr">
        <is>
          <t>Appeal review</t>
        </is>
      </c>
      <c r="I366" s="29" t="inlineStr">
        <is>
          <t>/home/ubuntu/blyp_product_requirements.md :: Section 18 — BLYP Operations and Admin Centre</t>
        </is>
      </c>
      <c r="J366" s="29" t="inlineStr">
        <is>
          <t>/home/ubuntu/BLYP_COMPLETE_FEATURE_LIST.md:465</t>
        </is>
      </c>
      <c r="K366" s="29" t="inlineStr">
        <is>
          <t>Required</t>
        </is>
      </c>
      <c r="L366" s="29" t="inlineStr">
        <is>
          <t>Authorized operator or accountable service owner</t>
        </is>
      </c>
      <c r="M366" s="29" t="inlineStr">
        <is>
          <t>BLYP mobile application and supporting production services</t>
        </is>
      </c>
      <c r="N366" s="29" t="inlineStr">
        <is>
          <t>Appeal review</t>
        </is>
      </c>
      <c r="O366" s="29" t="inlineStr">
        <is>
          <t>Not explicitly defined in the product source; requires accountable product approval before production sign-off.</t>
        </is>
      </c>
      <c r="P366" s="29" t="inlineStr"/>
      <c r="Q366" s="29" t="inlineStr">
        <is>
          <t>No evidence</t>
        </is>
      </c>
      <c r="R366" s="29" t="inlineStr"/>
      <c r="S366" s="29" t="inlineStr">
        <is>
          <t>Unknown</t>
        </is>
      </c>
      <c r="T366" s="29" t="inlineStr"/>
      <c r="U366" s="29" t="inlineStr"/>
      <c r="V366" s="29" t="inlineStr"/>
      <c r="W366" s="29" t="inlineStr"/>
      <c r="X366" s="29" t="inlineStr"/>
      <c r="Y366" s="29" t="inlineStr"/>
      <c r="Z366" s="29" t="inlineStr"/>
      <c r="AA366" s="29" t="inlineStr"/>
      <c r="AB366" s="29" t="inlineStr"/>
      <c r="AC366" s="29" t="inlineStr"/>
      <c r="AD366" s="29" t="inlineStr"/>
      <c r="AE366" s="29" t="inlineStr">
        <is>
          <t>Unknown</t>
        </is>
      </c>
      <c r="AF366" s="29" t="inlineStr"/>
      <c r="AG366" s="29" t="inlineStr">
        <is>
          <t>Unknown</t>
        </is>
      </c>
      <c r="AH366" s="29" t="inlineStr">
        <is>
          <t>Unknown</t>
        </is>
      </c>
      <c r="AI366" s="29" t="inlineStr">
        <is>
          <t>No client UI found for admin features</t>
        </is>
      </c>
      <c r="AJ366" s="29" t="inlineStr">
        <is>
          <t>Source traced</t>
        </is>
      </c>
      <c r="AK366" s="29" t="inlineStr"/>
      <c r="AL366" s="29" t="inlineStr"/>
      <c r="AM366" s="29" t="inlineStr"/>
      <c r="AN366" s="29" t="inlineStr"/>
      <c r="AO366" s="29" t="inlineStr">
        <is>
          <t>8bc0dcb2a1da1b21368c5536aaeef829d587f316</t>
        </is>
      </c>
      <c r="AP366" s="29" t="inlineStr">
        <is>
          <t>Medium</t>
        </is>
      </c>
      <c r="AQ366" s="29" t="inlineStr">
        <is>
          <t>Not assessed</t>
        </is>
      </c>
      <c r="AR366" s="29" t="inlineStr">
        <is>
          <t>Not assessed</t>
        </is>
      </c>
      <c r="AS366" s="29" t="inlineStr">
        <is>
          <t>Not assessed</t>
        </is>
      </c>
      <c r="AT366" s="29" t="inlineStr">
        <is>
          <t>Not assessed</t>
        </is>
      </c>
      <c r="AU366" s="29" t="inlineStr">
        <is>
          <t>Not assessed</t>
        </is>
      </c>
      <c r="AV366" s="29" t="inlineStr">
        <is>
          <t>Not assessed</t>
        </is>
      </c>
      <c r="AW366" s="29" t="inlineStr">
        <is>
          <t>Not assessed</t>
        </is>
      </c>
      <c r="AX366" s="29" t="inlineStr">
        <is>
          <t>Not assessed</t>
        </is>
      </c>
      <c r="AY366" s="29" t="inlineStr">
        <is>
          <t>Not assessed</t>
        </is>
      </c>
      <c r="AZ366" s="29" t="inlineStr">
        <is>
          <t>Not assessed</t>
        </is>
      </c>
      <c r="BA366" s="29" t="inlineStr">
        <is>
          <t>Not assessed</t>
        </is>
      </c>
      <c r="BB366" s="29" t="inlineStr">
        <is>
          <t>Not assessed</t>
        </is>
      </c>
      <c r="BC366" s="29" t="inlineStr">
        <is>
          <t>Not assessed</t>
        </is>
      </c>
      <c r="BD366" s="29" t="inlineStr">
        <is>
          <t>Not assessed</t>
        </is>
      </c>
      <c r="BE366" s="29" t="inlineStr">
        <is>
          <t>Not assessed</t>
        </is>
      </c>
      <c r="BF366" s="29" t="inlineStr">
        <is>
          <t>Insufficient evidence to issue a production-readiness conclusion.</t>
        </is>
      </c>
      <c r="BG366" s="29" t="inlineStr"/>
      <c r="BH366" s="29" t="inlineStr"/>
      <c r="BI366" s="29" t="inlineStr"/>
      <c r="BJ366" s="29" t="inlineStr"/>
      <c r="BK366" s="29" t="inlineStr">
        <is>
          <t>Evidence reconciled against the reviewed source revision. No production approval is inferred from implementation or file presence.</t>
        </is>
      </c>
      <c r="BL366" s="29" t="inlineStr">
        <is>
          <t>2026-08-02</t>
        </is>
      </c>
    </row>
    <row r="367" ht="42" customHeight="1">
      <c r="A367" s="29" t="inlineStr">
        <is>
          <t>BLYP-18-010</t>
        </is>
      </c>
      <c r="B367" s="29" t="inlineStr"/>
      <c r="C367" s="29" t="inlineStr">
        <is>
          <t>BLYP Operations and Admin Centre</t>
        </is>
      </c>
      <c r="D367" s="29" t="n">
        <v>18</v>
      </c>
      <c r="E367" s="29" t="n">
        <v>10</v>
      </c>
      <c r="F367" s="29" t="inlineStr">
        <is>
          <t>Operational requirement</t>
        </is>
      </c>
      <c r="G367" s="29" t="inlineStr">
        <is>
          <t>Communal-room operations</t>
        </is>
      </c>
      <c r="H367" s="29" t="inlineStr">
        <is>
          <t>Communal-room operations</t>
        </is>
      </c>
      <c r="I367" s="29" t="inlineStr">
        <is>
          <t>/home/ubuntu/blyp_product_requirements.md :: Section 18 — BLYP Operations and Admin Centre</t>
        </is>
      </c>
      <c r="J367" s="29" t="inlineStr">
        <is>
          <t>/home/ubuntu/BLYP_COMPLETE_FEATURE_LIST.md:466</t>
        </is>
      </c>
      <c r="K367" s="29" t="inlineStr">
        <is>
          <t>Required</t>
        </is>
      </c>
      <c r="L367" s="29" t="inlineStr">
        <is>
          <t>Authorized operator or accountable service owner</t>
        </is>
      </c>
      <c r="M367" s="29" t="inlineStr">
        <is>
          <t>Production platform and operations</t>
        </is>
      </c>
      <c r="N367" s="29" t="inlineStr">
        <is>
          <t>Communal-room operations</t>
        </is>
      </c>
      <c r="O367" s="29" t="inlineStr">
        <is>
          <t>Not explicitly defined in the product source; requires accountable product approval before production sign-off.</t>
        </is>
      </c>
      <c r="P367" s="29" t="inlineStr"/>
      <c r="Q367" s="29" t="inlineStr">
        <is>
          <t>No evidence</t>
        </is>
      </c>
      <c r="R367" s="29" t="inlineStr"/>
      <c r="S367" s="29" t="inlineStr">
        <is>
          <t>Unknown</t>
        </is>
      </c>
      <c r="T367" s="29" t="inlineStr"/>
      <c r="U367" s="29" t="inlineStr"/>
      <c r="V367" s="29" t="inlineStr"/>
      <c r="W367" s="29" t="inlineStr"/>
      <c r="X367" s="29" t="inlineStr"/>
      <c r="Y367" s="29" t="inlineStr"/>
      <c r="Z367" s="29" t="inlineStr"/>
      <c r="AA367" s="29" t="inlineStr"/>
      <c r="AB367" s="29" t="inlineStr"/>
      <c r="AC367" s="29" t="inlineStr"/>
      <c r="AD367" s="29" t="inlineStr"/>
      <c r="AE367" s="29" t="inlineStr">
        <is>
          <t>Unknown</t>
        </is>
      </c>
      <c r="AF367" s="29" t="inlineStr"/>
      <c r="AG367" s="29" t="inlineStr">
        <is>
          <t>Unknown</t>
        </is>
      </c>
      <c r="AH367" s="29" t="inlineStr">
        <is>
          <t>Unknown</t>
        </is>
      </c>
      <c r="AI367" s="29" t="inlineStr">
        <is>
          <t>No client UI found for admin features</t>
        </is>
      </c>
      <c r="AJ367" s="29" t="inlineStr">
        <is>
          <t>Source traced</t>
        </is>
      </c>
      <c r="AK367" s="29" t="inlineStr"/>
      <c r="AL367" s="29" t="inlineStr"/>
      <c r="AM367" s="29" t="inlineStr"/>
      <c r="AN367" s="29" t="inlineStr"/>
      <c r="AO367" s="29" t="inlineStr">
        <is>
          <t>8bc0dcb2a1da1b21368c5536aaeef829d587f316</t>
        </is>
      </c>
      <c r="AP367" s="29" t="inlineStr">
        <is>
          <t>Medium</t>
        </is>
      </c>
      <c r="AQ367" s="29" t="inlineStr">
        <is>
          <t>Not assessed</t>
        </is>
      </c>
      <c r="AR367" s="29" t="inlineStr">
        <is>
          <t>Not assessed</t>
        </is>
      </c>
      <c r="AS367" s="29" t="inlineStr">
        <is>
          <t>Not assessed</t>
        </is>
      </c>
      <c r="AT367" s="29" t="inlineStr">
        <is>
          <t>Not assessed</t>
        </is>
      </c>
      <c r="AU367" s="29" t="inlineStr">
        <is>
          <t>Not assessed</t>
        </is>
      </c>
      <c r="AV367" s="29" t="inlineStr">
        <is>
          <t>Not assessed</t>
        </is>
      </c>
      <c r="AW367" s="29" t="inlineStr">
        <is>
          <t>Not assessed</t>
        </is>
      </c>
      <c r="AX367" s="29" t="inlineStr">
        <is>
          <t>Not assessed</t>
        </is>
      </c>
      <c r="AY367" s="29" t="inlineStr">
        <is>
          <t>Not assessed</t>
        </is>
      </c>
      <c r="AZ367" s="29" t="inlineStr">
        <is>
          <t>Not assessed</t>
        </is>
      </c>
      <c r="BA367" s="29" t="inlineStr">
        <is>
          <t>Not assessed</t>
        </is>
      </c>
      <c r="BB367" s="29" t="inlineStr">
        <is>
          <t>Not assessed</t>
        </is>
      </c>
      <c r="BC367" s="29" t="inlineStr">
        <is>
          <t>Not assessed</t>
        </is>
      </c>
      <c r="BD367" s="29" t="inlineStr">
        <is>
          <t>Not assessed</t>
        </is>
      </c>
      <c r="BE367" s="29" t="inlineStr">
        <is>
          <t>Not assessed</t>
        </is>
      </c>
      <c r="BF367" s="29" t="inlineStr">
        <is>
          <t>Insufficient evidence to issue a production-readiness conclusion.</t>
        </is>
      </c>
      <c r="BG367" s="29" t="inlineStr"/>
      <c r="BH367" s="29" t="inlineStr"/>
      <c r="BI367" s="29" t="inlineStr"/>
      <c r="BJ367" s="29" t="inlineStr"/>
      <c r="BK367" s="29" t="inlineStr">
        <is>
          <t>Evidence reconciled against the reviewed source revision. No production approval is inferred from implementation or file presence.</t>
        </is>
      </c>
      <c r="BL367" s="29" t="inlineStr">
        <is>
          <t>2026-08-02</t>
        </is>
      </c>
    </row>
    <row r="368" ht="42" customHeight="1">
      <c r="A368" s="29" t="inlineStr">
        <is>
          <t>BLYP-18-011</t>
        </is>
      </c>
      <c r="B368" s="29" t="inlineStr"/>
      <c r="C368" s="29" t="inlineStr">
        <is>
          <t>BLYP Operations and Admin Centre</t>
        </is>
      </c>
      <c r="D368" s="29" t="n">
        <v>18</v>
      </c>
      <c r="E368" s="29" t="n">
        <v>11</v>
      </c>
      <c r="F368" s="29" t="inlineStr">
        <is>
          <t>Operational requirement</t>
        </is>
      </c>
      <c r="G368" s="29" t="inlineStr">
        <is>
          <t>Battle operations</t>
        </is>
      </c>
      <c r="H368" s="29" t="inlineStr">
        <is>
          <t>Battle operations</t>
        </is>
      </c>
      <c r="I368" s="29" t="inlineStr">
        <is>
          <t>/home/ubuntu/blyp_product_requirements.md :: Section 18 — BLYP Operations and Admin Centre</t>
        </is>
      </c>
      <c r="J368" s="29" t="inlineStr">
        <is>
          <t>/home/ubuntu/BLYP_COMPLETE_FEATURE_LIST.md:467</t>
        </is>
      </c>
      <c r="K368" s="29" t="inlineStr">
        <is>
          <t>Required</t>
        </is>
      </c>
      <c r="L368" s="29" t="inlineStr">
        <is>
          <t>Authorized operator or accountable service owner</t>
        </is>
      </c>
      <c r="M368" s="29" t="inlineStr">
        <is>
          <t>Production platform and operations</t>
        </is>
      </c>
      <c r="N368" s="29" t="inlineStr">
        <is>
          <t>Battle operations</t>
        </is>
      </c>
      <c r="O368" s="29" t="inlineStr">
        <is>
          <t>Not explicitly defined in the product source; requires accountable product approval before production sign-off.</t>
        </is>
      </c>
      <c r="P368" s="29" t="inlineStr"/>
      <c r="Q368" s="29" t="inlineStr">
        <is>
          <t>Partial</t>
        </is>
      </c>
      <c r="R368" s="29" t="inlineStr"/>
      <c r="S368" s="29" t="inlineStr">
        <is>
          <t>Unknown</t>
        </is>
      </c>
      <c r="T368" s="29" t="inlineStr"/>
      <c r="U368" s="29" t="inlineStr"/>
      <c r="V368" s="29" t="inlineStr"/>
      <c r="W368" s="29" t="inlineStr"/>
      <c r="X368" s="29" t="inlineStr"/>
      <c r="Y368" s="29" t="inlineStr"/>
      <c r="Z368" s="29" t="inlineStr"/>
      <c r="AA368" s="29" t="inlineStr"/>
      <c r="AB368" s="29" t="inlineStr"/>
      <c r="AC368" s="29" t="inlineStr"/>
      <c r="AD368" s="29" t="inlineStr"/>
      <c r="AE368" s="29" t="inlineStr">
        <is>
          <t>Unknown</t>
        </is>
      </c>
      <c r="AF368" s="29" t="inlineStr"/>
      <c r="AG368" s="29" t="inlineStr">
        <is>
          <t>Unknown</t>
        </is>
      </c>
      <c r="AH368" s="29" t="inlineStr">
        <is>
          <t>Unknown</t>
        </is>
      </c>
      <c r="AI368" s="29" t="inlineStr">
        <is>
          <t>No client UI found for admin features</t>
        </is>
      </c>
      <c r="AJ368" s="29" t="inlineStr">
        <is>
          <t>Source traced</t>
        </is>
      </c>
      <c r="AK368" s="29" t="inlineStr"/>
      <c r="AL368" s="29" t="inlineStr"/>
      <c r="AM368" s="29" t="inlineStr"/>
      <c r="AN368" s="29" t="inlineStr"/>
      <c r="AO368" s="29" t="inlineStr">
        <is>
          <t>8bc0dcb2a1da1b21368c5536aaeef829d587f316</t>
        </is>
      </c>
      <c r="AP368" s="29" t="inlineStr">
        <is>
          <t>Medium</t>
        </is>
      </c>
      <c r="AQ368" s="29" t="inlineStr">
        <is>
          <t>Not assessed</t>
        </is>
      </c>
      <c r="AR368" s="29" t="inlineStr">
        <is>
          <t>Not assessed</t>
        </is>
      </c>
      <c r="AS368" s="29" t="inlineStr">
        <is>
          <t>Not assessed</t>
        </is>
      </c>
      <c r="AT368" s="29" t="inlineStr">
        <is>
          <t>Not assessed</t>
        </is>
      </c>
      <c r="AU368" s="29" t="inlineStr">
        <is>
          <t>Not assessed</t>
        </is>
      </c>
      <c r="AV368" s="29" t="inlineStr">
        <is>
          <t>Not assessed</t>
        </is>
      </c>
      <c r="AW368" s="29" t="inlineStr">
        <is>
          <t>Not assessed</t>
        </is>
      </c>
      <c r="AX368" s="29" t="inlineStr">
        <is>
          <t>Not assessed</t>
        </is>
      </c>
      <c r="AY368" s="29" t="inlineStr">
        <is>
          <t>Not assessed</t>
        </is>
      </c>
      <c r="AZ368" s="29" t="inlineStr">
        <is>
          <t>Not assessed</t>
        </is>
      </c>
      <c r="BA368" s="29" t="inlineStr">
        <is>
          <t>Not assessed</t>
        </is>
      </c>
      <c r="BB368" s="29" t="inlineStr">
        <is>
          <t>Not assessed</t>
        </is>
      </c>
      <c r="BC368" s="29" t="inlineStr">
        <is>
          <t>Not assessed</t>
        </is>
      </c>
      <c r="BD368" s="29" t="inlineStr">
        <is>
          <t>Not assessed</t>
        </is>
      </c>
      <c r="BE368" s="29" t="inlineStr">
        <is>
          <t>Not assessed</t>
        </is>
      </c>
      <c r="BF368" s="29" t="inlineStr">
        <is>
          <t>Insufficient evidence to issue a production-readiness conclusion.</t>
        </is>
      </c>
      <c r="BG368" s="29" t="inlineStr"/>
      <c r="BH368" s="29" t="inlineStr"/>
      <c r="BI368" s="29" t="inlineStr"/>
      <c r="BJ368" s="29" t="inlineStr"/>
      <c r="BK368" s="29" t="inlineStr">
        <is>
          <t>Evidence reconciled against the reviewed source revision. No production approval is inferred from implementation or file presence.</t>
        </is>
      </c>
      <c r="BL368" s="29" t="inlineStr">
        <is>
          <t>2026-08-02</t>
        </is>
      </c>
    </row>
    <row r="369" ht="42" customHeight="1">
      <c r="A369" s="29" t="inlineStr">
        <is>
          <t>BLYP-18-012</t>
        </is>
      </c>
      <c r="B369" s="29" t="inlineStr"/>
      <c r="C369" s="29" t="inlineStr">
        <is>
          <t>BLYP Operations and Admin Centre</t>
        </is>
      </c>
      <c r="D369" s="29" t="n">
        <v>18</v>
      </c>
      <c r="E369" s="29" t="n">
        <v>12</v>
      </c>
      <c r="F369" s="29" t="inlineStr">
        <is>
          <t>Operational requirement</t>
        </is>
      </c>
      <c r="G369" s="29" t="inlineStr">
        <is>
          <t>Team operations</t>
        </is>
      </c>
      <c r="H369" s="29" t="inlineStr">
        <is>
          <t>Team operations</t>
        </is>
      </c>
      <c r="I369" s="29" t="inlineStr">
        <is>
          <t>/home/ubuntu/blyp_product_requirements.md :: Section 18 — BLYP Operations and Admin Centre</t>
        </is>
      </c>
      <c r="J369" s="29" t="inlineStr">
        <is>
          <t>/home/ubuntu/BLYP_COMPLETE_FEATURE_LIST.md:468</t>
        </is>
      </c>
      <c r="K369" s="29" t="inlineStr">
        <is>
          <t>Required</t>
        </is>
      </c>
      <c r="L369" s="29" t="inlineStr">
        <is>
          <t>Authorized operator or accountable service owner</t>
        </is>
      </c>
      <c r="M369" s="29" t="inlineStr">
        <is>
          <t>Production platform and operations</t>
        </is>
      </c>
      <c r="N369" s="29" t="inlineStr">
        <is>
          <t>Team operations</t>
        </is>
      </c>
      <c r="O369" s="29" t="inlineStr">
        <is>
          <t>Not explicitly defined in the product source; requires accountable product approval before production sign-off.</t>
        </is>
      </c>
      <c r="P369" s="29" t="inlineStr"/>
      <c r="Q369" s="29" t="inlineStr">
        <is>
          <t>Scaffold only</t>
        </is>
      </c>
      <c r="R369" s="29" t="inlineStr"/>
      <c r="S369" s="29" t="inlineStr">
        <is>
          <t>Unknown</t>
        </is>
      </c>
      <c r="T369" s="29" t="inlineStr"/>
      <c r="U369" s="29" t="inlineStr"/>
      <c r="V369" s="29" t="inlineStr"/>
      <c r="W369" s="29" t="inlineStr"/>
      <c r="X369" s="29" t="inlineStr"/>
      <c r="Y369" s="29" t="inlineStr"/>
      <c r="Z369" s="29" t="inlineStr"/>
      <c r="AA369" s="29" t="inlineStr"/>
      <c r="AB369" s="29" t="inlineStr"/>
      <c r="AC369" s="29" t="inlineStr"/>
      <c r="AD369" s="29" t="inlineStr"/>
      <c r="AE369" s="29" t="inlineStr">
        <is>
          <t>Unknown</t>
        </is>
      </c>
      <c r="AF369" s="29" t="inlineStr"/>
      <c r="AG369" s="29" t="inlineStr">
        <is>
          <t>Unknown</t>
        </is>
      </c>
      <c r="AH369" s="29" t="inlineStr">
        <is>
          <t>Unknown</t>
        </is>
      </c>
      <c r="AI369" s="29" t="inlineStr">
        <is>
          <t>No client UI found for admin features</t>
        </is>
      </c>
      <c r="AJ369" s="29" t="inlineStr">
        <is>
          <t>Source traced</t>
        </is>
      </c>
      <c r="AK369" s="29" t="inlineStr"/>
      <c r="AL369" s="29" t="inlineStr"/>
      <c r="AM369" s="29" t="inlineStr"/>
      <c r="AN369" s="29" t="inlineStr"/>
      <c r="AO369" s="29" t="inlineStr">
        <is>
          <t>8bc0dcb2a1da1b21368c5536aaeef829d587f316</t>
        </is>
      </c>
      <c r="AP369" s="29" t="inlineStr">
        <is>
          <t>Medium</t>
        </is>
      </c>
      <c r="AQ369" s="29" t="inlineStr">
        <is>
          <t>Not assessed</t>
        </is>
      </c>
      <c r="AR369" s="29" t="inlineStr">
        <is>
          <t>Not assessed</t>
        </is>
      </c>
      <c r="AS369" s="29" t="inlineStr">
        <is>
          <t>Not assessed</t>
        </is>
      </c>
      <c r="AT369" s="29" t="inlineStr">
        <is>
          <t>Not assessed</t>
        </is>
      </c>
      <c r="AU369" s="29" t="inlineStr">
        <is>
          <t>Not assessed</t>
        </is>
      </c>
      <c r="AV369" s="29" t="inlineStr">
        <is>
          <t>Not assessed</t>
        </is>
      </c>
      <c r="AW369" s="29" t="inlineStr">
        <is>
          <t>Not assessed</t>
        </is>
      </c>
      <c r="AX369" s="29" t="inlineStr">
        <is>
          <t>Not assessed</t>
        </is>
      </c>
      <c r="AY369" s="29" t="inlineStr">
        <is>
          <t>Not assessed</t>
        </is>
      </c>
      <c r="AZ369" s="29" t="inlineStr">
        <is>
          <t>Not assessed</t>
        </is>
      </c>
      <c r="BA369" s="29" t="inlineStr">
        <is>
          <t>Not assessed</t>
        </is>
      </c>
      <c r="BB369" s="29" t="inlineStr">
        <is>
          <t>Not assessed</t>
        </is>
      </c>
      <c r="BC369" s="29" t="inlineStr">
        <is>
          <t>Not assessed</t>
        </is>
      </c>
      <c r="BD369" s="29" t="inlineStr">
        <is>
          <t>Not assessed</t>
        </is>
      </c>
      <c r="BE369" s="29" t="inlineStr">
        <is>
          <t>Not assessed</t>
        </is>
      </c>
      <c r="BF369" s="29" t="inlineStr">
        <is>
          <t>Insufficient evidence to issue a production-readiness conclusion.</t>
        </is>
      </c>
      <c r="BG369" s="29" t="inlineStr"/>
      <c r="BH369" s="29" t="inlineStr"/>
      <c r="BI369" s="29" t="inlineStr"/>
      <c r="BJ369" s="29" t="inlineStr"/>
      <c r="BK369" s="29" t="inlineStr">
        <is>
          <t>Evidence reconciled against the reviewed source revision. No production approval is inferred from implementation or file presence.</t>
        </is>
      </c>
      <c r="BL369" s="29" t="inlineStr">
        <is>
          <t>2026-08-02</t>
        </is>
      </c>
    </row>
    <row r="370" ht="42" customHeight="1">
      <c r="A370" s="29" t="inlineStr">
        <is>
          <t>BLYP-18-013</t>
        </is>
      </c>
      <c r="B370" s="29" t="inlineStr"/>
      <c r="C370" s="29" t="inlineStr">
        <is>
          <t>BLYP Operations and Admin Centre</t>
        </is>
      </c>
      <c r="D370" s="29" t="n">
        <v>18</v>
      </c>
      <c r="E370" s="29" t="n">
        <v>13</v>
      </c>
      <c r="F370" s="29" t="inlineStr">
        <is>
          <t>Operational requirement</t>
        </is>
      </c>
      <c r="G370" s="29" t="inlineStr">
        <is>
          <t>Interest operations</t>
        </is>
      </c>
      <c r="H370" s="29" t="inlineStr">
        <is>
          <t>Interest operations</t>
        </is>
      </c>
      <c r="I370" s="29" t="inlineStr">
        <is>
          <t>/home/ubuntu/blyp_product_requirements.md :: Section 18 — BLYP Operations and Admin Centre</t>
        </is>
      </c>
      <c r="J370" s="29" t="inlineStr">
        <is>
          <t>/home/ubuntu/BLYP_COMPLETE_FEATURE_LIST.md:469</t>
        </is>
      </c>
      <c r="K370" s="29" t="inlineStr">
        <is>
          <t>Required</t>
        </is>
      </c>
      <c r="L370" s="29" t="inlineStr">
        <is>
          <t>Authorized operator or accountable service owner</t>
        </is>
      </c>
      <c r="M370" s="29" t="inlineStr">
        <is>
          <t>Production platform and operations</t>
        </is>
      </c>
      <c r="N370" s="29" t="inlineStr">
        <is>
          <t>Interest operations</t>
        </is>
      </c>
      <c r="O370" s="29" t="inlineStr">
        <is>
          <t>Not explicitly defined in the product source; requires accountable product approval before production sign-off.</t>
        </is>
      </c>
      <c r="P370" s="29" t="inlineStr"/>
      <c r="Q370" s="29" t="inlineStr">
        <is>
          <t>Scaffold only</t>
        </is>
      </c>
      <c r="R370" s="29" t="inlineStr"/>
      <c r="S370" s="29" t="inlineStr">
        <is>
          <t>Unknown</t>
        </is>
      </c>
      <c r="T370" s="29" t="inlineStr"/>
      <c r="U370" s="29" t="inlineStr"/>
      <c r="V370" s="29" t="inlineStr"/>
      <c r="W370" s="29" t="inlineStr"/>
      <c r="X370" s="29" t="inlineStr"/>
      <c r="Y370" s="29" t="inlineStr"/>
      <c r="Z370" s="29" t="inlineStr"/>
      <c r="AA370" s="29" t="inlineStr"/>
      <c r="AB370" s="29" t="inlineStr"/>
      <c r="AC370" s="29" t="inlineStr"/>
      <c r="AD370" s="29" t="inlineStr"/>
      <c r="AE370" s="29" t="inlineStr">
        <is>
          <t>Unknown</t>
        </is>
      </c>
      <c r="AF370" s="29" t="inlineStr"/>
      <c r="AG370" s="29" t="inlineStr">
        <is>
          <t>Unknown</t>
        </is>
      </c>
      <c r="AH370" s="29" t="inlineStr">
        <is>
          <t>Unknown</t>
        </is>
      </c>
      <c r="AI370" s="29" t="inlineStr">
        <is>
          <t>No client UI found for admin features</t>
        </is>
      </c>
      <c r="AJ370" s="29" t="inlineStr">
        <is>
          <t>Source traced</t>
        </is>
      </c>
      <c r="AK370" s="29" t="inlineStr"/>
      <c r="AL370" s="29" t="inlineStr"/>
      <c r="AM370" s="29" t="inlineStr"/>
      <c r="AN370" s="29" t="inlineStr"/>
      <c r="AO370" s="29" t="inlineStr">
        <is>
          <t>8bc0dcb2a1da1b21368c5536aaeef829d587f316</t>
        </is>
      </c>
      <c r="AP370" s="29" t="inlineStr">
        <is>
          <t>Medium</t>
        </is>
      </c>
      <c r="AQ370" s="29" t="inlineStr">
        <is>
          <t>Not assessed</t>
        </is>
      </c>
      <c r="AR370" s="29" t="inlineStr">
        <is>
          <t>Not assessed</t>
        </is>
      </c>
      <c r="AS370" s="29" t="inlineStr">
        <is>
          <t>Not assessed</t>
        </is>
      </c>
      <c r="AT370" s="29" t="inlineStr">
        <is>
          <t>Not assessed</t>
        </is>
      </c>
      <c r="AU370" s="29" t="inlineStr">
        <is>
          <t>Not assessed</t>
        </is>
      </c>
      <c r="AV370" s="29" t="inlineStr">
        <is>
          <t>Not assessed</t>
        </is>
      </c>
      <c r="AW370" s="29" t="inlineStr">
        <is>
          <t>Not assessed</t>
        </is>
      </c>
      <c r="AX370" s="29" t="inlineStr">
        <is>
          <t>Not assessed</t>
        </is>
      </c>
      <c r="AY370" s="29" t="inlineStr">
        <is>
          <t>Not assessed</t>
        </is>
      </c>
      <c r="AZ370" s="29" t="inlineStr">
        <is>
          <t>Not assessed</t>
        </is>
      </c>
      <c r="BA370" s="29" t="inlineStr">
        <is>
          <t>Not assessed</t>
        </is>
      </c>
      <c r="BB370" s="29" t="inlineStr">
        <is>
          <t>Not assessed</t>
        </is>
      </c>
      <c r="BC370" s="29" t="inlineStr">
        <is>
          <t>Not assessed</t>
        </is>
      </c>
      <c r="BD370" s="29" t="inlineStr">
        <is>
          <t>Not assessed</t>
        </is>
      </c>
      <c r="BE370" s="29" t="inlineStr">
        <is>
          <t>Not assessed</t>
        </is>
      </c>
      <c r="BF370" s="29" t="inlineStr">
        <is>
          <t>Insufficient evidence to issue a production-readiness conclusion.</t>
        </is>
      </c>
      <c r="BG370" s="29" t="inlineStr"/>
      <c r="BH370" s="29" t="inlineStr"/>
      <c r="BI370" s="29" t="inlineStr"/>
      <c r="BJ370" s="29" t="inlineStr"/>
      <c r="BK370" s="29" t="inlineStr">
        <is>
          <t>Evidence reconciled against the reviewed source revision. No production approval is inferred from implementation or file presence.</t>
        </is>
      </c>
      <c r="BL370" s="29" t="inlineStr">
        <is>
          <t>2026-08-02</t>
        </is>
      </c>
    </row>
    <row r="371" ht="42" customHeight="1">
      <c r="A371" s="29" t="inlineStr">
        <is>
          <t>BLYP-18-014</t>
        </is>
      </c>
      <c r="B371" s="29" t="inlineStr"/>
      <c r="C371" s="29" t="inlineStr">
        <is>
          <t>BLYP Operations and Admin Centre</t>
        </is>
      </c>
      <c r="D371" s="29" t="n">
        <v>18</v>
      </c>
      <c r="E371" s="29" t="n">
        <v>14</v>
      </c>
      <c r="F371" s="29" t="inlineStr">
        <is>
          <t>Operational requirement</t>
        </is>
      </c>
      <c r="G371" s="29" t="inlineStr">
        <is>
          <t>Subscription operations</t>
        </is>
      </c>
      <c r="H371" s="29" t="inlineStr">
        <is>
          <t>Subscription operations</t>
        </is>
      </c>
      <c r="I371" s="29" t="inlineStr">
        <is>
          <t>/home/ubuntu/blyp_product_requirements.md :: Section 18 — BLYP Operations and Admin Centre</t>
        </is>
      </c>
      <c r="J371" s="29" t="inlineStr">
        <is>
          <t>/home/ubuntu/BLYP_COMPLETE_FEATURE_LIST.md:470</t>
        </is>
      </c>
      <c r="K371" s="29" t="inlineStr">
        <is>
          <t>Required</t>
        </is>
      </c>
      <c r="L371" s="29" t="inlineStr">
        <is>
          <t>Authorized operator or accountable service owner</t>
        </is>
      </c>
      <c r="M371" s="29" t="inlineStr">
        <is>
          <t>Production platform and operations</t>
        </is>
      </c>
      <c r="N371" s="29" t="inlineStr">
        <is>
          <t>Subscription operations</t>
        </is>
      </c>
      <c r="O371" s="29" t="inlineStr">
        <is>
          <t>Not explicitly defined in the product source; requires accountable product approval before production sign-off.</t>
        </is>
      </c>
      <c r="P371" s="29" t="inlineStr"/>
      <c r="Q371" s="29" t="inlineStr">
        <is>
          <t>No evidence</t>
        </is>
      </c>
      <c r="R371" s="29" t="inlineStr"/>
      <c r="S371" s="29" t="inlineStr">
        <is>
          <t>Unknown</t>
        </is>
      </c>
      <c r="T371" s="29" t="inlineStr"/>
      <c r="U371" s="29" t="inlineStr"/>
      <c r="V371" s="29" t="inlineStr"/>
      <c r="W371" s="29" t="inlineStr"/>
      <c r="X371" s="29" t="inlineStr"/>
      <c r="Y371" s="29" t="inlineStr"/>
      <c r="Z371" s="29" t="inlineStr"/>
      <c r="AA371" s="29" t="inlineStr"/>
      <c r="AB371" s="29" t="inlineStr"/>
      <c r="AC371" s="29" t="inlineStr"/>
      <c r="AD371" s="29" t="inlineStr"/>
      <c r="AE371" s="29" t="inlineStr">
        <is>
          <t>Unknown</t>
        </is>
      </c>
      <c r="AF371" s="29" t="inlineStr"/>
      <c r="AG371" s="29" t="inlineStr">
        <is>
          <t>Unknown</t>
        </is>
      </c>
      <c r="AH371" s="29" t="inlineStr">
        <is>
          <t>Unknown</t>
        </is>
      </c>
      <c r="AI371" s="29" t="inlineStr">
        <is>
          <t>No client UI found for admin features</t>
        </is>
      </c>
      <c r="AJ371" s="29" t="inlineStr">
        <is>
          <t>Source traced</t>
        </is>
      </c>
      <c r="AK371" s="29" t="inlineStr"/>
      <c r="AL371" s="29" t="inlineStr"/>
      <c r="AM371" s="29" t="inlineStr"/>
      <c r="AN371" s="29" t="inlineStr"/>
      <c r="AO371" s="29" t="inlineStr">
        <is>
          <t>8bc0dcb2a1da1b21368c5536aaeef829d587f316</t>
        </is>
      </c>
      <c r="AP371" s="29" t="inlineStr">
        <is>
          <t>Medium</t>
        </is>
      </c>
      <c r="AQ371" s="29" t="inlineStr">
        <is>
          <t>Not assessed</t>
        </is>
      </c>
      <c r="AR371" s="29" t="inlineStr">
        <is>
          <t>Not assessed</t>
        </is>
      </c>
      <c r="AS371" s="29" t="inlineStr">
        <is>
          <t>Not assessed</t>
        </is>
      </c>
      <c r="AT371" s="29" t="inlineStr">
        <is>
          <t>Not assessed</t>
        </is>
      </c>
      <c r="AU371" s="29" t="inlineStr">
        <is>
          <t>Not assessed</t>
        </is>
      </c>
      <c r="AV371" s="29" t="inlineStr">
        <is>
          <t>Not assessed</t>
        </is>
      </c>
      <c r="AW371" s="29" t="inlineStr">
        <is>
          <t>Not assessed</t>
        </is>
      </c>
      <c r="AX371" s="29" t="inlineStr">
        <is>
          <t>Not assessed</t>
        </is>
      </c>
      <c r="AY371" s="29" t="inlineStr">
        <is>
          <t>Not assessed</t>
        </is>
      </c>
      <c r="AZ371" s="29" t="inlineStr">
        <is>
          <t>Not assessed</t>
        </is>
      </c>
      <c r="BA371" s="29" t="inlineStr">
        <is>
          <t>Not assessed</t>
        </is>
      </c>
      <c r="BB371" s="29" t="inlineStr">
        <is>
          <t>Not assessed</t>
        </is>
      </c>
      <c r="BC371" s="29" t="inlineStr">
        <is>
          <t>Not assessed</t>
        </is>
      </c>
      <c r="BD371" s="29" t="inlineStr">
        <is>
          <t>Not assessed</t>
        </is>
      </c>
      <c r="BE371" s="29" t="inlineStr">
        <is>
          <t>Not assessed</t>
        </is>
      </c>
      <c r="BF371" s="29" t="inlineStr">
        <is>
          <t>Insufficient evidence to issue a production-readiness conclusion.</t>
        </is>
      </c>
      <c r="BG371" s="29" t="inlineStr"/>
      <c r="BH371" s="29" t="inlineStr"/>
      <c r="BI371" s="29" t="inlineStr"/>
      <c r="BJ371" s="29" t="inlineStr"/>
      <c r="BK371" s="29" t="inlineStr">
        <is>
          <t>Evidence reconciled against the reviewed source revision. No production approval is inferred from implementation or file presence.</t>
        </is>
      </c>
      <c r="BL371" s="29" t="inlineStr">
        <is>
          <t>2026-08-02</t>
        </is>
      </c>
    </row>
    <row r="372" ht="42" customHeight="1">
      <c r="A372" s="29" t="inlineStr">
        <is>
          <t>BLYP-18-015</t>
        </is>
      </c>
      <c r="B372" s="29" t="inlineStr"/>
      <c r="C372" s="29" t="inlineStr">
        <is>
          <t>BLYP Operations and Admin Centre</t>
        </is>
      </c>
      <c r="D372" s="29" t="n">
        <v>18</v>
      </c>
      <c r="E372" s="29" t="n">
        <v>15</v>
      </c>
      <c r="F372" s="29" t="inlineStr">
        <is>
          <t>Feature</t>
        </is>
      </c>
      <c r="G372" s="29" t="inlineStr">
        <is>
          <t>Coin and gift investigations</t>
        </is>
      </c>
      <c r="H372" s="29" t="inlineStr">
        <is>
          <t>Coin and gift investigations</t>
        </is>
      </c>
      <c r="I372" s="29" t="inlineStr">
        <is>
          <t>/home/ubuntu/blyp_product_requirements.md :: Section 18 — BLYP Operations and Admin Centre</t>
        </is>
      </c>
      <c r="J372" s="29" t="inlineStr">
        <is>
          <t>/home/ubuntu/BLYP_COMPLETE_FEATURE_LIST.md:471</t>
        </is>
      </c>
      <c r="K372" s="29" t="inlineStr">
        <is>
          <t>Required</t>
        </is>
      </c>
      <c r="L372" s="29" t="inlineStr">
        <is>
          <t>Authorized operator or accountable service owner</t>
        </is>
      </c>
      <c r="M372" s="29" t="inlineStr">
        <is>
          <t>BLYP mobile application and supporting production services</t>
        </is>
      </c>
      <c r="N372" s="29" t="inlineStr">
        <is>
          <t>Coin and gift investigations</t>
        </is>
      </c>
      <c r="O372" s="29" t="inlineStr">
        <is>
          <t>Not explicitly defined in the product source; requires accountable product approval before production sign-off.</t>
        </is>
      </c>
      <c r="P372" s="29" t="inlineStr"/>
      <c r="Q372" s="29" t="inlineStr">
        <is>
          <t>Partial</t>
        </is>
      </c>
      <c r="R372" s="29" t="inlineStr"/>
      <c r="S372" s="29" t="inlineStr">
        <is>
          <t>Unknown</t>
        </is>
      </c>
      <c r="T372" s="29" t="inlineStr"/>
      <c r="U372" s="29" t="inlineStr"/>
      <c r="V372" s="29" t="inlineStr"/>
      <c r="W372" s="29" t="inlineStr"/>
      <c r="X372" s="29" t="inlineStr"/>
      <c r="Y372" s="29" t="inlineStr"/>
      <c r="Z372" s="29" t="inlineStr"/>
      <c r="AA372" s="29" t="inlineStr"/>
      <c r="AB372" s="29" t="inlineStr"/>
      <c r="AC372" s="29" t="inlineStr"/>
      <c r="AD372" s="29" t="inlineStr"/>
      <c r="AE372" s="29" t="inlineStr">
        <is>
          <t>Unknown</t>
        </is>
      </c>
      <c r="AF372" s="29" t="inlineStr"/>
      <c r="AG372" s="29" t="inlineStr">
        <is>
          <t>Unknown</t>
        </is>
      </c>
      <c r="AH372" s="29" t="inlineStr">
        <is>
          <t>Unknown</t>
        </is>
      </c>
      <c r="AI372" s="29" t="inlineStr">
        <is>
          <t>No client UI found for admin features</t>
        </is>
      </c>
      <c r="AJ372" s="29" t="inlineStr">
        <is>
          <t>Source traced</t>
        </is>
      </c>
      <c r="AK372" s="29" t="inlineStr"/>
      <c r="AL372" s="29" t="inlineStr"/>
      <c r="AM372" s="29" t="inlineStr"/>
      <c r="AN372" s="29" t="inlineStr"/>
      <c r="AO372" s="29" t="inlineStr">
        <is>
          <t>8bc0dcb2a1da1b21368c5536aaeef829d587f316</t>
        </is>
      </c>
      <c r="AP372" s="29" t="inlineStr">
        <is>
          <t>Medium</t>
        </is>
      </c>
      <c r="AQ372" s="29" t="inlineStr">
        <is>
          <t>Not assessed</t>
        </is>
      </c>
      <c r="AR372" s="29" t="inlineStr">
        <is>
          <t>Not assessed</t>
        </is>
      </c>
      <c r="AS372" s="29" t="inlineStr">
        <is>
          <t>Not assessed</t>
        </is>
      </c>
      <c r="AT372" s="29" t="inlineStr">
        <is>
          <t>Not assessed</t>
        </is>
      </c>
      <c r="AU372" s="29" t="inlineStr">
        <is>
          <t>Not assessed</t>
        </is>
      </c>
      <c r="AV372" s="29" t="inlineStr">
        <is>
          <t>Not assessed</t>
        </is>
      </c>
      <c r="AW372" s="29" t="inlineStr">
        <is>
          <t>Not assessed</t>
        </is>
      </c>
      <c r="AX372" s="29" t="inlineStr">
        <is>
          <t>Not assessed</t>
        </is>
      </c>
      <c r="AY372" s="29" t="inlineStr">
        <is>
          <t>Not assessed</t>
        </is>
      </c>
      <c r="AZ372" s="29" t="inlineStr">
        <is>
          <t>Not assessed</t>
        </is>
      </c>
      <c r="BA372" s="29" t="inlineStr">
        <is>
          <t>Not assessed</t>
        </is>
      </c>
      <c r="BB372" s="29" t="inlineStr">
        <is>
          <t>Not assessed</t>
        </is>
      </c>
      <c r="BC372" s="29" t="inlineStr">
        <is>
          <t>Not assessed</t>
        </is>
      </c>
      <c r="BD372" s="29" t="inlineStr">
        <is>
          <t>Not assessed</t>
        </is>
      </c>
      <c r="BE372" s="29" t="inlineStr">
        <is>
          <t>Not assessed</t>
        </is>
      </c>
      <c r="BF372" s="29" t="inlineStr">
        <is>
          <t>Insufficient evidence to issue a production-readiness conclusion.</t>
        </is>
      </c>
      <c r="BG372" s="29" t="inlineStr"/>
      <c r="BH372" s="29" t="inlineStr"/>
      <c r="BI372" s="29" t="inlineStr"/>
      <c r="BJ372" s="29" t="inlineStr"/>
      <c r="BK372" s="29" t="inlineStr">
        <is>
          <t>Evidence reconciled against the reviewed source revision. No production approval is inferred from implementation or file presence.</t>
        </is>
      </c>
      <c r="BL372" s="29" t="inlineStr">
        <is>
          <t>2026-08-02</t>
        </is>
      </c>
    </row>
    <row r="373" ht="42" customHeight="1">
      <c r="A373" s="29" t="inlineStr">
        <is>
          <t>BLYP-18-016</t>
        </is>
      </c>
      <c r="B373" s="29" t="inlineStr"/>
      <c r="C373" s="29" t="inlineStr">
        <is>
          <t>BLYP Operations and Admin Centre</t>
        </is>
      </c>
      <c r="D373" s="29" t="n">
        <v>18</v>
      </c>
      <c r="E373" s="29" t="n">
        <v>16</v>
      </c>
      <c r="F373" s="29" t="inlineStr">
        <is>
          <t>Feature</t>
        </is>
      </c>
      <c r="G373" s="29" t="inlineStr">
        <is>
          <t>Creator-earnings investigations</t>
        </is>
      </c>
      <c r="H373" s="29" t="inlineStr">
        <is>
          <t>Creator-earnings investigations</t>
        </is>
      </c>
      <c r="I373" s="29" t="inlineStr">
        <is>
          <t>/home/ubuntu/blyp_product_requirements.md :: Section 18 — BLYP Operations and Admin Centre</t>
        </is>
      </c>
      <c r="J373" s="29" t="inlineStr">
        <is>
          <t>/home/ubuntu/BLYP_COMPLETE_FEATURE_LIST.md:472</t>
        </is>
      </c>
      <c r="K373" s="29" t="inlineStr">
        <is>
          <t>Required</t>
        </is>
      </c>
      <c r="L373" s="29" t="inlineStr">
        <is>
          <t>Authorized operator or accountable service owner</t>
        </is>
      </c>
      <c r="M373" s="29" t="inlineStr">
        <is>
          <t>BLYP mobile application and supporting production services</t>
        </is>
      </c>
      <c r="N373" s="29" t="inlineStr">
        <is>
          <t>Creator-earnings investigations</t>
        </is>
      </c>
      <c r="O373" s="29" t="inlineStr">
        <is>
          <t>Not explicitly defined in the product source; requires accountable product approval before production sign-off.</t>
        </is>
      </c>
      <c r="P373" s="29" t="inlineStr"/>
      <c r="Q373" s="29" t="inlineStr">
        <is>
          <t>Partial</t>
        </is>
      </c>
      <c r="R373" s="29" t="inlineStr"/>
      <c r="S373" s="29" t="inlineStr">
        <is>
          <t>Unknown</t>
        </is>
      </c>
      <c r="T373" s="29" t="inlineStr"/>
      <c r="U373" s="29" t="inlineStr"/>
      <c r="V373" s="29" t="inlineStr"/>
      <c r="W373" s="29" t="inlineStr"/>
      <c r="X373" s="29" t="inlineStr"/>
      <c r="Y373" s="29" t="inlineStr"/>
      <c r="Z373" s="29" t="inlineStr"/>
      <c r="AA373" s="29" t="inlineStr"/>
      <c r="AB373" s="29" t="inlineStr"/>
      <c r="AC373" s="29" t="inlineStr"/>
      <c r="AD373" s="29" t="inlineStr"/>
      <c r="AE373" s="29" t="inlineStr">
        <is>
          <t>Unknown</t>
        </is>
      </c>
      <c r="AF373" s="29" t="inlineStr"/>
      <c r="AG373" s="29" t="inlineStr">
        <is>
          <t>Unknown</t>
        </is>
      </c>
      <c r="AH373" s="29" t="inlineStr">
        <is>
          <t>Unknown</t>
        </is>
      </c>
      <c r="AI373" s="29" t="inlineStr">
        <is>
          <t>No client UI found for admin features</t>
        </is>
      </c>
      <c r="AJ373" s="29" t="inlineStr">
        <is>
          <t>Source traced</t>
        </is>
      </c>
      <c r="AK373" s="29" t="inlineStr"/>
      <c r="AL373" s="29" t="inlineStr"/>
      <c r="AM373" s="29" t="inlineStr"/>
      <c r="AN373" s="29" t="inlineStr"/>
      <c r="AO373" s="29" t="inlineStr">
        <is>
          <t>8bc0dcb2a1da1b21368c5536aaeef829d587f316</t>
        </is>
      </c>
      <c r="AP373" s="29" t="inlineStr">
        <is>
          <t>Medium</t>
        </is>
      </c>
      <c r="AQ373" s="29" t="inlineStr">
        <is>
          <t>Not assessed</t>
        </is>
      </c>
      <c r="AR373" s="29" t="inlineStr">
        <is>
          <t>Not assessed</t>
        </is>
      </c>
      <c r="AS373" s="29" t="inlineStr">
        <is>
          <t>Not assessed</t>
        </is>
      </c>
      <c r="AT373" s="29" t="inlineStr">
        <is>
          <t>Not assessed</t>
        </is>
      </c>
      <c r="AU373" s="29" t="inlineStr">
        <is>
          <t>Not assessed</t>
        </is>
      </c>
      <c r="AV373" s="29" t="inlineStr">
        <is>
          <t>Not assessed</t>
        </is>
      </c>
      <c r="AW373" s="29" t="inlineStr">
        <is>
          <t>Not assessed</t>
        </is>
      </c>
      <c r="AX373" s="29" t="inlineStr">
        <is>
          <t>Not assessed</t>
        </is>
      </c>
      <c r="AY373" s="29" t="inlineStr">
        <is>
          <t>Not assessed</t>
        </is>
      </c>
      <c r="AZ373" s="29" t="inlineStr">
        <is>
          <t>Not assessed</t>
        </is>
      </c>
      <c r="BA373" s="29" t="inlineStr">
        <is>
          <t>Not assessed</t>
        </is>
      </c>
      <c r="BB373" s="29" t="inlineStr">
        <is>
          <t>Not assessed</t>
        </is>
      </c>
      <c r="BC373" s="29" t="inlineStr">
        <is>
          <t>Not assessed</t>
        </is>
      </c>
      <c r="BD373" s="29" t="inlineStr">
        <is>
          <t>Not assessed</t>
        </is>
      </c>
      <c r="BE373" s="29" t="inlineStr">
        <is>
          <t>Not assessed</t>
        </is>
      </c>
      <c r="BF373" s="29" t="inlineStr">
        <is>
          <t>Insufficient evidence to issue a production-readiness conclusion.</t>
        </is>
      </c>
      <c r="BG373" s="29" t="inlineStr"/>
      <c r="BH373" s="29" t="inlineStr"/>
      <c r="BI373" s="29" t="inlineStr"/>
      <c r="BJ373" s="29" t="inlineStr"/>
      <c r="BK373" s="29" t="inlineStr">
        <is>
          <t>Evidence reconciled against the reviewed source revision. No production approval is inferred from implementation or file presence.</t>
        </is>
      </c>
      <c r="BL373" s="29" t="inlineStr">
        <is>
          <t>2026-08-02</t>
        </is>
      </c>
    </row>
    <row r="374" ht="42" customHeight="1">
      <c r="A374" s="29" t="inlineStr">
        <is>
          <t>BLYP-18-017</t>
        </is>
      </c>
      <c r="B374" s="29" t="inlineStr"/>
      <c r="C374" s="29" t="inlineStr">
        <is>
          <t>BLYP Operations and Admin Centre</t>
        </is>
      </c>
      <c r="D374" s="29" t="n">
        <v>18</v>
      </c>
      <c r="E374" s="29" t="n">
        <v>17</v>
      </c>
      <c r="F374" s="29" t="inlineStr">
        <is>
          <t>Feature</t>
        </is>
      </c>
      <c r="G374" s="29" t="inlineStr">
        <is>
          <t>Payout-issue handling</t>
        </is>
      </c>
      <c r="H374" s="29" t="inlineStr">
        <is>
          <t>Payout-issue handling</t>
        </is>
      </c>
      <c r="I374" s="29" t="inlineStr">
        <is>
          <t>/home/ubuntu/blyp_product_requirements.md :: Section 18 — BLYP Operations and Admin Centre</t>
        </is>
      </c>
      <c r="J374" s="29" t="inlineStr">
        <is>
          <t>/home/ubuntu/BLYP_COMPLETE_FEATURE_LIST.md:473</t>
        </is>
      </c>
      <c r="K374" s="29" t="inlineStr">
        <is>
          <t>Required</t>
        </is>
      </c>
      <c r="L374" s="29" t="inlineStr">
        <is>
          <t>Authorized operator or accountable service owner</t>
        </is>
      </c>
      <c r="M374" s="29" t="inlineStr">
        <is>
          <t>BLYP mobile application and supporting production services</t>
        </is>
      </c>
      <c r="N374" s="29" t="inlineStr">
        <is>
          <t>Payout-issue handling</t>
        </is>
      </c>
      <c r="O374" s="29" t="inlineStr">
        <is>
          <t>Not explicitly defined in the product source; requires accountable product approval before production sign-off.</t>
        </is>
      </c>
      <c r="P374" s="29" t="inlineStr"/>
      <c r="Q374" s="29" t="inlineStr">
        <is>
          <t>No evidence</t>
        </is>
      </c>
      <c r="R374" s="29" t="inlineStr"/>
      <c r="S374" s="29" t="inlineStr">
        <is>
          <t>Unknown</t>
        </is>
      </c>
      <c r="T374" s="29" t="inlineStr"/>
      <c r="U374" s="29" t="inlineStr"/>
      <c r="V374" s="29" t="inlineStr"/>
      <c r="W374" s="29" t="inlineStr"/>
      <c r="X374" s="29" t="inlineStr"/>
      <c r="Y374" s="29" t="inlineStr"/>
      <c r="Z374" s="29" t="inlineStr"/>
      <c r="AA374" s="29" t="inlineStr"/>
      <c r="AB374" s="29" t="inlineStr"/>
      <c r="AC374" s="29" t="inlineStr"/>
      <c r="AD374" s="29" t="inlineStr"/>
      <c r="AE374" s="29" t="inlineStr">
        <is>
          <t>Unknown</t>
        </is>
      </c>
      <c r="AF374" s="29" t="inlineStr">
        <is>
          <t>No exact feature-level physical path was resolved from the reviewed evidence.</t>
        </is>
      </c>
      <c r="AG374" s="29" t="inlineStr">
        <is>
          <t>Unknown</t>
        </is>
      </c>
      <c r="AH374" s="29" t="inlineStr">
        <is>
          <t>Unknown</t>
        </is>
      </c>
      <c r="AI374" s="29" t="inlineStr">
        <is>
          <t>No client UI found for admin features; A prior area review labelled this 'Partial', but did not supply a feature-level physical mapping; the authoritative state is therefore Unknown.</t>
        </is>
      </c>
      <c r="AJ374" s="29" t="inlineStr">
        <is>
          <t>Unknown</t>
        </is>
      </c>
      <c r="AK374" s="29" t="inlineStr">
        <is>
          <t>EV-18-0001</t>
        </is>
      </c>
      <c r="AL374" s="29" t="inlineStr"/>
      <c r="AM374" s="29" t="inlineStr"/>
      <c r="AN374" s="29" t="inlineStr"/>
      <c r="AO374" s="29" t="inlineStr">
        <is>
          <t>8bc0dcb2a1da1b21368c5536aaeef829d587f316</t>
        </is>
      </c>
      <c r="AP374" s="29" t="inlineStr">
        <is>
          <t>Low</t>
        </is>
      </c>
      <c r="AQ374" s="29" t="inlineStr">
        <is>
          <t>Not assessed</t>
        </is>
      </c>
      <c r="AR374" s="29" t="inlineStr">
        <is>
          <t>Not assessed</t>
        </is>
      </c>
      <c r="AS374" s="29" t="inlineStr">
        <is>
          <t>Fail</t>
        </is>
      </c>
      <c r="AT374" s="29" t="inlineStr">
        <is>
          <t>Not assessed</t>
        </is>
      </c>
      <c r="AU374" s="29" t="inlineStr">
        <is>
          <t>Not assessed</t>
        </is>
      </c>
      <c r="AV374" s="29" t="inlineStr">
        <is>
          <t>Not assessed</t>
        </is>
      </c>
      <c r="AW374" s="29" t="inlineStr">
        <is>
          <t>Not assessed</t>
        </is>
      </c>
      <c r="AX374" s="29" t="inlineStr">
        <is>
          <t>Not assessed</t>
        </is>
      </c>
      <c r="AY374" s="29" t="inlineStr">
        <is>
          <t>Not assessed</t>
        </is>
      </c>
      <c r="AZ374" s="29" t="inlineStr">
        <is>
          <t>Not assessed</t>
        </is>
      </c>
      <c r="BA374" s="29" t="inlineStr">
        <is>
          <t>Not assessed</t>
        </is>
      </c>
      <c r="BB374" s="29" t="inlineStr">
        <is>
          <t>Not assessed</t>
        </is>
      </c>
      <c r="BC374" s="29" t="inlineStr">
        <is>
          <t>Not assessed</t>
        </is>
      </c>
      <c r="BD374" s="29" t="inlineStr">
        <is>
          <t>Not assessed</t>
        </is>
      </c>
      <c r="BE374" s="29" t="inlineStr">
        <is>
          <t>Not assessed</t>
        </is>
      </c>
      <c r="BF374" s="29" t="inlineStr">
        <is>
          <t>Production readiness cannot be assessed until the exact physical implementation and runtime path are traced.</t>
        </is>
      </c>
      <c r="BG374" s="29" t="inlineStr">
        <is>
          <t>Map the feature to exact client, server, data, worker and configuration locations, then verify its runtime path.</t>
        </is>
      </c>
      <c r="BH374" s="29" t="inlineStr"/>
      <c r="BI374" s="29" t="inlineStr"/>
      <c r="BJ374" s="29" t="inlineStr"/>
      <c r="BK374" s="29" t="inlineStr">
        <is>
          <t>Evidence reconciled against the reviewed source revision. No production approval is inferred from implementation or file presence.</t>
        </is>
      </c>
      <c r="BL374" s="29" t="inlineStr">
        <is>
          <t>2026-08-02</t>
        </is>
      </c>
    </row>
    <row r="375" ht="42" customHeight="1">
      <c r="A375" s="29" t="inlineStr">
        <is>
          <t>BLYP-18-018</t>
        </is>
      </c>
      <c r="B375" s="29" t="inlineStr"/>
      <c r="C375" s="29" t="inlineStr">
        <is>
          <t>BLYP Operations and Admin Centre</t>
        </is>
      </c>
      <c r="D375" s="29" t="n">
        <v>18</v>
      </c>
      <c r="E375" s="29" t="n">
        <v>18</v>
      </c>
      <c r="F375" s="29" t="inlineStr">
        <is>
          <t>Feature</t>
        </is>
      </c>
      <c r="G375" s="29" t="inlineStr">
        <is>
          <t>Feature-flag controls</t>
        </is>
      </c>
      <c r="H375" s="29" t="inlineStr">
        <is>
          <t>Feature-flag controls</t>
        </is>
      </c>
      <c r="I375" s="29" t="inlineStr">
        <is>
          <t>/home/ubuntu/blyp_product_requirements.md :: Section 18 — BLYP Operations and Admin Centre</t>
        </is>
      </c>
      <c r="J375" s="29" t="inlineStr">
        <is>
          <t>/home/ubuntu/BLYP_COMPLETE_FEATURE_LIST.md:474</t>
        </is>
      </c>
      <c r="K375" s="29" t="inlineStr">
        <is>
          <t>Required</t>
        </is>
      </c>
      <c r="L375" s="29" t="inlineStr">
        <is>
          <t>Authorized operator or accountable service owner</t>
        </is>
      </c>
      <c r="M375" s="29" t="inlineStr">
        <is>
          <t>BLYP mobile application and supporting production services</t>
        </is>
      </c>
      <c r="N375" s="29" t="inlineStr">
        <is>
          <t>Feature-flag controls</t>
        </is>
      </c>
      <c r="O375" s="29" t="inlineStr">
        <is>
          <t>Not explicitly defined in the product source; requires accountable product approval before production sign-off.</t>
        </is>
      </c>
      <c r="P375" s="29" t="inlineStr"/>
      <c r="Q375" s="29" t="inlineStr">
        <is>
          <t>Yes</t>
        </is>
      </c>
      <c r="R375" s="29" t="inlineStr"/>
      <c r="S375" s="29" t="inlineStr">
        <is>
          <t>Unknown</t>
        </is>
      </c>
      <c r="T375" s="29" t="inlineStr"/>
      <c r="U375" s="29" t="inlineStr"/>
      <c r="V375" s="29" t="inlineStr"/>
      <c r="W375" s="29" t="inlineStr"/>
      <c r="X375" s="29" t="inlineStr"/>
      <c r="Y375" s="29" t="inlineStr"/>
      <c r="Z375" s="29" t="inlineStr"/>
      <c r="AA375" s="29" t="inlineStr"/>
      <c r="AB375" s="29" t="inlineStr"/>
      <c r="AC375" s="29" t="inlineStr"/>
      <c r="AD375" s="29" t="inlineStr"/>
      <c r="AE375" s="29" t="inlineStr">
        <is>
          <t>Unknown</t>
        </is>
      </c>
      <c r="AF375" s="29" t="inlineStr">
        <is>
          <t>No exact feature-level physical path was resolved from the reviewed evidence.</t>
        </is>
      </c>
      <c r="AG375" s="29" t="inlineStr">
        <is>
          <t>Unknown</t>
        </is>
      </c>
      <c r="AH375" s="29" t="inlineStr">
        <is>
          <t>Unknown</t>
        </is>
      </c>
      <c r="AI375" s="29" t="inlineStr">
        <is>
          <t>No client UI found for admin features; A prior area review labelled this 'Partial', but did not supply a feature-level physical mapping; the authoritative state is therefore Unknown.</t>
        </is>
      </c>
      <c r="AJ375" s="29" t="inlineStr">
        <is>
          <t>Unknown</t>
        </is>
      </c>
      <c r="AK375" s="29" t="inlineStr">
        <is>
          <t>EV-18-0002</t>
        </is>
      </c>
      <c r="AL375" s="29" t="inlineStr"/>
      <c r="AM375" s="29" t="inlineStr"/>
      <c r="AN375" s="29" t="inlineStr"/>
      <c r="AO375" s="29" t="inlineStr">
        <is>
          <t>8bc0dcb2a1da1b21368c5536aaeef829d587f316</t>
        </is>
      </c>
      <c r="AP375" s="29" t="inlineStr">
        <is>
          <t>Low</t>
        </is>
      </c>
      <c r="AQ375" s="29" t="inlineStr">
        <is>
          <t>Not assessed</t>
        </is>
      </c>
      <c r="AR375" s="29" t="inlineStr">
        <is>
          <t>Not assessed</t>
        </is>
      </c>
      <c r="AS375" s="29" t="inlineStr">
        <is>
          <t>Fail</t>
        </is>
      </c>
      <c r="AT375" s="29" t="inlineStr">
        <is>
          <t>Not assessed</t>
        </is>
      </c>
      <c r="AU375" s="29" t="inlineStr">
        <is>
          <t>Not assessed</t>
        </is>
      </c>
      <c r="AV375" s="29" t="inlineStr">
        <is>
          <t>Not assessed</t>
        </is>
      </c>
      <c r="AW375" s="29" t="inlineStr">
        <is>
          <t>Not assessed</t>
        </is>
      </c>
      <c r="AX375" s="29" t="inlineStr">
        <is>
          <t>Not assessed</t>
        </is>
      </c>
      <c r="AY375" s="29" t="inlineStr">
        <is>
          <t>Not assessed</t>
        </is>
      </c>
      <c r="AZ375" s="29" t="inlineStr">
        <is>
          <t>Not assessed</t>
        </is>
      </c>
      <c r="BA375" s="29" t="inlineStr">
        <is>
          <t>Not assessed</t>
        </is>
      </c>
      <c r="BB375" s="29" t="inlineStr">
        <is>
          <t>Not assessed</t>
        </is>
      </c>
      <c r="BC375" s="29" t="inlineStr">
        <is>
          <t>Not assessed</t>
        </is>
      </c>
      <c r="BD375" s="29" t="inlineStr">
        <is>
          <t>Not assessed</t>
        </is>
      </c>
      <c r="BE375" s="29" t="inlineStr">
        <is>
          <t>Not assessed</t>
        </is>
      </c>
      <c r="BF375" s="29" t="inlineStr">
        <is>
          <t>Production readiness cannot be assessed until the exact physical implementation and runtime path are traced.</t>
        </is>
      </c>
      <c r="BG375" s="29" t="inlineStr">
        <is>
          <t>Map the feature to exact client, server, data, worker and configuration locations, then verify its runtime path.</t>
        </is>
      </c>
      <c r="BH375" s="29" t="inlineStr"/>
      <c r="BI375" s="29" t="inlineStr"/>
      <c r="BJ375" s="29" t="inlineStr"/>
      <c r="BK375" s="29" t="inlineStr">
        <is>
          <t>Evidence reconciled against the reviewed source revision. No production approval is inferred from implementation or file presence.</t>
        </is>
      </c>
      <c r="BL375" s="29" t="inlineStr">
        <is>
          <t>2026-08-02</t>
        </is>
      </c>
    </row>
    <row r="376" ht="42" customHeight="1">
      <c r="A376" s="29" t="inlineStr">
        <is>
          <t>BLYP-18-019</t>
        </is>
      </c>
      <c r="B376" s="29" t="inlineStr"/>
      <c r="C376" s="29" t="inlineStr">
        <is>
          <t>BLYP Operations and Admin Centre</t>
        </is>
      </c>
      <c r="D376" s="29" t="n">
        <v>18</v>
      </c>
      <c r="E376" s="29" t="n">
        <v>19</v>
      </c>
      <c r="F376" s="29" t="inlineStr">
        <is>
          <t>Feature</t>
        </is>
      </c>
      <c r="G376" s="29" t="inlineStr">
        <is>
          <t>Announcements management</t>
        </is>
      </c>
      <c r="H376" s="29" t="inlineStr">
        <is>
          <t>Announcements management</t>
        </is>
      </c>
      <c r="I376" s="29" t="inlineStr">
        <is>
          <t>/home/ubuntu/blyp_product_requirements.md :: Section 18 — BLYP Operations and Admin Centre</t>
        </is>
      </c>
      <c r="J376" s="29" t="inlineStr">
        <is>
          <t>/home/ubuntu/BLYP_COMPLETE_FEATURE_LIST.md:475</t>
        </is>
      </c>
      <c r="K376" s="29" t="inlineStr">
        <is>
          <t>Required</t>
        </is>
      </c>
      <c r="L376" s="29" t="inlineStr">
        <is>
          <t>Authorized operator or accountable service owner</t>
        </is>
      </c>
      <c r="M376" s="29" t="inlineStr">
        <is>
          <t>BLYP mobile application and supporting production services</t>
        </is>
      </c>
      <c r="N376" s="29" t="inlineStr">
        <is>
          <t>Announcements management</t>
        </is>
      </c>
      <c r="O376" s="29" t="inlineStr">
        <is>
          <t>Not explicitly defined in the product source; requires accountable product approval before production sign-off.</t>
        </is>
      </c>
      <c r="P376" s="29" t="inlineStr"/>
      <c r="Q376" s="29" t="inlineStr">
        <is>
          <t>No evidence</t>
        </is>
      </c>
      <c r="R376" s="29" t="inlineStr"/>
      <c r="S376" s="29" t="inlineStr">
        <is>
          <t>Unknown</t>
        </is>
      </c>
      <c r="T376" s="29" t="inlineStr"/>
      <c r="U376" s="29" t="inlineStr"/>
      <c r="V376" s="29" t="inlineStr"/>
      <c r="W376" s="29" t="inlineStr"/>
      <c r="X376" s="29" t="inlineStr"/>
      <c r="Y376" s="29" t="inlineStr"/>
      <c r="Z376" s="29" t="inlineStr"/>
      <c r="AA376" s="29" t="inlineStr"/>
      <c r="AB376" s="29" t="inlineStr"/>
      <c r="AC376" s="29" t="inlineStr"/>
      <c r="AD376" s="29" t="inlineStr"/>
      <c r="AE376" s="29" t="inlineStr">
        <is>
          <t>Unknown</t>
        </is>
      </c>
      <c r="AF376" s="29" t="inlineStr">
        <is>
          <t>No exact feature-level physical path was resolved from the reviewed evidence.</t>
        </is>
      </c>
      <c r="AG376" s="29" t="inlineStr">
        <is>
          <t>Unknown</t>
        </is>
      </c>
      <c r="AH376" s="29" t="inlineStr">
        <is>
          <t>Unknown</t>
        </is>
      </c>
      <c r="AI376" s="29" t="inlineStr">
        <is>
          <t>No client UI found for admin features; A prior area review labelled this 'Backend only', but did not supply a feature-level physical mapping; the authoritative state is therefore Unknown.</t>
        </is>
      </c>
      <c r="AJ376" s="29" t="inlineStr">
        <is>
          <t>Unknown</t>
        </is>
      </c>
      <c r="AK376" s="29" t="inlineStr">
        <is>
          <t>EV-18-0003</t>
        </is>
      </c>
      <c r="AL376" s="29" t="inlineStr"/>
      <c r="AM376" s="29" t="inlineStr"/>
      <c r="AN376" s="29" t="inlineStr"/>
      <c r="AO376" s="29" t="inlineStr">
        <is>
          <t>8bc0dcb2a1da1b21368c5536aaeef829d587f316</t>
        </is>
      </c>
      <c r="AP376" s="29" t="inlineStr">
        <is>
          <t>Low</t>
        </is>
      </c>
      <c r="AQ376" s="29" t="inlineStr">
        <is>
          <t>Not assessed</t>
        </is>
      </c>
      <c r="AR376" s="29" t="inlineStr">
        <is>
          <t>Not assessed</t>
        </is>
      </c>
      <c r="AS376" s="29" t="inlineStr">
        <is>
          <t>Not assessed</t>
        </is>
      </c>
      <c r="AT376" s="29" t="inlineStr">
        <is>
          <t>Not assessed</t>
        </is>
      </c>
      <c r="AU376" s="29" t="inlineStr">
        <is>
          <t>Not assessed</t>
        </is>
      </c>
      <c r="AV376" s="29" t="inlineStr">
        <is>
          <t>Not assessed</t>
        </is>
      </c>
      <c r="AW376" s="29" t="inlineStr">
        <is>
          <t>Not assessed</t>
        </is>
      </c>
      <c r="AX376" s="29" t="inlineStr">
        <is>
          <t>Not assessed</t>
        </is>
      </c>
      <c r="AY376" s="29" t="inlineStr">
        <is>
          <t>Not assessed</t>
        </is>
      </c>
      <c r="AZ376" s="29" t="inlineStr">
        <is>
          <t>Not assessed</t>
        </is>
      </c>
      <c r="BA376" s="29" t="inlineStr">
        <is>
          <t>Not assessed</t>
        </is>
      </c>
      <c r="BB376" s="29" t="inlineStr">
        <is>
          <t>Not assessed</t>
        </is>
      </c>
      <c r="BC376" s="29" t="inlineStr">
        <is>
          <t>Not assessed</t>
        </is>
      </c>
      <c r="BD376" s="29" t="inlineStr">
        <is>
          <t>Not assessed</t>
        </is>
      </c>
      <c r="BE376" s="29" t="inlineStr">
        <is>
          <t>Not assessed</t>
        </is>
      </c>
      <c r="BF376" s="29" t="inlineStr">
        <is>
          <t>Production readiness cannot be assessed until the exact physical implementation and runtime path are traced.</t>
        </is>
      </c>
      <c r="BG376" s="29" t="inlineStr">
        <is>
          <t>Map the feature to exact client, server, data, worker and configuration locations, then verify its runtime path.</t>
        </is>
      </c>
      <c r="BH376" s="29" t="inlineStr"/>
      <c r="BI376" s="29" t="inlineStr"/>
      <c r="BJ376" s="29" t="inlineStr"/>
      <c r="BK376" s="29" t="inlineStr">
        <is>
          <t>Evidence reconciled against the reviewed source revision. No production approval is inferred from implementation or file presence.</t>
        </is>
      </c>
      <c r="BL376" s="29" t="inlineStr">
        <is>
          <t>2026-08-02</t>
        </is>
      </c>
    </row>
    <row r="377" ht="42" customHeight="1">
      <c r="A377" s="29" t="inlineStr">
        <is>
          <t>BLYP-18-020</t>
        </is>
      </c>
      <c r="B377" s="29" t="inlineStr"/>
      <c r="C377" s="29" t="inlineStr">
        <is>
          <t>BLYP Operations and Admin Centre</t>
        </is>
      </c>
      <c r="D377" s="29" t="n">
        <v>18</v>
      </c>
      <c r="E377" s="29" t="n">
        <v>20</v>
      </c>
      <c r="F377" s="29" t="inlineStr">
        <is>
          <t>Feature</t>
        </is>
      </c>
      <c r="G377" s="29" t="inlineStr">
        <is>
          <t>AI-allowance controls</t>
        </is>
      </c>
      <c r="H377" s="29" t="inlineStr">
        <is>
          <t>AI-allowance controls</t>
        </is>
      </c>
      <c r="I377" s="29" t="inlineStr">
        <is>
          <t>/home/ubuntu/blyp_product_requirements.md :: Section 18 — BLYP Operations and Admin Centre</t>
        </is>
      </c>
      <c r="J377" s="29" t="inlineStr">
        <is>
          <t>/home/ubuntu/BLYP_COMPLETE_FEATURE_LIST.md:476</t>
        </is>
      </c>
      <c r="K377" s="29" t="inlineStr">
        <is>
          <t>Required</t>
        </is>
      </c>
      <c r="L377" s="29" t="inlineStr">
        <is>
          <t>Authorized operator or accountable service owner</t>
        </is>
      </c>
      <c r="M377" s="29" t="inlineStr">
        <is>
          <t>BLYP mobile application and supporting production services</t>
        </is>
      </c>
      <c r="N377" s="29" t="inlineStr">
        <is>
          <t>AI-allowance controls</t>
        </is>
      </c>
      <c r="O377" s="29" t="inlineStr">
        <is>
          <t>Not explicitly defined in the product source; requires accountable product approval before production sign-off.</t>
        </is>
      </c>
      <c r="P377" s="29" t="inlineStr"/>
      <c r="Q377" s="29" t="inlineStr">
        <is>
          <t>No evidence</t>
        </is>
      </c>
      <c r="R377" s="29" t="inlineStr"/>
      <c r="S377" s="29" t="inlineStr">
        <is>
          <t>Not found</t>
        </is>
      </c>
      <c r="T377" s="29" t="inlineStr"/>
      <c r="U377" s="29" t="inlineStr"/>
      <c r="V377" s="29" t="inlineStr"/>
      <c r="W377" s="29" t="inlineStr"/>
      <c r="X377" s="29" t="inlineStr"/>
      <c r="Y377" s="29" t="inlineStr"/>
      <c r="Z377" s="29" t="inlineStr"/>
      <c r="AA377" s="29" t="inlineStr"/>
      <c r="AB377" s="29" t="inlineStr"/>
      <c r="AC377" s="29" t="inlineStr"/>
      <c r="AD377" s="29" t="inlineStr"/>
      <c r="AE377" s="29" t="inlineStr">
        <is>
          <t>Not wired</t>
        </is>
      </c>
      <c r="AF377" s="29" t="inlineStr"/>
      <c r="AG377" s="29" t="inlineStr">
        <is>
          <t>Not started</t>
        </is>
      </c>
      <c r="AH377" s="29" t="inlineStr">
        <is>
          <t>No</t>
        </is>
      </c>
      <c r="AI377" s="29" t="inlineStr">
        <is>
          <t>No client UI found for admin features</t>
        </is>
      </c>
      <c r="AJ377" s="29" t="inlineStr">
        <is>
          <t>Source traced</t>
        </is>
      </c>
      <c r="AK377" s="29" t="inlineStr">
        <is>
          <t>EV-18-0004</t>
        </is>
      </c>
      <c r="AL377" s="29" t="inlineStr"/>
      <c r="AM377" s="29" t="inlineStr"/>
      <c r="AN377" s="29" t="inlineStr"/>
      <c r="AO377" s="29" t="inlineStr">
        <is>
          <t>8bc0dcb2a1da1b21368c5536aaeef829d587f316</t>
        </is>
      </c>
      <c r="AP377" s="29" t="inlineStr">
        <is>
          <t>Medium</t>
        </is>
      </c>
      <c r="AQ377" s="29" t="inlineStr">
        <is>
          <t>Not assessed</t>
        </is>
      </c>
      <c r="AR377" s="29" t="inlineStr">
        <is>
          <t>Not assessed</t>
        </is>
      </c>
      <c r="AS377" s="29" t="inlineStr">
        <is>
          <t>Fail</t>
        </is>
      </c>
      <c r="AT377" s="29" t="inlineStr">
        <is>
          <t>Not assessed</t>
        </is>
      </c>
      <c r="AU377" s="29" t="inlineStr">
        <is>
          <t>Not assessed</t>
        </is>
      </c>
      <c r="AV377" s="29" t="inlineStr">
        <is>
          <t>Not assessed</t>
        </is>
      </c>
      <c r="AW377" s="29" t="inlineStr">
        <is>
          <t>Not assessed</t>
        </is>
      </c>
      <c r="AX377" s="29" t="inlineStr">
        <is>
          <t>Not assessed</t>
        </is>
      </c>
      <c r="AY377" s="29" t="inlineStr">
        <is>
          <t>Not assessed</t>
        </is>
      </c>
      <c r="AZ377" s="29" t="inlineStr">
        <is>
          <t>Not assessed</t>
        </is>
      </c>
      <c r="BA377" s="29" t="inlineStr">
        <is>
          <t>Not assessed</t>
        </is>
      </c>
      <c r="BB377" s="29" t="inlineStr">
        <is>
          <t>Not assessed</t>
        </is>
      </c>
      <c r="BC377" s="29" t="inlineStr">
        <is>
          <t>Not assessed</t>
        </is>
      </c>
      <c r="BD377" s="29" t="inlineStr">
        <is>
          <t>Not assessed</t>
        </is>
      </c>
      <c r="BE377" s="29" t="inlineStr">
        <is>
          <t>Development required</t>
        </is>
      </c>
      <c r="BF377" s="29" t="inlineStr">
        <is>
          <t>Physical implementation is not complete against the stated requirement.; No client UI found for admin features</t>
        </is>
      </c>
      <c r="BG377" s="29" t="inlineStr"/>
      <c r="BH377" s="29" t="inlineStr"/>
      <c r="BI377" s="29" t="inlineStr"/>
      <c r="BJ377" s="29" t="inlineStr"/>
      <c r="BK377" s="29" t="inlineStr">
        <is>
          <t>Evidence reconciled against the reviewed source revision. No production approval is inferred from implementation or file presence.</t>
        </is>
      </c>
      <c r="BL377" s="29" t="inlineStr">
        <is>
          <t>2026-08-02</t>
        </is>
      </c>
    </row>
    <row r="378" ht="42" customHeight="1">
      <c r="A378" s="29" t="inlineStr">
        <is>
          <t>BLYP-18-021</t>
        </is>
      </c>
      <c r="B378" s="29" t="inlineStr"/>
      <c r="C378" s="29" t="inlineStr">
        <is>
          <t>BLYP Operations and Admin Centre</t>
        </is>
      </c>
      <c r="D378" s="29" t="n">
        <v>18</v>
      </c>
      <c r="E378" s="29" t="n">
        <v>21</v>
      </c>
      <c r="F378" s="29" t="inlineStr">
        <is>
          <t>Feature</t>
        </is>
      </c>
      <c r="G378" s="29" t="inlineStr">
        <is>
          <t>Minimum app-version policy</t>
        </is>
      </c>
      <c r="H378" s="29" t="inlineStr">
        <is>
          <t>Minimum app-version policy</t>
        </is>
      </c>
      <c r="I378" s="29" t="inlineStr">
        <is>
          <t>/home/ubuntu/blyp_product_requirements.md :: Section 18 — BLYP Operations and Admin Centre</t>
        </is>
      </c>
      <c r="J378" s="29" t="inlineStr">
        <is>
          <t>/home/ubuntu/BLYP_COMPLETE_FEATURE_LIST.md:477</t>
        </is>
      </c>
      <c r="K378" s="29" t="inlineStr">
        <is>
          <t>Required</t>
        </is>
      </c>
      <c r="L378" s="29" t="inlineStr">
        <is>
          <t>Authorized operator or accountable service owner</t>
        </is>
      </c>
      <c r="M378" s="29" t="inlineStr">
        <is>
          <t>BLYP mobile application and supporting production services</t>
        </is>
      </c>
      <c r="N378" s="29" t="inlineStr">
        <is>
          <t>Minimum app-version policy</t>
        </is>
      </c>
      <c r="O378" s="29" t="inlineStr">
        <is>
          <t>Not explicitly defined in the product source; requires accountable product approval before production sign-off.</t>
        </is>
      </c>
      <c r="P378" s="29" t="inlineStr"/>
      <c r="Q378" s="29" t="inlineStr">
        <is>
          <t>Yes</t>
        </is>
      </c>
      <c r="R378" s="29" t="inlineStr"/>
      <c r="S378" s="29" t="inlineStr">
        <is>
          <t>Unknown</t>
        </is>
      </c>
      <c r="T378" s="29" t="inlineStr"/>
      <c r="U378" s="29" t="inlineStr"/>
      <c r="V378" s="29" t="inlineStr"/>
      <c r="W378" s="29" t="inlineStr"/>
      <c r="X378" s="29" t="inlineStr"/>
      <c r="Y378" s="29" t="inlineStr"/>
      <c r="Z378" s="29" t="inlineStr"/>
      <c r="AA378" s="29" t="inlineStr"/>
      <c r="AB378" s="29" t="inlineStr"/>
      <c r="AC378" s="29" t="inlineStr"/>
      <c r="AD378" s="29" t="inlineStr"/>
      <c r="AE378" s="29" t="inlineStr">
        <is>
          <t>Unknown</t>
        </is>
      </c>
      <c r="AF378" s="29" t="inlineStr">
        <is>
          <t>No exact feature-level physical path was resolved from the reviewed evidence.</t>
        </is>
      </c>
      <c r="AG378" s="29" t="inlineStr">
        <is>
          <t>Unknown</t>
        </is>
      </c>
      <c r="AH378" s="29" t="inlineStr">
        <is>
          <t>Unknown</t>
        </is>
      </c>
      <c r="AI378" s="29" t="inlineStr">
        <is>
          <t>No client UI found for admin features; A prior area review labelled this 'Backend only', but did not supply a feature-level physical mapping; the authoritative state is therefore Unknown.</t>
        </is>
      </c>
      <c r="AJ378" s="29" t="inlineStr">
        <is>
          <t>Unknown</t>
        </is>
      </c>
      <c r="AK378" s="29" t="inlineStr">
        <is>
          <t>EV-18-0005</t>
        </is>
      </c>
      <c r="AL378" s="29" t="inlineStr"/>
      <c r="AM378" s="29" t="inlineStr"/>
      <c r="AN378" s="29" t="inlineStr"/>
      <c r="AO378" s="29" t="inlineStr">
        <is>
          <t>8bc0dcb2a1da1b21368c5536aaeef829d587f316</t>
        </is>
      </c>
      <c r="AP378" s="29" t="inlineStr">
        <is>
          <t>Low</t>
        </is>
      </c>
      <c r="AQ378" s="29" t="inlineStr">
        <is>
          <t>Not assessed</t>
        </is>
      </c>
      <c r="AR378" s="29" t="inlineStr">
        <is>
          <t>Not assessed</t>
        </is>
      </c>
      <c r="AS378" s="29" t="inlineStr">
        <is>
          <t>Not assessed</t>
        </is>
      </c>
      <c r="AT378" s="29" t="inlineStr">
        <is>
          <t>Not assessed</t>
        </is>
      </c>
      <c r="AU378" s="29" t="inlineStr">
        <is>
          <t>Not assessed</t>
        </is>
      </c>
      <c r="AV378" s="29" t="inlineStr">
        <is>
          <t>Not assessed</t>
        </is>
      </c>
      <c r="AW378" s="29" t="inlineStr">
        <is>
          <t>Not assessed</t>
        </is>
      </c>
      <c r="AX378" s="29" t="inlineStr">
        <is>
          <t>Not assessed</t>
        </is>
      </c>
      <c r="AY378" s="29" t="inlineStr">
        <is>
          <t>Not assessed</t>
        </is>
      </c>
      <c r="AZ378" s="29" t="inlineStr">
        <is>
          <t>Not assessed</t>
        </is>
      </c>
      <c r="BA378" s="29" t="inlineStr">
        <is>
          <t>Not assessed</t>
        </is>
      </c>
      <c r="BB378" s="29" t="inlineStr">
        <is>
          <t>Not assessed</t>
        </is>
      </c>
      <c r="BC378" s="29" t="inlineStr">
        <is>
          <t>Not assessed</t>
        </is>
      </c>
      <c r="BD378" s="29" t="inlineStr">
        <is>
          <t>Not assessed</t>
        </is>
      </c>
      <c r="BE378" s="29" t="inlineStr">
        <is>
          <t>Not assessed</t>
        </is>
      </c>
      <c r="BF378" s="29" t="inlineStr">
        <is>
          <t>Production readiness cannot be assessed until the exact physical implementation and runtime path are traced.</t>
        </is>
      </c>
      <c r="BG378" s="29" t="inlineStr">
        <is>
          <t>Map the feature to exact client, server, data, worker and configuration locations, then verify its runtime path.</t>
        </is>
      </c>
      <c r="BH378" s="29" t="inlineStr"/>
      <c r="BI378" s="29" t="inlineStr"/>
      <c r="BJ378" s="29" t="inlineStr"/>
      <c r="BK378" s="29" t="inlineStr">
        <is>
          <t>Evidence reconciled against the reviewed source revision. No production approval is inferred from implementation or file presence.</t>
        </is>
      </c>
      <c r="BL378" s="29" t="inlineStr">
        <is>
          <t>2026-08-02</t>
        </is>
      </c>
    </row>
    <row r="379" ht="42" customHeight="1">
      <c r="A379" s="29" t="inlineStr">
        <is>
          <t>BLYP-18-022</t>
        </is>
      </c>
      <c r="B379" s="29" t="inlineStr"/>
      <c r="C379" s="29" t="inlineStr">
        <is>
          <t>BLYP Operations and Admin Centre</t>
        </is>
      </c>
      <c r="D379" s="29" t="n">
        <v>18</v>
      </c>
      <c r="E379" s="29" t="n">
        <v>22</v>
      </c>
      <c r="F379" s="29" t="inlineStr">
        <is>
          <t>Feature</t>
        </is>
      </c>
      <c r="G379" s="29" t="inlineStr">
        <is>
          <t>Infrastructure-health view</t>
        </is>
      </c>
      <c r="H379" s="29" t="inlineStr">
        <is>
          <t>Infrastructure-health view</t>
        </is>
      </c>
      <c r="I379" s="29" t="inlineStr">
        <is>
          <t>/home/ubuntu/blyp_product_requirements.md :: Section 18 — BLYP Operations and Admin Centre</t>
        </is>
      </c>
      <c r="J379" s="29" t="inlineStr">
        <is>
          <t>/home/ubuntu/BLYP_COMPLETE_FEATURE_LIST.md:478</t>
        </is>
      </c>
      <c r="K379" s="29" t="inlineStr">
        <is>
          <t>Required</t>
        </is>
      </c>
      <c r="L379" s="29" t="inlineStr">
        <is>
          <t>Authorized operator or accountable service owner</t>
        </is>
      </c>
      <c r="M379" s="29" t="inlineStr">
        <is>
          <t>BLYP mobile application and supporting production services</t>
        </is>
      </c>
      <c r="N379" s="29" t="inlineStr">
        <is>
          <t>Infrastructure-health view</t>
        </is>
      </c>
      <c r="O379" s="29" t="inlineStr">
        <is>
          <t>Not explicitly defined in the product source; requires accountable product approval before production sign-off.</t>
        </is>
      </c>
      <c r="P379" s="29" t="inlineStr"/>
      <c r="Q379" s="29" t="inlineStr">
        <is>
          <t>Partial</t>
        </is>
      </c>
      <c r="R379" s="29" t="inlineStr"/>
      <c r="S379" s="29" t="inlineStr">
        <is>
          <t>Unknown</t>
        </is>
      </c>
      <c r="T379" s="29" t="inlineStr"/>
      <c r="U379" s="29" t="inlineStr"/>
      <c r="V379" s="29" t="inlineStr"/>
      <c r="W379" s="29" t="inlineStr"/>
      <c r="X379" s="29" t="inlineStr"/>
      <c r="Y379" s="29" t="inlineStr"/>
      <c r="Z379" s="29" t="inlineStr"/>
      <c r="AA379" s="29" t="inlineStr"/>
      <c r="AB379" s="29" t="inlineStr"/>
      <c r="AC379" s="29" t="inlineStr"/>
      <c r="AD379" s="29" t="inlineStr"/>
      <c r="AE379" s="29" t="inlineStr">
        <is>
          <t>Unknown</t>
        </is>
      </c>
      <c r="AF379" s="29" t="inlineStr">
        <is>
          <t>No exact feature-level physical path was resolved from the reviewed evidence.</t>
        </is>
      </c>
      <c r="AG379" s="29" t="inlineStr">
        <is>
          <t>Unknown</t>
        </is>
      </c>
      <c r="AH379" s="29" t="inlineStr">
        <is>
          <t>Unknown</t>
        </is>
      </c>
      <c r="AI379" s="29" t="inlineStr">
        <is>
          <t>No client UI found for admin features; A prior area review labelled this 'Backend only', but did not supply a feature-level physical mapping; the authoritative state is therefore Unknown.</t>
        </is>
      </c>
      <c r="AJ379" s="29" t="inlineStr">
        <is>
          <t>Unknown</t>
        </is>
      </c>
      <c r="AK379" s="29" t="inlineStr">
        <is>
          <t>EV-18-0006</t>
        </is>
      </c>
      <c r="AL379" s="29" t="inlineStr"/>
      <c r="AM379" s="29" t="inlineStr"/>
      <c r="AN379" s="29" t="inlineStr"/>
      <c r="AO379" s="29" t="inlineStr">
        <is>
          <t>8bc0dcb2a1da1b21368c5536aaeef829d587f316</t>
        </is>
      </c>
      <c r="AP379" s="29" t="inlineStr">
        <is>
          <t>Low</t>
        </is>
      </c>
      <c r="AQ379" s="29" t="inlineStr">
        <is>
          <t>Not assessed</t>
        </is>
      </c>
      <c r="AR379" s="29" t="inlineStr">
        <is>
          <t>Not assessed</t>
        </is>
      </c>
      <c r="AS379" s="29" t="inlineStr">
        <is>
          <t>Not assessed</t>
        </is>
      </c>
      <c r="AT379" s="29" t="inlineStr">
        <is>
          <t>Not assessed</t>
        </is>
      </c>
      <c r="AU379" s="29" t="inlineStr">
        <is>
          <t>Not assessed</t>
        </is>
      </c>
      <c r="AV379" s="29" t="inlineStr">
        <is>
          <t>Not assessed</t>
        </is>
      </c>
      <c r="AW379" s="29" t="inlineStr">
        <is>
          <t>Not assessed</t>
        </is>
      </c>
      <c r="AX379" s="29" t="inlineStr">
        <is>
          <t>Not assessed</t>
        </is>
      </c>
      <c r="AY379" s="29" t="inlineStr">
        <is>
          <t>Not assessed</t>
        </is>
      </c>
      <c r="AZ379" s="29" t="inlineStr">
        <is>
          <t>Not assessed</t>
        </is>
      </c>
      <c r="BA379" s="29" t="inlineStr">
        <is>
          <t>Not assessed</t>
        </is>
      </c>
      <c r="BB379" s="29" t="inlineStr">
        <is>
          <t>Not assessed</t>
        </is>
      </c>
      <c r="BC379" s="29" t="inlineStr">
        <is>
          <t>Not assessed</t>
        </is>
      </c>
      <c r="BD379" s="29" t="inlineStr">
        <is>
          <t>Not assessed</t>
        </is>
      </c>
      <c r="BE379" s="29" t="inlineStr">
        <is>
          <t>Not assessed</t>
        </is>
      </c>
      <c r="BF379" s="29" t="inlineStr">
        <is>
          <t>Production readiness cannot be assessed until the exact physical implementation and runtime path are traced.</t>
        </is>
      </c>
      <c r="BG379" s="29" t="inlineStr">
        <is>
          <t>Map the feature to exact client, server, data, worker and configuration locations, then verify its runtime path.</t>
        </is>
      </c>
      <c r="BH379" s="29" t="inlineStr"/>
      <c r="BI379" s="29" t="inlineStr"/>
      <c r="BJ379" s="29" t="inlineStr"/>
      <c r="BK379" s="29" t="inlineStr">
        <is>
          <t>Evidence reconciled against the reviewed source revision. No production approval is inferred from implementation or file presence.</t>
        </is>
      </c>
      <c r="BL379" s="29" t="inlineStr">
        <is>
          <t>2026-08-02</t>
        </is>
      </c>
    </row>
    <row r="380" ht="42" customHeight="1">
      <c r="A380" s="29" t="inlineStr">
        <is>
          <t>BLYP-18-023</t>
        </is>
      </c>
      <c r="B380" s="29" t="inlineStr"/>
      <c r="C380" s="29" t="inlineStr">
        <is>
          <t>BLYP Operations and Admin Centre</t>
        </is>
      </c>
      <c r="D380" s="29" t="n">
        <v>18</v>
      </c>
      <c r="E380" s="29" t="n">
        <v>23</v>
      </c>
      <c r="F380" s="29" t="inlineStr">
        <is>
          <t>Operational requirement</t>
        </is>
      </c>
      <c r="G380" s="29" t="inlineStr">
        <is>
          <t>Immutable administrator audit log</t>
        </is>
      </c>
      <c r="H380" s="29" t="inlineStr">
        <is>
          <t>Immutable administrator audit log</t>
        </is>
      </c>
      <c r="I380" s="29" t="inlineStr">
        <is>
          <t>/home/ubuntu/blyp_product_requirements.md :: Section 18 — BLYP Operations and Admin Centre</t>
        </is>
      </c>
      <c r="J380" s="29" t="inlineStr">
        <is>
          <t>/home/ubuntu/BLYP_COMPLETE_FEATURE_LIST.md:479</t>
        </is>
      </c>
      <c r="K380" s="29" t="inlineStr">
        <is>
          <t>Required</t>
        </is>
      </c>
      <c r="L380" s="29" t="inlineStr">
        <is>
          <t>Authorized operator or accountable service owner</t>
        </is>
      </c>
      <c r="M380" s="29" t="inlineStr">
        <is>
          <t>Production platform and operations</t>
        </is>
      </c>
      <c r="N380" s="29" t="inlineStr">
        <is>
          <t>Immutable administrator audit log</t>
        </is>
      </c>
      <c r="O380" s="29" t="inlineStr">
        <is>
          <t>Not explicitly defined in the product source; requires accountable product approval before production sign-off.</t>
        </is>
      </c>
      <c r="P380" s="29" t="inlineStr"/>
      <c r="Q380" s="29" t="inlineStr">
        <is>
          <t>Partial</t>
        </is>
      </c>
      <c r="R380" s="29" t="inlineStr"/>
      <c r="S380" s="29" t="inlineStr">
        <is>
          <t>Unknown</t>
        </is>
      </c>
      <c r="T380" s="29" t="inlineStr"/>
      <c r="U380" s="29" t="inlineStr"/>
      <c r="V380" s="29" t="inlineStr"/>
      <c r="W380" s="29" t="inlineStr"/>
      <c r="X380" s="29" t="inlineStr"/>
      <c r="Y380" s="29" t="inlineStr"/>
      <c r="Z380" s="29" t="inlineStr"/>
      <c r="AA380" s="29" t="inlineStr"/>
      <c r="AB380" s="29" t="inlineStr"/>
      <c r="AC380" s="29" t="inlineStr"/>
      <c r="AD380" s="29" t="inlineStr"/>
      <c r="AE380" s="29" t="inlineStr">
        <is>
          <t>Unknown</t>
        </is>
      </c>
      <c r="AF380" s="29" t="inlineStr">
        <is>
          <t>No exact feature-level physical path was resolved from the reviewed evidence.</t>
        </is>
      </c>
      <c r="AG380" s="29" t="inlineStr">
        <is>
          <t>Unknown</t>
        </is>
      </c>
      <c r="AH380" s="29" t="inlineStr">
        <is>
          <t>Unknown</t>
        </is>
      </c>
      <c r="AI380" s="29" t="inlineStr">
        <is>
          <t>No client UI found for admin features; A prior area review labelled this 'Backend only', but did not supply a feature-level physical mapping; the authoritative state is therefore Unknown.</t>
        </is>
      </c>
      <c r="AJ380" s="29" t="inlineStr">
        <is>
          <t>Unknown</t>
        </is>
      </c>
      <c r="AK380" s="29" t="inlineStr">
        <is>
          <t>EV-18-0007</t>
        </is>
      </c>
      <c r="AL380" s="29" t="inlineStr"/>
      <c r="AM380" s="29" t="inlineStr"/>
      <c r="AN380" s="29" t="inlineStr"/>
      <c r="AO380" s="29" t="inlineStr">
        <is>
          <t>8bc0dcb2a1da1b21368c5536aaeef829d587f316</t>
        </is>
      </c>
      <c r="AP380" s="29" t="inlineStr">
        <is>
          <t>Low</t>
        </is>
      </c>
      <c r="AQ380" s="29" t="inlineStr">
        <is>
          <t>Not assessed</t>
        </is>
      </c>
      <c r="AR380" s="29" t="inlineStr">
        <is>
          <t>Not assessed</t>
        </is>
      </c>
      <c r="AS380" s="29" t="inlineStr">
        <is>
          <t>Not assessed</t>
        </is>
      </c>
      <c r="AT380" s="29" t="inlineStr">
        <is>
          <t>Not assessed</t>
        </is>
      </c>
      <c r="AU380" s="29" t="inlineStr">
        <is>
          <t>Not assessed</t>
        </is>
      </c>
      <c r="AV380" s="29" t="inlineStr">
        <is>
          <t>Not assessed</t>
        </is>
      </c>
      <c r="AW380" s="29" t="inlineStr">
        <is>
          <t>Not assessed</t>
        </is>
      </c>
      <c r="AX380" s="29" t="inlineStr">
        <is>
          <t>Not assessed</t>
        </is>
      </c>
      <c r="AY380" s="29" t="inlineStr">
        <is>
          <t>Not assessed</t>
        </is>
      </c>
      <c r="AZ380" s="29" t="inlineStr">
        <is>
          <t>Not assessed</t>
        </is>
      </c>
      <c r="BA380" s="29" t="inlineStr">
        <is>
          <t>Not assessed</t>
        </is>
      </c>
      <c r="BB380" s="29" t="inlineStr">
        <is>
          <t>Not assessed</t>
        </is>
      </c>
      <c r="BC380" s="29" t="inlineStr">
        <is>
          <t>Not assessed</t>
        </is>
      </c>
      <c r="BD380" s="29" t="inlineStr">
        <is>
          <t>Not assessed</t>
        </is>
      </c>
      <c r="BE380" s="29" t="inlineStr">
        <is>
          <t>Not assessed</t>
        </is>
      </c>
      <c r="BF380" s="29" t="inlineStr">
        <is>
          <t>Production readiness cannot be assessed until the exact physical implementation and runtime path are traced.</t>
        </is>
      </c>
      <c r="BG380" s="29" t="inlineStr">
        <is>
          <t>Map the feature to exact client, server, data, worker and configuration locations, then verify its runtime path.</t>
        </is>
      </c>
      <c r="BH380" s="29" t="inlineStr"/>
      <c r="BI380" s="29" t="inlineStr"/>
      <c r="BJ380" s="29" t="inlineStr"/>
      <c r="BK380" s="29" t="inlineStr">
        <is>
          <t>Evidence reconciled against the reviewed source revision. No production approval is inferred from implementation or file presence.</t>
        </is>
      </c>
      <c r="BL380" s="29" t="inlineStr">
        <is>
          <t>2026-08-02</t>
        </is>
      </c>
    </row>
    <row r="381" ht="42" customHeight="1">
      <c r="A381" s="29" t="inlineStr">
        <is>
          <t>BLYP-18-024</t>
        </is>
      </c>
      <c r="B381" s="29" t="inlineStr"/>
      <c r="C381" s="29" t="inlineStr">
        <is>
          <t>BLYP Operations and Admin Centre</t>
        </is>
      </c>
      <c r="D381" s="29" t="n">
        <v>18</v>
      </c>
      <c r="E381" s="29" t="n">
        <v>24</v>
      </c>
      <c r="F381" s="29" t="inlineStr">
        <is>
          <t>Operational requirement</t>
        </is>
      </c>
      <c r="G381" s="29" t="inlineStr">
        <is>
          <t>Normal operations without editing databases or environment variables</t>
        </is>
      </c>
      <c r="H381" s="29" t="inlineStr">
        <is>
          <t>Normal operations without editing databases or environment variables</t>
        </is>
      </c>
      <c r="I381" s="29" t="inlineStr">
        <is>
          <t>/home/ubuntu/blyp_product_requirements.md :: Section 18 — BLYP Operations and Admin Centre</t>
        </is>
      </c>
      <c r="J381" s="29" t="inlineStr">
        <is>
          <t>/home/ubuntu/BLYP_COMPLETE_FEATURE_LIST.md:480</t>
        </is>
      </c>
      <c r="K381" s="29" t="inlineStr">
        <is>
          <t>Required</t>
        </is>
      </c>
      <c r="L381" s="29" t="inlineStr">
        <is>
          <t>Authorized operator or accountable service owner</t>
        </is>
      </c>
      <c r="M381" s="29" t="inlineStr">
        <is>
          <t>Production platform and operations</t>
        </is>
      </c>
      <c r="N381" s="29" t="inlineStr">
        <is>
          <t>Normal operations without editing databases or environment variables</t>
        </is>
      </c>
      <c r="O381" s="29" t="inlineStr">
        <is>
          <t>Not explicitly defined in the product source; requires accountable product approval before production sign-off.</t>
        </is>
      </c>
      <c r="P381" s="29" t="inlineStr"/>
      <c r="Q381" s="29" t="inlineStr">
        <is>
          <t>No evidence</t>
        </is>
      </c>
      <c r="R381" s="29" t="inlineStr"/>
      <c r="S381" s="29" t="inlineStr">
        <is>
          <t>Unknown</t>
        </is>
      </c>
      <c r="T381" s="29" t="inlineStr"/>
      <c r="U381" s="29" t="inlineStr"/>
      <c r="V381" s="29" t="inlineStr"/>
      <c r="W381" s="29" t="inlineStr"/>
      <c r="X381" s="29" t="inlineStr"/>
      <c r="Y381" s="29" t="inlineStr"/>
      <c r="Z381" s="29" t="inlineStr"/>
      <c r="AA381" s="29" t="inlineStr"/>
      <c r="AB381" s="29" t="inlineStr"/>
      <c r="AC381" s="29" t="inlineStr"/>
      <c r="AD381" s="29" t="inlineStr"/>
      <c r="AE381" s="29" t="inlineStr">
        <is>
          <t>Unknown</t>
        </is>
      </c>
      <c r="AF381" s="29" t="inlineStr">
        <is>
          <t>No exact feature-level physical path was resolved from the reviewed evidence.</t>
        </is>
      </c>
      <c r="AG381" s="29" t="inlineStr">
        <is>
          <t>Unknown</t>
        </is>
      </c>
      <c r="AH381" s="29" t="inlineStr">
        <is>
          <t>Unknown</t>
        </is>
      </c>
      <c r="AI381" s="29" t="inlineStr">
        <is>
          <t>No client UI found for admin features; A prior area review labelled this 'Partial', but did not supply a feature-level physical mapping; the authoritative state is therefore Unknown.</t>
        </is>
      </c>
      <c r="AJ381" s="29" t="inlineStr">
        <is>
          <t>Unknown</t>
        </is>
      </c>
      <c r="AK381" s="29" t="inlineStr">
        <is>
          <t>EV-18-0008</t>
        </is>
      </c>
      <c r="AL381" s="29" t="inlineStr"/>
      <c r="AM381" s="29" t="inlineStr"/>
      <c r="AN381" s="29" t="inlineStr"/>
      <c r="AO381" s="29" t="inlineStr">
        <is>
          <t>8bc0dcb2a1da1b21368c5536aaeef829d587f316</t>
        </is>
      </c>
      <c r="AP381" s="29" t="inlineStr">
        <is>
          <t>Low</t>
        </is>
      </c>
      <c r="AQ381" s="29" t="inlineStr">
        <is>
          <t>Not assessed</t>
        </is>
      </c>
      <c r="AR381" s="29" t="inlineStr">
        <is>
          <t>Not assessed</t>
        </is>
      </c>
      <c r="AS381" s="29" t="inlineStr">
        <is>
          <t>Fail</t>
        </is>
      </c>
      <c r="AT381" s="29" t="inlineStr">
        <is>
          <t>Not assessed</t>
        </is>
      </c>
      <c r="AU381" s="29" t="inlineStr">
        <is>
          <t>Not assessed</t>
        </is>
      </c>
      <c r="AV381" s="29" t="inlineStr">
        <is>
          <t>Not assessed</t>
        </is>
      </c>
      <c r="AW381" s="29" t="inlineStr">
        <is>
          <t>Not assessed</t>
        </is>
      </c>
      <c r="AX381" s="29" t="inlineStr">
        <is>
          <t>Not assessed</t>
        </is>
      </c>
      <c r="AY381" s="29" t="inlineStr">
        <is>
          <t>Not assessed</t>
        </is>
      </c>
      <c r="AZ381" s="29" t="inlineStr">
        <is>
          <t>Not assessed</t>
        </is>
      </c>
      <c r="BA381" s="29" t="inlineStr">
        <is>
          <t>Not assessed</t>
        </is>
      </c>
      <c r="BB381" s="29" t="inlineStr">
        <is>
          <t>Not assessed</t>
        </is>
      </c>
      <c r="BC381" s="29" t="inlineStr">
        <is>
          <t>Not assessed</t>
        </is>
      </c>
      <c r="BD381" s="29" t="inlineStr">
        <is>
          <t>Not assessed</t>
        </is>
      </c>
      <c r="BE381" s="29" t="inlineStr">
        <is>
          <t>Not assessed</t>
        </is>
      </c>
      <c r="BF381" s="29" t="inlineStr">
        <is>
          <t>Production readiness cannot be assessed until the exact physical implementation and runtime path are traced.</t>
        </is>
      </c>
      <c r="BG381" s="29" t="inlineStr">
        <is>
          <t>Map the feature to exact client, server, data, worker and configuration locations, then verify its runtime path.</t>
        </is>
      </c>
      <c r="BH381" s="29" t="inlineStr"/>
      <c r="BI381" s="29" t="inlineStr"/>
      <c r="BJ381" s="29" t="inlineStr"/>
      <c r="BK381" s="29" t="inlineStr">
        <is>
          <t>Evidence reconciled against the reviewed source revision. No production approval is inferred from implementation or file presence.</t>
        </is>
      </c>
      <c r="BL381" s="29" t="inlineStr">
        <is>
          <t>2026-08-02</t>
        </is>
      </c>
    </row>
    <row r="382" ht="42" customHeight="1">
      <c r="A382" s="29" t="inlineStr">
        <is>
          <t>BLYP-19-001</t>
        </is>
      </c>
      <c r="B382" s="29" t="inlineStr"/>
      <c r="C382" s="29" t="inlineStr">
        <is>
          <t>Privacy-respecting analytics</t>
        </is>
      </c>
      <c r="D382" s="29" t="n">
        <v>19</v>
      </c>
      <c r="E382" s="29" t="n">
        <v>1</v>
      </c>
      <c r="F382" s="29" t="inlineStr">
        <is>
          <t>Feature</t>
        </is>
      </c>
      <c r="G382" s="29" t="inlineStr">
        <is>
          <t>Analytics service foundations</t>
        </is>
      </c>
      <c r="H382" s="29" t="inlineStr">
        <is>
          <t>Analytics service foundations</t>
        </is>
      </c>
      <c r="I382" s="29" t="inlineStr">
        <is>
          <t>/home/ubuntu/blyp_product_requirements.md :: Section 19 — Privacy-respecting analytics</t>
        </is>
      </c>
      <c r="J382" s="29" t="inlineStr">
        <is>
          <t>/home/ubuntu/BLYP_COMPLETE_FEATURE_LIST.md:486</t>
        </is>
      </c>
      <c r="K382" s="29" t="inlineStr">
        <is>
          <t>Required</t>
        </is>
      </c>
      <c r="L382" s="29" t="inlineStr">
        <is>
          <t>Applicable BLYP member</t>
        </is>
      </c>
      <c r="M382" s="29" t="inlineStr">
        <is>
          <t>BLYP mobile application and supporting production services</t>
        </is>
      </c>
      <c r="N382" s="29" t="inlineStr">
        <is>
          <t>Analytics service foundations</t>
        </is>
      </c>
      <c r="O382" s="29" t="inlineStr">
        <is>
          <t>Not explicitly defined in the product source; requires accountable product approval before production sign-off.</t>
        </is>
      </c>
      <c r="P382" s="29" t="inlineStr"/>
      <c r="Q382" s="29" t="inlineStr">
        <is>
          <t>Yes</t>
        </is>
      </c>
      <c r="R382" s="29" t="inlineStr"/>
      <c r="S382" s="29" t="inlineStr">
        <is>
          <t>Unknown</t>
        </is>
      </c>
      <c r="T382" s="29" t="inlineStr">
        <is>
          <t>Unknown</t>
        </is>
      </c>
      <c r="U382" s="29" t="inlineStr">
        <is>
          <t>Unknown</t>
        </is>
      </c>
      <c r="V382" s="29" t="inlineStr">
        <is>
          <t>Unknown</t>
        </is>
      </c>
      <c r="W382" s="29" t="inlineStr">
        <is>
          <t>Unknown</t>
        </is>
      </c>
      <c r="X382" s="29" t="inlineStr">
        <is>
          <t>Unknown</t>
        </is>
      </c>
      <c r="Y382" s="29" t="inlineStr">
        <is>
          <t>Unknown</t>
        </is>
      </c>
      <c r="Z382" s="29" t="inlineStr">
        <is>
          <t>Unknown</t>
        </is>
      </c>
      <c r="AA382" s="29" t="inlineStr">
        <is>
          <t>Unknown</t>
        </is>
      </c>
      <c r="AB382" s="29" t="inlineStr">
        <is>
          <t>Unknown</t>
        </is>
      </c>
      <c r="AC382" s="29" t="inlineStr"/>
      <c r="AD382" s="29" t="inlineStr"/>
      <c r="AE382" s="29" t="inlineStr">
        <is>
          <t>Unknown</t>
        </is>
      </c>
      <c r="AF382" s="29" t="inlineStr">
        <is>
          <t>No exact feature-level physical path was resolved from the reviewed evidence.</t>
        </is>
      </c>
      <c r="AG382" s="29" t="inlineStr">
        <is>
          <t>Unknown</t>
        </is>
      </c>
      <c r="AH382" s="29" t="inlineStr">
        <is>
          <t>Unknown</t>
        </is>
      </c>
      <c r="AI382" s="29" t="inlineStr">
        <is>
          <t>A prior area review labelled this 'Partial', but did not supply a feature-level physical mapping; the authoritative state is therefore Unknown.</t>
        </is>
      </c>
      <c r="AJ382" s="29" t="inlineStr">
        <is>
          <t>Unknown</t>
        </is>
      </c>
      <c r="AK382" s="29" t="inlineStr">
        <is>
          <t>EV-19-0001</t>
        </is>
      </c>
      <c r="AL382" s="29" t="inlineStr"/>
      <c r="AM382" s="29" t="inlineStr"/>
      <c r="AN382" s="29" t="inlineStr"/>
      <c r="AO382" s="29" t="inlineStr">
        <is>
          <t>8bc0dcb2a1da1b21368c5536aaeef829d587f316</t>
        </is>
      </c>
      <c r="AP382" s="29" t="inlineStr">
        <is>
          <t>Low</t>
        </is>
      </c>
      <c r="AQ382" s="29" t="inlineStr">
        <is>
          <t>Not assessed</t>
        </is>
      </c>
      <c r="AR382" s="29" t="inlineStr">
        <is>
          <t>Not assessed</t>
        </is>
      </c>
      <c r="AS382" s="29" t="inlineStr">
        <is>
          <t>Not assessed</t>
        </is>
      </c>
      <c r="AT382" s="29" t="inlineStr">
        <is>
          <t>Not assessed</t>
        </is>
      </c>
      <c r="AU382" s="29" t="inlineStr">
        <is>
          <t>Not assessed</t>
        </is>
      </c>
      <c r="AV382" s="29" t="inlineStr">
        <is>
          <t>Not assessed</t>
        </is>
      </c>
      <c r="AW382" s="29" t="inlineStr">
        <is>
          <t>Not assessed</t>
        </is>
      </c>
      <c r="AX382" s="29" t="inlineStr">
        <is>
          <t>Not assessed</t>
        </is>
      </c>
      <c r="AY382" s="29" t="inlineStr">
        <is>
          <t>Not assessed</t>
        </is>
      </c>
      <c r="AZ382" s="29" t="inlineStr">
        <is>
          <t>Not assessed</t>
        </is>
      </c>
      <c r="BA382" s="29" t="inlineStr">
        <is>
          <t>Not assessed</t>
        </is>
      </c>
      <c r="BB382" s="29" t="inlineStr">
        <is>
          <t>Not assessed</t>
        </is>
      </c>
      <c r="BC382" s="29" t="inlineStr">
        <is>
          <t>Not assessed</t>
        </is>
      </c>
      <c r="BD382" s="29" t="inlineStr">
        <is>
          <t>Not assessed</t>
        </is>
      </c>
      <c r="BE382" s="29" t="inlineStr">
        <is>
          <t>Not assessed</t>
        </is>
      </c>
      <c r="BF382" s="29" t="inlineStr">
        <is>
          <t>Production readiness cannot be assessed until the exact physical implementation and runtime path are traced.</t>
        </is>
      </c>
      <c r="BG382" s="29" t="inlineStr">
        <is>
          <t>Map the feature to exact client, server, data, worker and configuration locations, then verify its runtime path.</t>
        </is>
      </c>
      <c r="BH382" s="29" t="inlineStr"/>
      <c r="BI382" s="29" t="inlineStr"/>
      <c r="BJ382" s="29" t="inlineStr"/>
      <c r="BK382" s="29" t="inlineStr">
        <is>
          <t>Evidence reconciled against the reviewed source revision. No production approval is inferred from implementation or file presence.</t>
        </is>
      </c>
      <c r="BL382" s="29" t="inlineStr">
        <is>
          <t>2026-08-02</t>
        </is>
      </c>
    </row>
    <row r="383" ht="42" customHeight="1">
      <c r="A383" s="29" t="inlineStr">
        <is>
          <t>BLYP-19-002</t>
        </is>
      </c>
      <c r="B383" s="29" t="inlineStr"/>
      <c r="C383" s="29" t="inlineStr">
        <is>
          <t>Privacy-respecting analytics</t>
        </is>
      </c>
      <c r="D383" s="29" t="n">
        <v>19</v>
      </c>
      <c r="E383" s="29" t="n">
        <v>2</v>
      </c>
      <c r="F383" s="29" t="inlineStr">
        <is>
          <t>Feature</t>
        </is>
      </c>
      <c r="G383" s="29" t="inlineStr">
        <is>
          <t>Structured activity records</t>
        </is>
      </c>
      <c r="H383" s="29" t="inlineStr">
        <is>
          <t>Structured activity records</t>
        </is>
      </c>
      <c r="I383" s="29" t="inlineStr">
        <is>
          <t>/home/ubuntu/blyp_product_requirements.md :: Section 19 — Privacy-respecting analytics</t>
        </is>
      </c>
      <c r="J383" s="29" t="inlineStr">
        <is>
          <t>/home/ubuntu/BLYP_COMPLETE_FEATURE_LIST.md:487</t>
        </is>
      </c>
      <c r="K383" s="29" t="inlineStr">
        <is>
          <t>Required</t>
        </is>
      </c>
      <c r="L383" s="29" t="inlineStr">
        <is>
          <t>Applicable BLYP member</t>
        </is>
      </c>
      <c r="M383" s="29" t="inlineStr">
        <is>
          <t>BLYP mobile application and supporting production services</t>
        </is>
      </c>
      <c r="N383" s="29" t="inlineStr">
        <is>
          <t>Structured activity records</t>
        </is>
      </c>
      <c r="O383" s="29" t="inlineStr">
        <is>
          <t>Not explicitly defined in the product source; requires accountable product approval before production sign-off.</t>
        </is>
      </c>
      <c r="P383" s="29" t="inlineStr"/>
      <c r="Q383" s="29" t="inlineStr">
        <is>
          <t>Yes</t>
        </is>
      </c>
      <c r="R383" s="29" t="inlineStr"/>
      <c r="S383" s="29" t="inlineStr">
        <is>
          <t>Unknown</t>
        </is>
      </c>
      <c r="T383" s="29" t="inlineStr">
        <is>
          <t>Unknown</t>
        </is>
      </c>
      <c r="U383" s="29" t="inlineStr">
        <is>
          <t>Unknown</t>
        </is>
      </c>
      <c r="V383" s="29" t="inlineStr">
        <is>
          <t>Unknown</t>
        </is>
      </c>
      <c r="W383" s="29" t="inlineStr">
        <is>
          <t>Unknown</t>
        </is>
      </c>
      <c r="X383" s="29" t="inlineStr">
        <is>
          <t>Unknown</t>
        </is>
      </c>
      <c r="Y383" s="29" t="inlineStr">
        <is>
          <t>Unknown</t>
        </is>
      </c>
      <c r="Z383" s="29" t="inlineStr">
        <is>
          <t>Unknown</t>
        </is>
      </c>
      <c r="AA383" s="29" t="inlineStr">
        <is>
          <t>Unknown</t>
        </is>
      </c>
      <c r="AB383" s="29" t="inlineStr">
        <is>
          <t>Unknown</t>
        </is>
      </c>
      <c r="AC383" s="29" t="inlineStr"/>
      <c r="AD383" s="29" t="inlineStr"/>
      <c r="AE383" s="29" t="inlineStr">
        <is>
          <t>Unknown</t>
        </is>
      </c>
      <c r="AF383" s="29" t="inlineStr">
        <is>
          <t>No exact feature-level physical path was resolved from the reviewed evidence.</t>
        </is>
      </c>
      <c r="AG383" s="29" t="inlineStr">
        <is>
          <t>Unknown</t>
        </is>
      </c>
      <c r="AH383" s="29" t="inlineStr">
        <is>
          <t>Unknown</t>
        </is>
      </c>
      <c r="AI383" s="29" t="inlineStr">
        <is>
          <t>A prior area review labelled this 'Partial', but did not supply a feature-level physical mapping; the authoritative state is therefore Unknown.</t>
        </is>
      </c>
      <c r="AJ383" s="29" t="inlineStr">
        <is>
          <t>Unknown</t>
        </is>
      </c>
      <c r="AK383" s="29" t="inlineStr">
        <is>
          <t>EV-19-0002</t>
        </is>
      </c>
      <c r="AL383" s="29" t="inlineStr"/>
      <c r="AM383" s="29" t="inlineStr"/>
      <c r="AN383" s="29" t="inlineStr"/>
      <c r="AO383" s="29" t="inlineStr">
        <is>
          <t>8bc0dcb2a1da1b21368c5536aaeef829d587f316</t>
        </is>
      </c>
      <c r="AP383" s="29" t="inlineStr">
        <is>
          <t>Low</t>
        </is>
      </c>
      <c r="AQ383" s="29" t="inlineStr">
        <is>
          <t>Not assessed</t>
        </is>
      </c>
      <c r="AR383" s="29" t="inlineStr">
        <is>
          <t>Not assessed</t>
        </is>
      </c>
      <c r="AS383" s="29" t="inlineStr">
        <is>
          <t>Not assessed</t>
        </is>
      </c>
      <c r="AT383" s="29" t="inlineStr">
        <is>
          <t>Not assessed</t>
        </is>
      </c>
      <c r="AU383" s="29" t="inlineStr">
        <is>
          <t>Not assessed</t>
        </is>
      </c>
      <c r="AV383" s="29" t="inlineStr">
        <is>
          <t>Not assessed</t>
        </is>
      </c>
      <c r="AW383" s="29" t="inlineStr">
        <is>
          <t>Not assessed</t>
        </is>
      </c>
      <c r="AX383" s="29" t="inlineStr">
        <is>
          <t>Not assessed</t>
        </is>
      </c>
      <c r="AY383" s="29" t="inlineStr">
        <is>
          <t>Not assessed</t>
        </is>
      </c>
      <c r="AZ383" s="29" t="inlineStr">
        <is>
          <t>Not assessed</t>
        </is>
      </c>
      <c r="BA383" s="29" t="inlineStr">
        <is>
          <t>Not assessed</t>
        </is>
      </c>
      <c r="BB383" s="29" t="inlineStr">
        <is>
          <t>Not assessed</t>
        </is>
      </c>
      <c r="BC383" s="29" t="inlineStr">
        <is>
          <t>Not assessed</t>
        </is>
      </c>
      <c r="BD383" s="29" t="inlineStr">
        <is>
          <t>Not assessed</t>
        </is>
      </c>
      <c r="BE383" s="29" t="inlineStr">
        <is>
          <t>Not assessed</t>
        </is>
      </c>
      <c r="BF383" s="29" t="inlineStr">
        <is>
          <t>Production readiness cannot be assessed until the exact physical implementation and runtime path are traced.</t>
        </is>
      </c>
      <c r="BG383" s="29" t="inlineStr">
        <is>
          <t>Map the feature to exact client, server, data, worker and configuration locations, then verify its runtime path.</t>
        </is>
      </c>
      <c r="BH383" s="29" t="inlineStr"/>
      <c r="BI383" s="29" t="inlineStr"/>
      <c r="BJ383" s="29" t="inlineStr"/>
      <c r="BK383" s="29" t="inlineStr">
        <is>
          <t>Evidence reconciled against the reviewed source revision. No production approval is inferred from implementation or file presence.</t>
        </is>
      </c>
      <c r="BL383" s="29" t="inlineStr">
        <is>
          <t>2026-08-02</t>
        </is>
      </c>
    </row>
    <row r="384" ht="42" customHeight="1">
      <c r="A384" s="29" t="inlineStr">
        <is>
          <t>BLYP-19-003</t>
        </is>
      </c>
      <c r="B384" s="29" t="inlineStr"/>
      <c r="C384" s="29" t="inlineStr">
        <is>
          <t>Privacy-respecting analytics</t>
        </is>
      </c>
      <c r="D384" s="29" t="n">
        <v>19</v>
      </c>
      <c r="E384" s="29" t="n">
        <v>3</v>
      </c>
      <c r="F384" s="29" t="inlineStr">
        <is>
          <t>Feature</t>
        </is>
      </c>
      <c r="G384" s="29" t="inlineStr">
        <is>
          <t>Onboarding-completion analytics</t>
        </is>
      </c>
      <c r="H384" s="29" t="inlineStr">
        <is>
          <t>Onboarding-completion analytics</t>
        </is>
      </c>
      <c r="I384" s="29" t="inlineStr">
        <is>
          <t>/home/ubuntu/blyp_product_requirements.md :: Section 19 — Privacy-respecting analytics</t>
        </is>
      </c>
      <c r="J384" s="29" t="inlineStr">
        <is>
          <t>/home/ubuntu/BLYP_COMPLETE_FEATURE_LIST.md:488</t>
        </is>
      </c>
      <c r="K384" s="29" t="inlineStr">
        <is>
          <t>Required</t>
        </is>
      </c>
      <c r="L384" s="29" t="inlineStr">
        <is>
          <t>Applicable BLYP member</t>
        </is>
      </c>
      <c r="M384" s="29" t="inlineStr">
        <is>
          <t>BLYP mobile application and supporting production services</t>
        </is>
      </c>
      <c r="N384" s="29" t="inlineStr">
        <is>
          <t>Onboarding-completion analytics</t>
        </is>
      </c>
      <c r="O384" s="29" t="inlineStr">
        <is>
          <t>Not explicitly defined in the product source; requires accountable product approval before production sign-off.</t>
        </is>
      </c>
      <c r="P384" s="29" t="inlineStr"/>
      <c r="Q384" s="29" t="inlineStr">
        <is>
          <t>No evidence</t>
        </is>
      </c>
      <c r="R384" s="29" t="inlineStr"/>
      <c r="S384" s="29" t="inlineStr">
        <is>
          <t>Not found</t>
        </is>
      </c>
      <c r="T384" s="29" t="inlineStr">
        <is>
          <t>Unknown</t>
        </is>
      </c>
      <c r="U384" s="29" t="inlineStr">
        <is>
          <t>Unknown</t>
        </is>
      </c>
      <c r="V384" s="29" t="inlineStr">
        <is>
          <t>Unknown</t>
        </is>
      </c>
      <c r="W384" s="29" t="inlineStr">
        <is>
          <t>Unknown</t>
        </is>
      </c>
      <c r="X384" s="29" t="inlineStr">
        <is>
          <t>Unknown</t>
        </is>
      </c>
      <c r="Y384" s="29" t="inlineStr">
        <is>
          <t>Unknown</t>
        </is>
      </c>
      <c r="Z384" s="29" t="inlineStr">
        <is>
          <t>Unknown</t>
        </is>
      </c>
      <c r="AA384" s="29" t="inlineStr">
        <is>
          <t>Unknown</t>
        </is>
      </c>
      <c r="AB384" s="29" t="inlineStr">
        <is>
          <t>Unknown</t>
        </is>
      </c>
      <c r="AC384" s="29" t="inlineStr"/>
      <c r="AD384" s="29" t="inlineStr"/>
      <c r="AE384" s="29" t="inlineStr">
        <is>
          <t>Unknown</t>
        </is>
      </c>
      <c r="AF384" s="29" t="inlineStr"/>
      <c r="AG384" s="29" t="inlineStr">
        <is>
          <t>Unknown</t>
        </is>
      </c>
      <c r="AH384" s="29" t="inlineStr">
        <is>
          <t>Unknown</t>
        </is>
      </c>
      <c r="AI384" s="29" t="inlineStr">
        <is>
          <t>Searched source code for relevant keywords but found no evidence.</t>
        </is>
      </c>
      <c r="AJ384" s="29" t="inlineStr">
        <is>
          <t>Not verified</t>
        </is>
      </c>
      <c r="AK384" s="29" t="inlineStr"/>
      <c r="AL384" s="29" t="inlineStr"/>
      <c r="AM384" s="29" t="inlineStr"/>
      <c r="AN384" s="29" t="inlineStr"/>
      <c r="AO384" s="29" t="inlineStr">
        <is>
          <t>8bc0dcb2a1da1b21368c5536aaeef829d587f316</t>
        </is>
      </c>
      <c r="AP384" s="29" t="inlineStr">
        <is>
          <t>Medium</t>
        </is>
      </c>
      <c r="AQ384" s="29" t="inlineStr">
        <is>
          <t>Not assessed</t>
        </is>
      </c>
      <c r="AR384" s="29" t="inlineStr">
        <is>
          <t>Not assessed</t>
        </is>
      </c>
      <c r="AS384" s="29" t="inlineStr">
        <is>
          <t>Not assessed</t>
        </is>
      </c>
      <c r="AT384" s="29" t="inlineStr">
        <is>
          <t>Not assessed</t>
        </is>
      </c>
      <c r="AU384" s="29" t="inlineStr">
        <is>
          <t>Not assessed</t>
        </is>
      </c>
      <c r="AV384" s="29" t="inlineStr">
        <is>
          <t>Not assessed</t>
        </is>
      </c>
      <c r="AW384" s="29" t="inlineStr">
        <is>
          <t>Not assessed</t>
        </is>
      </c>
      <c r="AX384" s="29" t="inlineStr">
        <is>
          <t>Not assessed</t>
        </is>
      </c>
      <c r="AY384" s="29" t="inlineStr">
        <is>
          <t>Not assessed</t>
        </is>
      </c>
      <c r="AZ384" s="29" t="inlineStr">
        <is>
          <t>Not assessed</t>
        </is>
      </c>
      <c r="BA384" s="29" t="inlineStr">
        <is>
          <t>Not assessed</t>
        </is>
      </c>
      <c r="BB384" s="29" t="inlineStr">
        <is>
          <t>Not assessed</t>
        </is>
      </c>
      <c r="BC384" s="29" t="inlineStr">
        <is>
          <t>Not assessed</t>
        </is>
      </c>
      <c r="BD384" s="29" t="inlineStr">
        <is>
          <t>Not assessed</t>
        </is>
      </c>
      <c r="BE384" s="29" t="inlineStr">
        <is>
          <t>Development required</t>
        </is>
      </c>
      <c r="BF384" s="29" t="inlineStr">
        <is>
          <t>Physical implementation is not complete against the stated requirement.; Searched source code for relevant keywords but found no evidence.</t>
        </is>
      </c>
      <c r="BG384" s="29" t="inlineStr"/>
      <c r="BH384" s="29" t="inlineStr"/>
      <c r="BI384" s="29" t="inlineStr"/>
      <c r="BJ384" s="29" t="inlineStr"/>
      <c r="BK384" s="29" t="inlineStr">
        <is>
          <t>Evidence reconciled against the reviewed source revision. No production approval is inferred from implementation or file presence.</t>
        </is>
      </c>
      <c r="BL384" s="29" t="inlineStr">
        <is>
          <t>2026-08-02</t>
        </is>
      </c>
    </row>
    <row r="385" ht="42" customHeight="1">
      <c r="A385" s="29" t="inlineStr">
        <is>
          <t>BLYP-19-004</t>
        </is>
      </c>
      <c r="B385" s="29" t="inlineStr"/>
      <c r="C385" s="29" t="inlineStr">
        <is>
          <t>Privacy-respecting analytics</t>
        </is>
      </c>
      <c r="D385" s="29" t="n">
        <v>19</v>
      </c>
      <c r="E385" s="29" t="n">
        <v>4</v>
      </c>
      <c r="F385" s="29" t="inlineStr">
        <is>
          <t>Feature</t>
        </is>
      </c>
      <c r="G385" s="29" t="inlineStr">
        <is>
          <t>Feed-usefulness analytics</t>
        </is>
      </c>
      <c r="H385" s="29" t="inlineStr">
        <is>
          <t>Feed-usefulness analytics</t>
        </is>
      </c>
      <c r="I385" s="29" t="inlineStr">
        <is>
          <t>/home/ubuntu/blyp_product_requirements.md :: Section 19 — Privacy-respecting analytics</t>
        </is>
      </c>
      <c r="J385" s="29" t="inlineStr">
        <is>
          <t>/home/ubuntu/BLYP_COMPLETE_FEATURE_LIST.md:489</t>
        </is>
      </c>
      <c r="K385" s="29" t="inlineStr">
        <is>
          <t>Required</t>
        </is>
      </c>
      <c r="L385" s="29" t="inlineStr">
        <is>
          <t>Applicable BLYP member</t>
        </is>
      </c>
      <c r="M385" s="29" t="inlineStr">
        <is>
          <t>BLYP mobile application and supporting production services</t>
        </is>
      </c>
      <c r="N385" s="29" t="inlineStr">
        <is>
          <t>Feed-usefulness analytics</t>
        </is>
      </c>
      <c r="O385" s="29" t="inlineStr">
        <is>
          <t>Not explicitly defined in the product source; requires accountable product approval before production sign-off.</t>
        </is>
      </c>
      <c r="P385" s="29" t="inlineStr"/>
      <c r="Q385" s="29" t="inlineStr">
        <is>
          <t>Partial</t>
        </is>
      </c>
      <c r="R385" s="29" t="inlineStr"/>
      <c r="S385" s="29" t="inlineStr">
        <is>
          <t>Not found</t>
        </is>
      </c>
      <c r="T385" s="29" t="inlineStr">
        <is>
          <t>Unknown</t>
        </is>
      </c>
      <c r="U385" s="29" t="inlineStr">
        <is>
          <t>Unknown</t>
        </is>
      </c>
      <c r="V385" s="29" t="inlineStr">
        <is>
          <t>Unknown</t>
        </is>
      </c>
      <c r="W385" s="29" t="inlineStr">
        <is>
          <t>Unknown</t>
        </is>
      </c>
      <c r="X385" s="29" t="inlineStr">
        <is>
          <t>Unknown</t>
        </is>
      </c>
      <c r="Y385" s="29" t="inlineStr">
        <is>
          <t>Unknown</t>
        </is>
      </c>
      <c r="Z385" s="29" t="inlineStr">
        <is>
          <t>Unknown</t>
        </is>
      </c>
      <c r="AA385" s="29" t="inlineStr">
        <is>
          <t>Unknown</t>
        </is>
      </c>
      <c r="AB385" s="29" t="inlineStr">
        <is>
          <t>Unknown</t>
        </is>
      </c>
      <c r="AC385" s="29" t="inlineStr"/>
      <c r="AD385" s="29" t="inlineStr"/>
      <c r="AE385" s="29" t="inlineStr">
        <is>
          <t>Unknown</t>
        </is>
      </c>
      <c r="AF385" s="29" t="inlineStr"/>
      <c r="AG385" s="29" t="inlineStr">
        <is>
          <t>Unknown</t>
        </is>
      </c>
      <c r="AH385" s="29" t="inlineStr">
        <is>
          <t>Unknown</t>
        </is>
      </c>
      <c r="AI385" s="29" t="inlineStr">
        <is>
          <t>Searched source code for relevant keywords but found no evidence.</t>
        </is>
      </c>
      <c r="AJ385" s="29" t="inlineStr">
        <is>
          <t>Not verified</t>
        </is>
      </c>
      <c r="AK385" s="29" t="inlineStr"/>
      <c r="AL385" s="29" t="inlineStr"/>
      <c r="AM385" s="29" t="inlineStr"/>
      <c r="AN385" s="29" t="inlineStr"/>
      <c r="AO385" s="29" t="inlineStr">
        <is>
          <t>8bc0dcb2a1da1b21368c5536aaeef829d587f316</t>
        </is>
      </c>
      <c r="AP385" s="29" t="inlineStr">
        <is>
          <t>Medium</t>
        </is>
      </c>
      <c r="AQ385" s="29" t="inlineStr">
        <is>
          <t>Not assessed</t>
        </is>
      </c>
      <c r="AR385" s="29" t="inlineStr">
        <is>
          <t>Not assessed</t>
        </is>
      </c>
      <c r="AS385" s="29" t="inlineStr">
        <is>
          <t>Not assessed</t>
        </is>
      </c>
      <c r="AT385" s="29" t="inlineStr">
        <is>
          <t>Not assessed</t>
        </is>
      </c>
      <c r="AU385" s="29" t="inlineStr">
        <is>
          <t>Not assessed</t>
        </is>
      </c>
      <c r="AV385" s="29" t="inlineStr">
        <is>
          <t>Not assessed</t>
        </is>
      </c>
      <c r="AW385" s="29" t="inlineStr">
        <is>
          <t>Not assessed</t>
        </is>
      </c>
      <c r="AX385" s="29" t="inlineStr">
        <is>
          <t>Not assessed</t>
        </is>
      </c>
      <c r="AY385" s="29" t="inlineStr">
        <is>
          <t>Not assessed</t>
        </is>
      </c>
      <c r="AZ385" s="29" t="inlineStr">
        <is>
          <t>Not assessed</t>
        </is>
      </c>
      <c r="BA385" s="29" t="inlineStr">
        <is>
          <t>Not assessed</t>
        </is>
      </c>
      <c r="BB385" s="29" t="inlineStr">
        <is>
          <t>Not assessed</t>
        </is>
      </c>
      <c r="BC385" s="29" t="inlineStr">
        <is>
          <t>Not assessed</t>
        </is>
      </c>
      <c r="BD385" s="29" t="inlineStr">
        <is>
          <t>Not assessed</t>
        </is>
      </c>
      <c r="BE385" s="29" t="inlineStr">
        <is>
          <t>Development required</t>
        </is>
      </c>
      <c r="BF385" s="29" t="inlineStr">
        <is>
          <t>Physical implementation is not complete against the stated requirement.; Searched source code for relevant keywords but found no evidence.</t>
        </is>
      </c>
      <c r="BG385" s="29" t="inlineStr"/>
      <c r="BH385" s="29" t="inlineStr"/>
      <c r="BI385" s="29" t="inlineStr"/>
      <c r="BJ385" s="29" t="inlineStr"/>
      <c r="BK385" s="29" t="inlineStr">
        <is>
          <t>Evidence reconciled against the reviewed source revision. No production approval is inferred from implementation or file presence.</t>
        </is>
      </c>
      <c r="BL385" s="29" t="inlineStr">
        <is>
          <t>2026-08-02</t>
        </is>
      </c>
    </row>
    <row r="386" ht="42" customHeight="1">
      <c r="A386" s="29" t="inlineStr">
        <is>
          <t>BLYP-19-005</t>
        </is>
      </c>
      <c r="B386" s="29" t="inlineStr"/>
      <c r="C386" s="29" t="inlineStr">
        <is>
          <t>Privacy-respecting analytics</t>
        </is>
      </c>
      <c r="D386" s="29" t="n">
        <v>19</v>
      </c>
      <c r="E386" s="29" t="n">
        <v>5</v>
      </c>
      <c r="F386" s="29" t="inlineStr">
        <is>
          <t>Feature</t>
        </is>
      </c>
      <c r="G386" s="29" t="inlineStr">
        <is>
          <t>Successful-post analytics</t>
        </is>
      </c>
      <c r="H386" s="29" t="inlineStr">
        <is>
          <t>Successful-post analytics</t>
        </is>
      </c>
      <c r="I386" s="29" t="inlineStr">
        <is>
          <t>/home/ubuntu/blyp_product_requirements.md :: Section 19 — Privacy-respecting analytics</t>
        </is>
      </c>
      <c r="J386" s="29" t="inlineStr">
        <is>
          <t>/home/ubuntu/BLYP_COMPLETE_FEATURE_LIST.md:490</t>
        </is>
      </c>
      <c r="K386" s="29" t="inlineStr">
        <is>
          <t>Required</t>
        </is>
      </c>
      <c r="L386" s="29" t="inlineStr">
        <is>
          <t>Applicable BLYP member</t>
        </is>
      </c>
      <c r="M386" s="29" t="inlineStr">
        <is>
          <t>BLYP mobile application and supporting production services</t>
        </is>
      </c>
      <c r="N386" s="29" t="inlineStr">
        <is>
          <t>Successful-post analytics</t>
        </is>
      </c>
      <c r="O386" s="29" t="inlineStr">
        <is>
          <t>Not explicitly defined in the product source; requires accountable product approval before production sign-off.</t>
        </is>
      </c>
      <c r="P386" s="29" t="inlineStr"/>
      <c r="Q386" s="29" t="inlineStr">
        <is>
          <t>Partial</t>
        </is>
      </c>
      <c r="R386" s="29" t="inlineStr"/>
      <c r="S386" s="29" t="inlineStr">
        <is>
          <t>Unknown</t>
        </is>
      </c>
      <c r="T386" s="29" t="inlineStr">
        <is>
          <t>Unknown</t>
        </is>
      </c>
      <c r="U386" s="29" t="inlineStr">
        <is>
          <t>Unknown</t>
        </is>
      </c>
      <c r="V386" s="29" t="inlineStr">
        <is>
          <t>Unknown</t>
        </is>
      </c>
      <c r="W386" s="29" t="inlineStr">
        <is>
          <t>Unknown</t>
        </is>
      </c>
      <c r="X386" s="29" t="inlineStr">
        <is>
          <t>Unknown</t>
        </is>
      </c>
      <c r="Y386" s="29" t="inlineStr">
        <is>
          <t>Unknown</t>
        </is>
      </c>
      <c r="Z386" s="29" t="inlineStr">
        <is>
          <t>Unknown</t>
        </is>
      </c>
      <c r="AA386" s="29" t="inlineStr">
        <is>
          <t>Unknown</t>
        </is>
      </c>
      <c r="AB386" s="29" t="inlineStr">
        <is>
          <t>Unknown</t>
        </is>
      </c>
      <c r="AC386" s="29" t="inlineStr"/>
      <c r="AD386" s="29" t="inlineStr"/>
      <c r="AE386" s="29" t="inlineStr">
        <is>
          <t>Unknown</t>
        </is>
      </c>
      <c r="AF386" s="29" t="inlineStr">
        <is>
          <t>No exact feature-level physical path was resolved from the reviewed evidence.</t>
        </is>
      </c>
      <c r="AG386" s="29" t="inlineStr">
        <is>
          <t>Unknown</t>
        </is>
      </c>
      <c r="AH386" s="29" t="inlineStr">
        <is>
          <t>Unknown</t>
        </is>
      </c>
      <c r="AI386" s="29" t="inlineStr">
        <is>
          <t>A prior area review labelled this 'Partial', but did not supply a feature-level physical mapping; the authoritative state is therefore Unknown.</t>
        </is>
      </c>
      <c r="AJ386" s="29" t="inlineStr">
        <is>
          <t>Unknown</t>
        </is>
      </c>
      <c r="AK386" s="29" t="inlineStr">
        <is>
          <t>EV-19-0003</t>
        </is>
      </c>
      <c r="AL386" s="29" t="inlineStr"/>
      <c r="AM386" s="29" t="inlineStr"/>
      <c r="AN386" s="29" t="inlineStr"/>
      <c r="AO386" s="29" t="inlineStr">
        <is>
          <t>8bc0dcb2a1da1b21368c5536aaeef829d587f316</t>
        </is>
      </c>
      <c r="AP386" s="29" t="inlineStr">
        <is>
          <t>Low</t>
        </is>
      </c>
      <c r="AQ386" s="29" t="inlineStr">
        <is>
          <t>Not assessed</t>
        </is>
      </c>
      <c r="AR386" s="29" t="inlineStr">
        <is>
          <t>Not assessed</t>
        </is>
      </c>
      <c r="AS386" s="29" t="inlineStr">
        <is>
          <t>Not assessed</t>
        </is>
      </c>
      <c r="AT386" s="29" t="inlineStr">
        <is>
          <t>Not assessed</t>
        </is>
      </c>
      <c r="AU386" s="29" t="inlineStr">
        <is>
          <t>Not assessed</t>
        </is>
      </c>
      <c r="AV386" s="29" t="inlineStr">
        <is>
          <t>Not assessed</t>
        </is>
      </c>
      <c r="AW386" s="29" t="inlineStr">
        <is>
          <t>Not assessed</t>
        </is>
      </c>
      <c r="AX386" s="29" t="inlineStr">
        <is>
          <t>Not assessed</t>
        </is>
      </c>
      <c r="AY386" s="29" t="inlineStr">
        <is>
          <t>Not assessed</t>
        </is>
      </c>
      <c r="AZ386" s="29" t="inlineStr">
        <is>
          <t>Not assessed</t>
        </is>
      </c>
      <c r="BA386" s="29" t="inlineStr">
        <is>
          <t>Not assessed</t>
        </is>
      </c>
      <c r="BB386" s="29" t="inlineStr">
        <is>
          <t>Not assessed</t>
        </is>
      </c>
      <c r="BC386" s="29" t="inlineStr">
        <is>
          <t>Not assessed</t>
        </is>
      </c>
      <c r="BD386" s="29" t="inlineStr">
        <is>
          <t>Not assessed</t>
        </is>
      </c>
      <c r="BE386" s="29" t="inlineStr">
        <is>
          <t>Not assessed</t>
        </is>
      </c>
      <c r="BF386" s="29" t="inlineStr">
        <is>
          <t>Production readiness cannot be assessed until the exact physical implementation and runtime path are traced.</t>
        </is>
      </c>
      <c r="BG386" s="29" t="inlineStr">
        <is>
          <t>Map the feature to exact client, server, data, worker and configuration locations, then verify its runtime path.</t>
        </is>
      </c>
      <c r="BH386" s="29" t="inlineStr"/>
      <c r="BI386" s="29" t="inlineStr"/>
      <c r="BJ386" s="29" t="inlineStr"/>
      <c r="BK386" s="29" t="inlineStr">
        <is>
          <t>Evidence reconciled against the reviewed source revision. No production approval is inferred from implementation or file presence.</t>
        </is>
      </c>
      <c r="BL386" s="29" t="inlineStr">
        <is>
          <t>2026-08-02</t>
        </is>
      </c>
    </row>
    <row r="387" ht="42" customHeight="1">
      <c r="A387" s="29" t="inlineStr">
        <is>
          <t>BLYP-19-006</t>
        </is>
      </c>
      <c r="B387" s="29" t="inlineStr"/>
      <c r="C387" s="29" t="inlineStr">
        <is>
          <t>Privacy-respecting analytics</t>
        </is>
      </c>
      <c r="D387" s="29" t="n">
        <v>19</v>
      </c>
      <c r="E387" s="29" t="n">
        <v>6</v>
      </c>
      <c r="F387" s="29" t="inlineStr">
        <is>
          <t>Feature</t>
        </is>
      </c>
      <c r="G387" s="29" t="inlineStr">
        <is>
          <t>Live-participation analytics</t>
        </is>
      </c>
      <c r="H387" s="29" t="inlineStr">
        <is>
          <t>Live-participation analytics</t>
        </is>
      </c>
      <c r="I387" s="29" t="inlineStr">
        <is>
          <t>/home/ubuntu/blyp_product_requirements.md :: Section 19 — Privacy-respecting analytics</t>
        </is>
      </c>
      <c r="J387" s="29" t="inlineStr">
        <is>
          <t>/home/ubuntu/BLYP_COMPLETE_FEATURE_LIST.md:491</t>
        </is>
      </c>
      <c r="K387" s="29" t="inlineStr">
        <is>
          <t>Required</t>
        </is>
      </c>
      <c r="L387" s="29" t="inlineStr">
        <is>
          <t>Applicable BLYP member</t>
        </is>
      </c>
      <c r="M387" s="29" t="inlineStr">
        <is>
          <t>BLYP mobile application and supporting production services</t>
        </is>
      </c>
      <c r="N387" s="29" t="inlineStr">
        <is>
          <t>Live-participation analytics</t>
        </is>
      </c>
      <c r="O387" s="29" t="inlineStr">
        <is>
          <t>Not explicitly defined in the product source; requires accountable product approval before production sign-off.</t>
        </is>
      </c>
      <c r="P387" s="29" t="inlineStr"/>
      <c r="Q387" s="29" t="inlineStr">
        <is>
          <t>Partial</t>
        </is>
      </c>
      <c r="R387" s="29" t="inlineStr"/>
      <c r="S387" s="29" t="inlineStr">
        <is>
          <t>Unknown</t>
        </is>
      </c>
      <c r="T387" s="29" t="inlineStr">
        <is>
          <t>Unknown</t>
        </is>
      </c>
      <c r="U387" s="29" t="inlineStr">
        <is>
          <t>Unknown</t>
        </is>
      </c>
      <c r="V387" s="29" t="inlineStr">
        <is>
          <t>Unknown</t>
        </is>
      </c>
      <c r="W387" s="29" t="inlineStr">
        <is>
          <t>Unknown</t>
        </is>
      </c>
      <c r="X387" s="29" t="inlineStr">
        <is>
          <t>Unknown</t>
        </is>
      </c>
      <c r="Y387" s="29" t="inlineStr">
        <is>
          <t>Unknown</t>
        </is>
      </c>
      <c r="Z387" s="29" t="inlineStr">
        <is>
          <t>Unknown</t>
        </is>
      </c>
      <c r="AA387" s="29" t="inlineStr">
        <is>
          <t>Unknown</t>
        </is>
      </c>
      <c r="AB387" s="29" t="inlineStr">
        <is>
          <t>Unknown</t>
        </is>
      </c>
      <c r="AC387" s="29" t="inlineStr"/>
      <c r="AD387" s="29" t="inlineStr"/>
      <c r="AE387" s="29" t="inlineStr">
        <is>
          <t>Unknown</t>
        </is>
      </c>
      <c r="AF387" s="29" t="inlineStr">
        <is>
          <t>No exact feature-level physical path was resolved from the reviewed evidence.</t>
        </is>
      </c>
      <c r="AG387" s="29" t="inlineStr">
        <is>
          <t>Unknown</t>
        </is>
      </c>
      <c r="AH387" s="29" t="inlineStr">
        <is>
          <t>Unknown</t>
        </is>
      </c>
      <c r="AI387" s="29" t="inlineStr">
        <is>
          <t>A prior area review labelled this 'Partial', but did not supply a feature-level physical mapping; the authoritative state is therefore Unknown.</t>
        </is>
      </c>
      <c r="AJ387" s="29" t="inlineStr">
        <is>
          <t>Unknown</t>
        </is>
      </c>
      <c r="AK387" s="29" t="inlineStr">
        <is>
          <t>EV-19-0004</t>
        </is>
      </c>
      <c r="AL387" s="29" t="inlineStr"/>
      <c r="AM387" s="29" t="inlineStr"/>
      <c r="AN387" s="29" t="inlineStr"/>
      <c r="AO387" s="29" t="inlineStr">
        <is>
          <t>8bc0dcb2a1da1b21368c5536aaeef829d587f316</t>
        </is>
      </c>
      <c r="AP387" s="29" t="inlineStr">
        <is>
          <t>Low</t>
        </is>
      </c>
      <c r="AQ387" s="29" t="inlineStr">
        <is>
          <t>Not assessed</t>
        </is>
      </c>
      <c r="AR387" s="29" t="inlineStr">
        <is>
          <t>Not assessed</t>
        </is>
      </c>
      <c r="AS387" s="29" t="inlineStr">
        <is>
          <t>Not assessed</t>
        </is>
      </c>
      <c r="AT387" s="29" t="inlineStr">
        <is>
          <t>Not assessed</t>
        </is>
      </c>
      <c r="AU387" s="29" t="inlineStr">
        <is>
          <t>Not assessed</t>
        </is>
      </c>
      <c r="AV387" s="29" t="inlineStr">
        <is>
          <t>Not assessed</t>
        </is>
      </c>
      <c r="AW387" s="29" t="inlineStr">
        <is>
          <t>Not assessed</t>
        </is>
      </c>
      <c r="AX387" s="29" t="inlineStr">
        <is>
          <t>Not assessed</t>
        </is>
      </c>
      <c r="AY387" s="29" t="inlineStr">
        <is>
          <t>Not assessed</t>
        </is>
      </c>
      <c r="AZ387" s="29" t="inlineStr">
        <is>
          <t>Not assessed</t>
        </is>
      </c>
      <c r="BA387" s="29" t="inlineStr">
        <is>
          <t>Not assessed</t>
        </is>
      </c>
      <c r="BB387" s="29" t="inlineStr">
        <is>
          <t>Not assessed</t>
        </is>
      </c>
      <c r="BC387" s="29" t="inlineStr">
        <is>
          <t>Not assessed</t>
        </is>
      </c>
      <c r="BD387" s="29" t="inlineStr">
        <is>
          <t>Not assessed</t>
        </is>
      </c>
      <c r="BE387" s="29" t="inlineStr">
        <is>
          <t>Not assessed</t>
        </is>
      </c>
      <c r="BF387" s="29" t="inlineStr">
        <is>
          <t>Production readiness cannot be assessed until the exact physical implementation and runtime path are traced.</t>
        </is>
      </c>
      <c r="BG387" s="29" t="inlineStr">
        <is>
          <t>Map the feature to exact client, server, data, worker and configuration locations, then verify its runtime path.</t>
        </is>
      </c>
      <c r="BH387" s="29" t="inlineStr"/>
      <c r="BI387" s="29" t="inlineStr"/>
      <c r="BJ387" s="29" t="inlineStr"/>
      <c r="BK387" s="29" t="inlineStr">
        <is>
          <t>Evidence reconciled against the reviewed source revision. No production approval is inferred from implementation or file presence.</t>
        </is>
      </c>
      <c r="BL387" s="29" t="inlineStr">
        <is>
          <t>2026-08-02</t>
        </is>
      </c>
    </row>
    <row r="388" ht="42" customHeight="1">
      <c r="A388" s="29" t="inlineStr">
        <is>
          <t>BLYP-19-007</t>
        </is>
      </c>
      <c r="B388" s="29" t="inlineStr"/>
      <c r="C388" s="29" t="inlineStr">
        <is>
          <t>Privacy-respecting analytics</t>
        </is>
      </c>
      <c r="D388" s="29" t="n">
        <v>19</v>
      </c>
      <c r="E388" s="29" t="n">
        <v>7</v>
      </c>
      <c r="F388" s="29" t="inlineStr">
        <is>
          <t>Feature</t>
        </is>
      </c>
      <c r="G388" s="29" t="inlineStr">
        <is>
          <t>Team-activity analytics</t>
        </is>
      </c>
      <c r="H388" s="29" t="inlineStr">
        <is>
          <t>Team-activity analytics</t>
        </is>
      </c>
      <c r="I388" s="29" t="inlineStr">
        <is>
          <t>/home/ubuntu/blyp_product_requirements.md :: Section 19 — Privacy-respecting analytics</t>
        </is>
      </c>
      <c r="J388" s="29" t="inlineStr">
        <is>
          <t>/home/ubuntu/BLYP_COMPLETE_FEATURE_LIST.md:492</t>
        </is>
      </c>
      <c r="K388" s="29" t="inlineStr">
        <is>
          <t>Required</t>
        </is>
      </c>
      <c r="L388" s="29" t="inlineStr">
        <is>
          <t>Applicable BLYP member</t>
        </is>
      </c>
      <c r="M388" s="29" t="inlineStr">
        <is>
          <t>BLYP mobile application and supporting production services</t>
        </is>
      </c>
      <c r="N388" s="29" t="inlineStr">
        <is>
          <t>Team-activity analytics</t>
        </is>
      </c>
      <c r="O388" s="29" t="inlineStr">
        <is>
          <t>Not explicitly defined in the product source; requires accountable product approval before production sign-off.</t>
        </is>
      </c>
      <c r="P388" s="29" t="inlineStr"/>
      <c r="Q388" s="29" t="inlineStr">
        <is>
          <t>No evidence</t>
        </is>
      </c>
      <c r="R388" s="29" t="inlineStr"/>
      <c r="S388" s="29" t="inlineStr">
        <is>
          <t>Unknown</t>
        </is>
      </c>
      <c r="T388" s="29" t="inlineStr">
        <is>
          <t>Unknown</t>
        </is>
      </c>
      <c r="U388" s="29" t="inlineStr">
        <is>
          <t>Unknown</t>
        </is>
      </c>
      <c r="V388" s="29" t="inlineStr">
        <is>
          <t>Unknown</t>
        </is>
      </c>
      <c r="W388" s="29" t="inlineStr">
        <is>
          <t>Unknown</t>
        </is>
      </c>
      <c r="X388" s="29" t="inlineStr">
        <is>
          <t>Unknown</t>
        </is>
      </c>
      <c r="Y388" s="29" t="inlineStr">
        <is>
          <t>Unknown</t>
        </is>
      </c>
      <c r="Z388" s="29" t="inlineStr">
        <is>
          <t>Unknown</t>
        </is>
      </c>
      <c r="AA388" s="29" t="inlineStr">
        <is>
          <t>Unknown</t>
        </is>
      </c>
      <c r="AB388" s="29" t="inlineStr">
        <is>
          <t>Unknown</t>
        </is>
      </c>
      <c r="AC388" s="29" t="inlineStr"/>
      <c r="AD388" s="29" t="inlineStr"/>
      <c r="AE388" s="29" t="inlineStr">
        <is>
          <t>Unknown</t>
        </is>
      </c>
      <c r="AF388" s="29" t="inlineStr">
        <is>
          <t>No exact feature-level physical path was resolved from the reviewed evidence.</t>
        </is>
      </c>
      <c r="AG388" s="29" t="inlineStr">
        <is>
          <t>Unknown</t>
        </is>
      </c>
      <c r="AH388" s="29" t="inlineStr">
        <is>
          <t>Unknown</t>
        </is>
      </c>
      <c r="AI388" s="29" t="inlineStr">
        <is>
          <t>A prior area review labelled this 'Partial', but did not supply a feature-level physical mapping; the authoritative state is therefore Unknown.</t>
        </is>
      </c>
      <c r="AJ388" s="29" t="inlineStr">
        <is>
          <t>Unknown</t>
        </is>
      </c>
      <c r="AK388" s="29" t="inlineStr">
        <is>
          <t>EV-19-0005</t>
        </is>
      </c>
      <c r="AL388" s="29" t="inlineStr"/>
      <c r="AM388" s="29" t="inlineStr"/>
      <c r="AN388" s="29" t="inlineStr"/>
      <c r="AO388" s="29" t="inlineStr">
        <is>
          <t>8bc0dcb2a1da1b21368c5536aaeef829d587f316</t>
        </is>
      </c>
      <c r="AP388" s="29" t="inlineStr">
        <is>
          <t>Low</t>
        </is>
      </c>
      <c r="AQ388" s="29" t="inlineStr">
        <is>
          <t>Not assessed</t>
        </is>
      </c>
      <c r="AR388" s="29" t="inlineStr">
        <is>
          <t>Not assessed</t>
        </is>
      </c>
      <c r="AS388" s="29" t="inlineStr">
        <is>
          <t>Not assessed</t>
        </is>
      </c>
      <c r="AT388" s="29" t="inlineStr">
        <is>
          <t>Not assessed</t>
        </is>
      </c>
      <c r="AU388" s="29" t="inlineStr">
        <is>
          <t>Not assessed</t>
        </is>
      </c>
      <c r="AV388" s="29" t="inlineStr">
        <is>
          <t>Not assessed</t>
        </is>
      </c>
      <c r="AW388" s="29" t="inlineStr">
        <is>
          <t>Not assessed</t>
        </is>
      </c>
      <c r="AX388" s="29" t="inlineStr">
        <is>
          <t>Not assessed</t>
        </is>
      </c>
      <c r="AY388" s="29" t="inlineStr">
        <is>
          <t>Not assessed</t>
        </is>
      </c>
      <c r="AZ388" s="29" t="inlineStr">
        <is>
          <t>Not assessed</t>
        </is>
      </c>
      <c r="BA388" s="29" t="inlineStr">
        <is>
          <t>Not assessed</t>
        </is>
      </c>
      <c r="BB388" s="29" t="inlineStr">
        <is>
          <t>Not assessed</t>
        </is>
      </c>
      <c r="BC388" s="29" t="inlineStr">
        <is>
          <t>Not assessed</t>
        </is>
      </c>
      <c r="BD388" s="29" t="inlineStr">
        <is>
          <t>Not assessed</t>
        </is>
      </c>
      <c r="BE388" s="29" t="inlineStr">
        <is>
          <t>Not assessed</t>
        </is>
      </c>
      <c r="BF388" s="29" t="inlineStr">
        <is>
          <t>Production readiness cannot be assessed until the exact physical implementation and runtime path are traced.</t>
        </is>
      </c>
      <c r="BG388" s="29" t="inlineStr">
        <is>
          <t>Map the feature to exact client, server, data, worker and configuration locations, then verify its runtime path.</t>
        </is>
      </c>
      <c r="BH388" s="29" t="inlineStr"/>
      <c r="BI388" s="29" t="inlineStr"/>
      <c r="BJ388" s="29" t="inlineStr"/>
      <c r="BK388" s="29" t="inlineStr">
        <is>
          <t>Evidence reconciled against the reviewed source revision. No production approval is inferred from implementation or file presence.</t>
        </is>
      </c>
      <c r="BL388" s="29" t="inlineStr">
        <is>
          <t>2026-08-02</t>
        </is>
      </c>
    </row>
    <row r="389" ht="42" customHeight="1">
      <c r="A389" s="29" t="inlineStr">
        <is>
          <t>BLYP-19-008</t>
        </is>
      </c>
      <c r="B389" s="29" t="inlineStr"/>
      <c r="C389" s="29" t="inlineStr">
        <is>
          <t>Privacy-respecting analytics</t>
        </is>
      </c>
      <c r="D389" s="29" t="n">
        <v>19</v>
      </c>
      <c r="E389" s="29" t="n">
        <v>8</v>
      </c>
      <c r="F389" s="29" t="inlineStr">
        <is>
          <t>Feature</t>
        </is>
      </c>
      <c r="G389" s="29" t="inlineStr">
        <is>
          <t>AI-allowance analytics</t>
        </is>
      </c>
      <c r="H389" s="29" t="inlineStr">
        <is>
          <t>AI-allowance analytics</t>
        </is>
      </c>
      <c r="I389" s="29" t="inlineStr">
        <is>
          <t>/home/ubuntu/blyp_product_requirements.md :: Section 19 — Privacy-respecting analytics</t>
        </is>
      </c>
      <c r="J389" s="29" t="inlineStr">
        <is>
          <t>/home/ubuntu/BLYP_COMPLETE_FEATURE_LIST.md:493</t>
        </is>
      </c>
      <c r="K389" s="29" t="inlineStr">
        <is>
          <t>Required</t>
        </is>
      </c>
      <c r="L389" s="29" t="inlineStr">
        <is>
          <t>Applicable BLYP member</t>
        </is>
      </c>
      <c r="M389" s="29" t="inlineStr">
        <is>
          <t>BLYP mobile application and supporting production services</t>
        </is>
      </c>
      <c r="N389" s="29" t="inlineStr">
        <is>
          <t>AI-allowance analytics</t>
        </is>
      </c>
      <c r="O389" s="29" t="inlineStr">
        <is>
          <t>Not explicitly defined in the product source; requires accountable product approval before production sign-off.</t>
        </is>
      </c>
      <c r="P389" s="29" t="inlineStr"/>
      <c r="Q389" s="29" t="inlineStr">
        <is>
          <t>No evidence</t>
        </is>
      </c>
      <c r="R389" s="29" t="inlineStr"/>
      <c r="S389" s="29" t="inlineStr">
        <is>
          <t>Unknown</t>
        </is>
      </c>
      <c r="T389" s="29" t="inlineStr">
        <is>
          <t>Unknown</t>
        </is>
      </c>
      <c r="U389" s="29" t="inlineStr">
        <is>
          <t>Unknown</t>
        </is>
      </c>
      <c r="V389" s="29" t="inlineStr">
        <is>
          <t>Unknown</t>
        </is>
      </c>
      <c r="W389" s="29" t="inlineStr">
        <is>
          <t>Unknown</t>
        </is>
      </c>
      <c r="X389" s="29" t="inlineStr">
        <is>
          <t>Unknown</t>
        </is>
      </c>
      <c r="Y389" s="29" t="inlineStr">
        <is>
          <t>Unknown</t>
        </is>
      </c>
      <c r="Z389" s="29" t="inlineStr">
        <is>
          <t>Unknown</t>
        </is>
      </c>
      <c r="AA389" s="29" t="inlineStr">
        <is>
          <t>Unknown</t>
        </is>
      </c>
      <c r="AB389" s="29" t="inlineStr">
        <is>
          <t>Unknown</t>
        </is>
      </c>
      <c r="AC389" s="29" t="inlineStr"/>
      <c r="AD389" s="29" t="inlineStr"/>
      <c r="AE389" s="29" t="inlineStr">
        <is>
          <t>Unknown</t>
        </is>
      </c>
      <c r="AF389" s="29" t="inlineStr">
        <is>
          <t>No exact feature-level physical path was resolved from the reviewed evidence.</t>
        </is>
      </c>
      <c r="AG389" s="29" t="inlineStr">
        <is>
          <t>Unknown</t>
        </is>
      </c>
      <c r="AH389" s="29" t="inlineStr">
        <is>
          <t>Unknown</t>
        </is>
      </c>
      <c r="AI389" s="29" t="inlineStr">
        <is>
          <t>A prior area review labelled this 'Partial', but did not supply a feature-level physical mapping; the authoritative state is therefore Unknown.</t>
        </is>
      </c>
      <c r="AJ389" s="29" t="inlineStr">
        <is>
          <t>Unknown</t>
        </is>
      </c>
      <c r="AK389" s="29" t="inlineStr">
        <is>
          <t>EV-19-0006</t>
        </is>
      </c>
      <c r="AL389" s="29" t="inlineStr"/>
      <c r="AM389" s="29" t="inlineStr"/>
      <c r="AN389" s="29" t="inlineStr"/>
      <c r="AO389" s="29" t="inlineStr">
        <is>
          <t>8bc0dcb2a1da1b21368c5536aaeef829d587f316</t>
        </is>
      </c>
      <c r="AP389" s="29" t="inlineStr">
        <is>
          <t>Low</t>
        </is>
      </c>
      <c r="AQ389" s="29" t="inlineStr">
        <is>
          <t>Not assessed</t>
        </is>
      </c>
      <c r="AR389" s="29" t="inlineStr">
        <is>
          <t>Not assessed</t>
        </is>
      </c>
      <c r="AS389" s="29" t="inlineStr">
        <is>
          <t>Not assessed</t>
        </is>
      </c>
      <c r="AT389" s="29" t="inlineStr">
        <is>
          <t>Not assessed</t>
        </is>
      </c>
      <c r="AU389" s="29" t="inlineStr">
        <is>
          <t>Not assessed</t>
        </is>
      </c>
      <c r="AV389" s="29" t="inlineStr">
        <is>
          <t>Not assessed</t>
        </is>
      </c>
      <c r="AW389" s="29" t="inlineStr">
        <is>
          <t>Not assessed</t>
        </is>
      </c>
      <c r="AX389" s="29" t="inlineStr">
        <is>
          <t>Not assessed</t>
        </is>
      </c>
      <c r="AY389" s="29" t="inlineStr">
        <is>
          <t>Not assessed</t>
        </is>
      </c>
      <c r="AZ389" s="29" t="inlineStr">
        <is>
          <t>Not assessed</t>
        </is>
      </c>
      <c r="BA389" s="29" t="inlineStr">
        <is>
          <t>Not assessed</t>
        </is>
      </c>
      <c r="BB389" s="29" t="inlineStr">
        <is>
          <t>Not assessed</t>
        </is>
      </c>
      <c r="BC389" s="29" t="inlineStr">
        <is>
          <t>Not assessed</t>
        </is>
      </c>
      <c r="BD389" s="29" t="inlineStr">
        <is>
          <t>Not assessed</t>
        </is>
      </c>
      <c r="BE389" s="29" t="inlineStr">
        <is>
          <t>Not assessed</t>
        </is>
      </c>
      <c r="BF389" s="29" t="inlineStr">
        <is>
          <t>Production readiness cannot be assessed until the exact physical implementation and runtime path are traced.</t>
        </is>
      </c>
      <c r="BG389" s="29" t="inlineStr">
        <is>
          <t>Map the feature to exact client, server, data, worker and configuration locations, then verify its runtime path.</t>
        </is>
      </c>
      <c r="BH389" s="29" t="inlineStr"/>
      <c r="BI389" s="29" t="inlineStr"/>
      <c r="BJ389" s="29" t="inlineStr"/>
      <c r="BK389" s="29" t="inlineStr">
        <is>
          <t>Evidence reconciled against the reviewed source revision. No production approval is inferred from implementation or file presence.</t>
        </is>
      </c>
      <c r="BL389" s="29" t="inlineStr">
        <is>
          <t>2026-08-02</t>
        </is>
      </c>
    </row>
    <row r="390" ht="42" customHeight="1">
      <c r="A390" s="29" t="inlineStr">
        <is>
          <t>BLYP-19-009</t>
        </is>
      </c>
      <c r="B390" s="29" t="inlineStr"/>
      <c r="C390" s="29" t="inlineStr">
        <is>
          <t>Privacy-respecting analytics</t>
        </is>
      </c>
      <c r="D390" s="29" t="n">
        <v>19</v>
      </c>
      <c r="E390" s="29" t="n">
        <v>9</v>
      </c>
      <c r="F390" s="29" t="inlineStr">
        <is>
          <t>Feature</t>
        </is>
      </c>
      <c r="G390" s="29" t="inlineStr">
        <is>
          <t>Subscription-conversion analytics</t>
        </is>
      </c>
      <c r="H390" s="29" t="inlineStr">
        <is>
          <t>Subscription-conversion analytics</t>
        </is>
      </c>
      <c r="I390" s="29" t="inlineStr">
        <is>
          <t>/home/ubuntu/blyp_product_requirements.md :: Section 19 — Privacy-respecting analytics</t>
        </is>
      </c>
      <c r="J390" s="29" t="inlineStr">
        <is>
          <t>/home/ubuntu/BLYP_COMPLETE_FEATURE_LIST.md:494</t>
        </is>
      </c>
      <c r="K390" s="29" t="inlineStr">
        <is>
          <t>Required</t>
        </is>
      </c>
      <c r="L390" s="29" t="inlineStr">
        <is>
          <t>Applicable BLYP member</t>
        </is>
      </c>
      <c r="M390" s="29" t="inlineStr">
        <is>
          <t>BLYP mobile application and supporting production services</t>
        </is>
      </c>
      <c r="N390" s="29" t="inlineStr">
        <is>
          <t>Subscription-conversion analytics</t>
        </is>
      </c>
      <c r="O390" s="29" t="inlineStr">
        <is>
          <t>Not explicitly defined in the product source; requires accountable product approval before production sign-off.</t>
        </is>
      </c>
      <c r="P390" s="29" t="inlineStr"/>
      <c r="Q390" s="29" t="inlineStr">
        <is>
          <t>No evidence</t>
        </is>
      </c>
      <c r="R390" s="29" t="inlineStr"/>
      <c r="S390" s="29" t="inlineStr">
        <is>
          <t>Unknown</t>
        </is>
      </c>
      <c r="T390" s="29" t="inlineStr">
        <is>
          <t>Unknown</t>
        </is>
      </c>
      <c r="U390" s="29" t="inlineStr">
        <is>
          <t>Unknown</t>
        </is>
      </c>
      <c r="V390" s="29" t="inlineStr">
        <is>
          <t>Unknown</t>
        </is>
      </c>
      <c r="W390" s="29" t="inlineStr">
        <is>
          <t>Unknown</t>
        </is>
      </c>
      <c r="X390" s="29" t="inlineStr">
        <is>
          <t>Unknown</t>
        </is>
      </c>
      <c r="Y390" s="29" t="inlineStr">
        <is>
          <t>Unknown</t>
        </is>
      </c>
      <c r="Z390" s="29" t="inlineStr">
        <is>
          <t>Unknown</t>
        </is>
      </c>
      <c r="AA390" s="29" t="inlineStr">
        <is>
          <t>Unknown</t>
        </is>
      </c>
      <c r="AB390" s="29" t="inlineStr">
        <is>
          <t>Unknown</t>
        </is>
      </c>
      <c r="AC390" s="29" t="inlineStr"/>
      <c r="AD390" s="29" t="inlineStr"/>
      <c r="AE390" s="29" t="inlineStr">
        <is>
          <t>Unknown</t>
        </is>
      </c>
      <c r="AF390" s="29" t="inlineStr">
        <is>
          <t>No exact feature-level physical path was resolved from the reviewed evidence.</t>
        </is>
      </c>
      <c r="AG390" s="29" t="inlineStr">
        <is>
          <t>Unknown</t>
        </is>
      </c>
      <c r="AH390" s="29" t="inlineStr">
        <is>
          <t>Unknown</t>
        </is>
      </c>
      <c r="AI390" s="29" t="inlineStr">
        <is>
          <t>A prior area review labelled this 'Partial', but did not supply a feature-level physical mapping; the authoritative state is therefore Unknown.</t>
        </is>
      </c>
      <c r="AJ390" s="29" t="inlineStr">
        <is>
          <t>Unknown</t>
        </is>
      </c>
      <c r="AK390" s="29" t="inlineStr">
        <is>
          <t>EV-19-0007</t>
        </is>
      </c>
      <c r="AL390" s="29" t="inlineStr"/>
      <c r="AM390" s="29" t="inlineStr"/>
      <c r="AN390" s="29" t="inlineStr"/>
      <c r="AO390" s="29" t="inlineStr">
        <is>
          <t>8bc0dcb2a1da1b21368c5536aaeef829d587f316</t>
        </is>
      </c>
      <c r="AP390" s="29" t="inlineStr">
        <is>
          <t>Low</t>
        </is>
      </c>
      <c r="AQ390" s="29" t="inlineStr">
        <is>
          <t>Not assessed</t>
        </is>
      </c>
      <c r="AR390" s="29" t="inlineStr">
        <is>
          <t>Not assessed</t>
        </is>
      </c>
      <c r="AS390" s="29" t="inlineStr">
        <is>
          <t>Not assessed</t>
        </is>
      </c>
      <c r="AT390" s="29" t="inlineStr">
        <is>
          <t>Not assessed</t>
        </is>
      </c>
      <c r="AU390" s="29" t="inlineStr">
        <is>
          <t>Not assessed</t>
        </is>
      </c>
      <c r="AV390" s="29" t="inlineStr">
        <is>
          <t>Not assessed</t>
        </is>
      </c>
      <c r="AW390" s="29" t="inlineStr">
        <is>
          <t>Not assessed</t>
        </is>
      </c>
      <c r="AX390" s="29" t="inlineStr">
        <is>
          <t>Not assessed</t>
        </is>
      </c>
      <c r="AY390" s="29" t="inlineStr">
        <is>
          <t>Not assessed</t>
        </is>
      </c>
      <c r="AZ390" s="29" t="inlineStr">
        <is>
          <t>Not assessed</t>
        </is>
      </c>
      <c r="BA390" s="29" t="inlineStr">
        <is>
          <t>Not assessed</t>
        </is>
      </c>
      <c r="BB390" s="29" t="inlineStr">
        <is>
          <t>Not assessed</t>
        </is>
      </c>
      <c r="BC390" s="29" t="inlineStr">
        <is>
          <t>Not assessed</t>
        </is>
      </c>
      <c r="BD390" s="29" t="inlineStr">
        <is>
          <t>Not assessed</t>
        </is>
      </c>
      <c r="BE390" s="29" t="inlineStr">
        <is>
          <t>Not assessed</t>
        </is>
      </c>
      <c r="BF390" s="29" t="inlineStr">
        <is>
          <t>Production readiness cannot be assessed until the exact physical implementation and runtime path are traced.</t>
        </is>
      </c>
      <c r="BG390" s="29" t="inlineStr">
        <is>
          <t>Map the feature to exact client, server, data, worker and configuration locations, then verify its runtime path.</t>
        </is>
      </c>
      <c r="BH390" s="29" t="inlineStr"/>
      <c r="BI390" s="29" t="inlineStr"/>
      <c r="BJ390" s="29" t="inlineStr"/>
      <c r="BK390" s="29" t="inlineStr">
        <is>
          <t>Evidence reconciled against the reviewed source revision. No production approval is inferred from implementation or file presence.</t>
        </is>
      </c>
      <c r="BL390" s="29" t="inlineStr">
        <is>
          <t>2026-08-02</t>
        </is>
      </c>
    </row>
    <row r="391" ht="42" customHeight="1">
      <c r="A391" s="29" t="inlineStr">
        <is>
          <t>BLYP-19-010</t>
        </is>
      </c>
      <c r="B391" s="29" t="inlineStr"/>
      <c r="C391" s="29" t="inlineStr">
        <is>
          <t>Privacy-respecting analytics</t>
        </is>
      </c>
      <c r="D391" s="29" t="n">
        <v>19</v>
      </c>
      <c r="E391" s="29" t="n">
        <v>10</v>
      </c>
      <c r="F391" s="29" t="inlineStr">
        <is>
          <t>Feature</t>
        </is>
      </c>
      <c r="G391" s="29" t="inlineStr">
        <is>
          <t>Retention analytics</t>
        </is>
      </c>
      <c r="H391" s="29" t="inlineStr">
        <is>
          <t>Retention analytics</t>
        </is>
      </c>
      <c r="I391" s="29" t="inlineStr">
        <is>
          <t>/home/ubuntu/blyp_product_requirements.md :: Section 19 — Privacy-respecting analytics</t>
        </is>
      </c>
      <c r="J391" s="29" t="inlineStr">
        <is>
          <t>/home/ubuntu/BLYP_COMPLETE_FEATURE_LIST.md:495</t>
        </is>
      </c>
      <c r="K391" s="29" t="inlineStr">
        <is>
          <t>Required</t>
        </is>
      </c>
      <c r="L391" s="29" t="inlineStr">
        <is>
          <t>Applicable BLYP member</t>
        </is>
      </c>
      <c r="M391" s="29" t="inlineStr">
        <is>
          <t>BLYP mobile application and supporting production services</t>
        </is>
      </c>
      <c r="N391" s="29" t="inlineStr">
        <is>
          <t>Retention analytics</t>
        </is>
      </c>
      <c r="O391" s="29" t="inlineStr">
        <is>
          <t>Not explicitly defined in the product source; requires accountable product approval before production sign-off.</t>
        </is>
      </c>
      <c r="P391" s="29" t="inlineStr"/>
      <c r="Q391" s="29" t="inlineStr">
        <is>
          <t>Partial</t>
        </is>
      </c>
      <c r="R391" s="29" t="inlineStr"/>
      <c r="S391" s="29" t="inlineStr">
        <is>
          <t>Unknown</t>
        </is>
      </c>
      <c r="T391" s="29" t="inlineStr">
        <is>
          <t>Unknown</t>
        </is>
      </c>
      <c r="U391" s="29" t="inlineStr">
        <is>
          <t>Unknown</t>
        </is>
      </c>
      <c r="V391" s="29" t="inlineStr">
        <is>
          <t>Unknown</t>
        </is>
      </c>
      <c r="W391" s="29" t="inlineStr">
        <is>
          <t>Unknown</t>
        </is>
      </c>
      <c r="X391" s="29" t="inlineStr">
        <is>
          <t>Unknown</t>
        </is>
      </c>
      <c r="Y391" s="29" t="inlineStr">
        <is>
          <t>Unknown</t>
        </is>
      </c>
      <c r="Z391" s="29" t="inlineStr">
        <is>
          <t>Unknown</t>
        </is>
      </c>
      <c r="AA391" s="29" t="inlineStr">
        <is>
          <t>Unknown</t>
        </is>
      </c>
      <c r="AB391" s="29" t="inlineStr">
        <is>
          <t>Unknown</t>
        </is>
      </c>
      <c r="AC391" s="29" t="inlineStr"/>
      <c r="AD391" s="29" t="inlineStr"/>
      <c r="AE391" s="29" t="inlineStr">
        <is>
          <t>Unknown</t>
        </is>
      </c>
      <c r="AF391" s="29" t="inlineStr">
        <is>
          <t>No exact feature-level physical path was resolved from the reviewed evidence.</t>
        </is>
      </c>
      <c r="AG391" s="29" t="inlineStr">
        <is>
          <t>Unknown</t>
        </is>
      </c>
      <c r="AH391" s="29" t="inlineStr">
        <is>
          <t>Unknown</t>
        </is>
      </c>
      <c r="AI391" s="29" t="inlineStr">
        <is>
          <t>A prior area review labelled this 'Partial', but did not supply a feature-level physical mapping; the authoritative state is therefore Unknown.</t>
        </is>
      </c>
      <c r="AJ391" s="29" t="inlineStr">
        <is>
          <t>Unknown</t>
        </is>
      </c>
      <c r="AK391" s="29" t="inlineStr">
        <is>
          <t>EV-19-0008</t>
        </is>
      </c>
      <c r="AL391" s="29" t="inlineStr"/>
      <c r="AM391" s="29" t="inlineStr"/>
      <c r="AN391" s="29" t="inlineStr"/>
      <c r="AO391" s="29" t="inlineStr">
        <is>
          <t>8bc0dcb2a1da1b21368c5536aaeef829d587f316</t>
        </is>
      </c>
      <c r="AP391" s="29" t="inlineStr">
        <is>
          <t>Low</t>
        </is>
      </c>
      <c r="AQ391" s="29" t="inlineStr">
        <is>
          <t>Not assessed</t>
        </is>
      </c>
      <c r="AR391" s="29" t="inlineStr">
        <is>
          <t>Not assessed</t>
        </is>
      </c>
      <c r="AS391" s="29" t="inlineStr">
        <is>
          <t>Not assessed</t>
        </is>
      </c>
      <c r="AT391" s="29" t="inlineStr">
        <is>
          <t>Not assessed</t>
        </is>
      </c>
      <c r="AU391" s="29" t="inlineStr">
        <is>
          <t>Not assessed</t>
        </is>
      </c>
      <c r="AV391" s="29" t="inlineStr">
        <is>
          <t>Not assessed</t>
        </is>
      </c>
      <c r="AW391" s="29" t="inlineStr">
        <is>
          <t>Not assessed</t>
        </is>
      </c>
      <c r="AX391" s="29" t="inlineStr">
        <is>
          <t>Not assessed</t>
        </is>
      </c>
      <c r="AY391" s="29" t="inlineStr">
        <is>
          <t>Not assessed</t>
        </is>
      </c>
      <c r="AZ391" s="29" t="inlineStr">
        <is>
          <t>Not assessed</t>
        </is>
      </c>
      <c r="BA391" s="29" t="inlineStr">
        <is>
          <t>Not assessed</t>
        </is>
      </c>
      <c r="BB391" s="29" t="inlineStr">
        <is>
          <t>Not assessed</t>
        </is>
      </c>
      <c r="BC391" s="29" t="inlineStr">
        <is>
          <t>Not assessed</t>
        </is>
      </c>
      <c r="BD391" s="29" t="inlineStr">
        <is>
          <t>Not assessed</t>
        </is>
      </c>
      <c r="BE391" s="29" t="inlineStr">
        <is>
          <t>Not assessed</t>
        </is>
      </c>
      <c r="BF391" s="29" t="inlineStr">
        <is>
          <t>Production readiness cannot be assessed until the exact physical implementation and runtime path are traced.</t>
        </is>
      </c>
      <c r="BG391" s="29" t="inlineStr">
        <is>
          <t>Map the feature to exact client, server, data, worker and configuration locations, then verify its runtime path.</t>
        </is>
      </c>
      <c r="BH391" s="29" t="inlineStr"/>
      <c r="BI391" s="29" t="inlineStr"/>
      <c r="BJ391" s="29" t="inlineStr"/>
      <c r="BK391" s="29" t="inlineStr">
        <is>
          <t>Evidence reconciled against the reviewed source revision. No production approval is inferred from implementation or file presence.</t>
        </is>
      </c>
      <c r="BL391" s="29" t="inlineStr">
        <is>
          <t>2026-08-02</t>
        </is>
      </c>
    </row>
    <row r="392" ht="42" customHeight="1">
      <c r="A392" s="29" t="inlineStr">
        <is>
          <t>BLYP-19-011</t>
        </is>
      </c>
      <c r="B392" s="29" t="inlineStr"/>
      <c r="C392" s="29" t="inlineStr">
        <is>
          <t>Privacy-respecting analytics</t>
        </is>
      </c>
      <c r="D392" s="29" t="n">
        <v>19</v>
      </c>
      <c r="E392" s="29" t="n">
        <v>11</v>
      </c>
      <c r="F392" s="29" t="inlineStr">
        <is>
          <t>Feature</t>
        </is>
      </c>
      <c r="G392" s="29" t="inlineStr">
        <is>
          <t>Crash analytics</t>
        </is>
      </c>
      <c r="H392" s="29" t="inlineStr">
        <is>
          <t>Crash analytics</t>
        </is>
      </c>
      <c r="I392" s="29" t="inlineStr">
        <is>
          <t>/home/ubuntu/blyp_product_requirements.md :: Section 19 — Privacy-respecting analytics</t>
        </is>
      </c>
      <c r="J392" s="29" t="inlineStr">
        <is>
          <t>/home/ubuntu/BLYP_COMPLETE_FEATURE_LIST.md:496</t>
        </is>
      </c>
      <c r="K392" s="29" t="inlineStr">
        <is>
          <t>Required</t>
        </is>
      </c>
      <c r="L392" s="29" t="inlineStr">
        <is>
          <t>Applicable BLYP member</t>
        </is>
      </c>
      <c r="M392" s="29" t="inlineStr">
        <is>
          <t>BLYP mobile application and supporting production services</t>
        </is>
      </c>
      <c r="N392" s="29" t="inlineStr">
        <is>
          <t>Crash analytics</t>
        </is>
      </c>
      <c r="O392" s="29" t="inlineStr">
        <is>
          <t>Not explicitly defined in the product source; requires accountable product approval before production sign-off.</t>
        </is>
      </c>
      <c r="P392" s="29" t="inlineStr"/>
      <c r="Q392" s="29" t="inlineStr">
        <is>
          <t>Scaffold only</t>
        </is>
      </c>
      <c r="R392" s="29" t="inlineStr"/>
      <c r="S392" s="29" t="inlineStr">
        <is>
          <t>Unknown</t>
        </is>
      </c>
      <c r="T392" s="29" t="inlineStr">
        <is>
          <t>Unknown</t>
        </is>
      </c>
      <c r="U392" s="29" t="inlineStr">
        <is>
          <t>Unknown</t>
        </is>
      </c>
      <c r="V392" s="29" t="inlineStr">
        <is>
          <t>Unknown</t>
        </is>
      </c>
      <c r="W392" s="29" t="inlineStr">
        <is>
          <t>Unknown</t>
        </is>
      </c>
      <c r="X392" s="29" t="inlineStr">
        <is>
          <t>Unknown</t>
        </is>
      </c>
      <c r="Y392" s="29" t="inlineStr">
        <is>
          <t>Unknown</t>
        </is>
      </c>
      <c r="Z392" s="29" t="inlineStr">
        <is>
          <t>Unknown</t>
        </is>
      </c>
      <c r="AA392" s="29" t="inlineStr">
        <is>
          <t>Unknown</t>
        </is>
      </c>
      <c r="AB392" s="29" t="inlineStr">
        <is>
          <t>Unknown</t>
        </is>
      </c>
      <c r="AC392" s="29" t="inlineStr"/>
      <c r="AD392" s="29" t="inlineStr"/>
      <c r="AE392" s="29" t="inlineStr">
        <is>
          <t>Unknown</t>
        </is>
      </c>
      <c r="AF392" s="29" t="inlineStr">
        <is>
          <t>No exact feature-level physical path was resolved from the reviewed evidence.</t>
        </is>
      </c>
      <c r="AG392" s="29" t="inlineStr">
        <is>
          <t>Unknown</t>
        </is>
      </c>
      <c r="AH392" s="29" t="inlineStr">
        <is>
          <t>Unknown</t>
        </is>
      </c>
      <c r="AI392" s="29" t="inlineStr">
        <is>
          <t>A prior area review labelled this 'Partial', but did not supply a feature-level physical mapping; the authoritative state is therefore Unknown.</t>
        </is>
      </c>
      <c r="AJ392" s="29" t="inlineStr">
        <is>
          <t>Unknown</t>
        </is>
      </c>
      <c r="AK392" s="29" t="inlineStr">
        <is>
          <t>EV-19-0009</t>
        </is>
      </c>
      <c r="AL392" s="29" t="inlineStr"/>
      <c r="AM392" s="29" t="inlineStr"/>
      <c r="AN392" s="29" t="inlineStr"/>
      <c r="AO392" s="29" t="inlineStr">
        <is>
          <t>8bc0dcb2a1da1b21368c5536aaeef829d587f316</t>
        </is>
      </c>
      <c r="AP392" s="29" t="inlineStr">
        <is>
          <t>Low</t>
        </is>
      </c>
      <c r="AQ392" s="29" t="inlineStr">
        <is>
          <t>Not assessed</t>
        </is>
      </c>
      <c r="AR392" s="29" t="inlineStr">
        <is>
          <t>Not assessed</t>
        </is>
      </c>
      <c r="AS392" s="29" t="inlineStr">
        <is>
          <t>Not assessed</t>
        </is>
      </c>
      <c r="AT392" s="29" t="inlineStr">
        <is>
          <t>Not assessed</t>
        </is>
      </c>
      <c r="AU392" s="29" t="inlineStr">
        <is>
          <t>Not assessed</t>
        </is>
      </c>
      <c r="AV392" s="29" t="inlineStr">
        <is>
          <t>Not assessed</t>
        </is>
      </c>
      <c r="AW392" s="29" t="inlineStr">
        <is>
          <t>Not assessed</t>
        </is>
      </c>
      <c r="AX392" s="29" t="inlineStr">
        <is>
          <t>Not assessed</t>
        </is>
      </c>
      <c r="AY392" s="29" t="inlineStr">
        <is>
          <t>Not assessed</t>
        </is>
      </c>
      <c r="AZ392" s="29" t="inlineStr">
        <is>
          <t>Not assessed</t>
        </is>
      </c>
      <c r="BA392" s="29" t="inlineStr">
        <is>
          <t>Not assessed</t>
        </is>
      </c>
      <c r="BB392" s="29" t="inlineStr">
        <is>
          <t>Not assessed</t>
        </is>
      </c>
      <c r="BC392" s="29" t="inlineStr">
        <is>
          <t>Not assessed</t>
        </is>
      </c>
      <c r="BD392" s="29" t="inlineStr">
        <is>
          <t>Not assessed</t>
        </is>
      </c>
      <c r="BE392" s="29" t="inlineStr">
        <is>
          <t>Not assessed</t>
        </is>
      </c>
      <c r="BF392" s="29" t="inlineStr">
        <is>
          <t>Production readiness cannot be assessed until the exact physical implementation and runtime path are traced.</t>
        </is>
      </c>
      <c r="BG392" s="29" t="inlineStr">
        <is>
          <t>Map the feature to exact client, server, data, worker and configuration locations, then verify its runtime path.</t>
        </is>
      </c>
      <c r="BH392" s="29" t="inlineStr"/>
      <c r="BI392" s="29" t="inlineStr"/>
      <c r="BJ392" s="29" t="inlineStr"/>
      <c r="BK392" s="29" t="inlineStr">
        <is>
          <t>Evidence reconciled against the reviewed source revision. No production approval is inferred from implementation or file presence.</t>
        </is>
      </c>
      <c r="BL392" s="29" t="inlineStr">
        <is>
          <t>2026-08-02</t>
        </is>
      </c>
    </row>
    <row r="393" ht="42" customHeight="1">
      <c r="A393" s="29" t="inlineStr">
        <is>
          <t>BLYP-19-012</t>
        </is>
      </c>
      <c r="B393" s="29" t="inlineStr"/>
      <c r="C393" s="29" t="inlineStr">
        <is>
          <t>Privacy-respecting analytics</t>
        </is>
      </c>
      <c r="D393" s="29" t="n">
        <v>19</v>
      </c>
      <c r="E393" s="29" t="n">
        <v>12</v>
      </c>
      <c r="F393" s="29" t="inlineStr">
        <is>
          <t>Feature</t>
        </is>
      </c>
      <c r="G393" s="29" t="inlineStr">
        <is>
          <t>Failed-upload analytics</t>
        </is>
      </c>
      <c r="H393" s="29" t="inlineStr">
        <is>
          <t>Failed-upload analytics</t>
        </is>
      </c>
      <c r="I393" s="29" t="inlineStr">
        <is>
          <t>/home/ubuntu/blyp_product_requirements.md :: Section 19 — Privacy-respecting analytics</t>
        </is>
      </c>
      <c r="J393" s="29" t="inlineStr">
        <is>
          <t>/home/ubuntu/BLYP_COMPLETE_FEATURE_LIST.md:497</t>
        </is>
      </c>
      <c r="K393" s="29" t="inlineStr">
        <is>
          <t>Required</t>
        </is>
      </c>
      <c r="L393" s="29" t="inlineStr">
        <is>
          <t>Applicable BLYP member</t>
        </is>
      </c>
      <c r="M393" s="29" t="inlineStr">
        <is>
          <t>BLYP mobile application and supporting production services</t>
        </is>
      </c>
      <c r="N393" s="29" t="inlineStr">
        <is>
          <t>Failed-upload analytics</t>
        </is>
      </c>
      <c r="O393" s="29" t="inlineStr">
        <is>
          <t>Not explicitly defined in the product source; requires accountable product approval before production sign-off.</t>
        </is>
      </c>
      <c r="P393" s="29" t="inlineStr"/>
      <c r="Q393" s="29" t="inlineStr">
        <is>
          <t>Partial</t>
        </is>
      </c>
      <c r="R393" s="29" t="inlineStr"/>
      <c r="S393" s="29" t="inlineStr">
        <is>
          <t>Not found</t>
        </is>
      </c>
      <c r="T393" s="29" t="inlineStr">
        <is>
          <t>Unknown</t>
        </is>
      </c>
      <c r="U393" s="29" t="inlineStr">
        <is>
          <t>Unknown</t>
        </is>
      </c>
      <c r="V393" s="29" t="inlineStr">
        <is>
          <t>Unknown</t>
        </is>
      </c>
      <c r="W393" s="29" t="inlineStr">
        <is>
          <t>Unknown</t>
        </is>
      </c>
      <c r="X393" s="29" t="inlineStr">
        <is>
          <t>Unknown</t>
        </is>
      </c>
      <c r="Y393" s="29" t="inlineStr">
        <is>
          <t>Unknown</t>
        </is>
      </c>
      <c r="Z393" s="29" t="inlineStr">
        <is>
          <t>Unknown</t>
        </is>
      </c>
      <c r="AA393" s="29" t="inlineStr">
        <is>
          <t>Unknown</t>
        </is>
      </c>
      <c r="AB393" s="29" t="inlineStr">
        <is>
          <t>Unknown</t>
        </is>
      </c>
      <c r="AC393" s="29" t="inlineStr"/>
      <c r="AD393" s="29" t="inlineStr"/>
      <c r="AE393" s="29" t="inlineStr">
        <is>
          <t>Unknown</t>
        </is>
      </c>
      <c r="AF393" s="29" t="inlineStr"/>
      <c r="AG393" s="29" t="inlineStr">
        <is>
          <t>Unknown</t>
        </is>
      </c>
      <c r="AH393" s="29" t="inlineStr">
        <is>
          <t>Unknown</t>
        </is>
      </c>
      <c r="AI393" s="29" t="inlineStr">
        <is>
          <t>Searched source code for relevant keywords but found no evidence.</t>
        </is>
      </c>
      <c r="AJ393" s="29" t="inlineStr">
        <is>
          <t>Not verified</t>
        </is>
      </c>
      <c r="AK393" s="29" t="inlineStr"/>
      <c r="AL393" s="29" t="inlineStr"/>
      <c r="AM393" s="29" t="inlineStr"/>
      <c r="AN393" s="29" t="inlineStr"/>
      <c r="AO393" s="29" t="inlineStr">
        <is>
          <t>8bc0dcb2a1da1b21368c5536aaeef829d587f316</t>
        </is>
      </c>
      <c r="AP393" s="29" t="inlineStr">
        <is>
          <t>Medium</t>
        </is>
      </c>
      <c r="AQ393" s="29" t="inlineStr">
        <is>
          <t>Not assessed</t>
        </is>
      </c>
      <c r="AR393" s="29" t="inlineStr">
        <is>
          <t>Not assessed</t>
        </is>
      </c>
      <c r="AS393" s="29" t="inlineStr">
        <is>
          <t>Not assessed</t>
        </is>
      </c>
      <c r="AT393" s="29" t="inlineStr">
        <is>
          <t>Not assessed</t>
        </is>
      </c>
      <c r="AU393" s="29" t="inlineStr">
        <is>
          <t>Not assessed</t>
        </is>
      </c>
      <c r="AV393" s="29" t="inlineStr">
        <is>
          <t>Not assessed</t>
        </is>
      </c>
      <c r="AW393" s="29" t="inlineStr">
        <is>
          <t>Not assessed</t>
        </is>
      </c>
      <c r="AX393" s="29" t="inlineStr">
        <is>
          <t>Not assessed</t>
        </is>
      </c>
      <c r="AY393" s="29" t="inlineStr">
        <is>
          <t>Not assessed</t>
        </is>
      </c>
      <c r="AZ393" s="29" t="inlineStr">
        <is>
          <t>Not assessed</t>
        </is>
      </c>
      <c r="BA393" s="29" t="inlineStr">
        <is>
          <t>Not assessed</t>
        </is>
      </c>
      <c r="BB393" s="29" t="inlineStr">
        <is>
          <t>Not assessed</t>
        </is>
      </c>
      <c r="BC393" s="29" t="inlineStr">
        <is>
          <t>Not assessed</t>
        </is>
      </c>
      <c r="BD393" s="29" t="inlineStr">
        <is>
          <t>Not assessed</t>
        </is>
      </c>
      <c r="BE393" s="29" t="inlineStr">
        <is>
          <t>Development required</t>
        </is>
      </c>
      <c r="BF393" s="29" t="inlineStr">
        <is>
          <t>Physical implementation is not complete against the stated requirement.; Searched source code for relevant keywords but found no evidence.</t>
        </is>
      </c>
      <c r="BG393" s="29" t="inlineStr"/>
      <c r="BH393" s="29" t="inlineStr"/>
      <c r="BI393" s="29" t="inlineStr"/>
      <c r="BJ393" s="29" t="inlineStr"/>
      <c r="BK393" s="29" t="inlineStr">
        <is>
          <t>Evidence reconciled against the reviewed source revision. No production approval is inferred from implementation or file presence.</t>
        </is>
      </c>
      <c r="BL393" s="29" t="inlineStr">
        <is>
          <t>2026-08-02</t>
        </is>
      </c>
    </row>
    <row r="394" ht="42" customHeight="1">
      <c r="A394" s="29" t="inlineStr">
        <is>
          <t>BLYP-19-013</t>
        </is>
      </c>
      <c r="B394" s="29" t="inlineStr"/>
      <c r="C394" s="29" t="inlineStr">
        <is>
          <t>Privacy-respecting analytics</t>
        </is>
      </c>
      <c r="D394" s="29" t="n">
        <v>19</v>
      </c>
      <c r="E394" s="29" t="n">
        <v>13</v>
      </c>
      <c r="F394" s="29" t="inlineStr">
        <is>
          <t>Non-functional requirement</t>
        </is>
      </c>
      <c r="G394" s="29" t="inlineStr">
        <is>
          <t>Feature-reliability analytics</t>
        </is>
      </c>
      <c r="H394" s="29" t="inlineStr">
        <is>
          <t>Feature-reliability analytics</t>
        </is>
      </c>
      <c r="I394" s="29" t="inlineStr">
        <is>
          <t>/home/ubuntu/blyp_product_requirements.md :: Section 19 — Privacy-respecting analytics</t>
        </is>
      </c>
      <c r="J394" s="29" t="inlineStr">
        <is>
          <t>/home/ubuntu/BLYP_COMPLETE_FEATURE_LIST.md:498</t>
        </is>
      </c>
      <c r="K394" s="29" t="inlineStr">
        <is>
          <t>Required</t>
        </is>
      </c>
      <c r="L394" s="29" t="inlineStr">
        <is>
          <t>Applicable BLYP member</t>
        </is>
      </c>
      <c r="M394" s="29" t="inlineStr">
        <is>
          <t>Production platform and operations</t>
        </is>
      </c>
      <c r="N394" s="29" t="inlineStr">
        <is>
          <t>Feature-reliability analytics</t>
        </is>
      </c>
      <c r="O394" s="29" t="inlineStr">
        <is>
          <t>Not explicitly defined in the product source; requires accountable product approval before production sign-off.</t>
        </is>
      </c>
      <c r="P394" s="29" t="inlineStr"/>
      <c r="Q394" s="29" t="inlineStr">
        <is>
          <t>Partial</t>
        </is>
      </c>
      <c r="R394" s="29" t="inlineStr"/>
      <c r="S394" s="29" t="inlineStr">
        <is>
          <t>Unknown</t>
        </is>
      </c>
      <c r="T394" s="29" t="inlineStr">
        <is>
          <t>Unknown</t>
        </is>
      </c>
      <c r="U394" s="29" t="inlineStr">
        <is>
          <t>Unknown</t>
        </is>
      </c>
      <c r="V394" s="29" t="inlineStr">
        <is>
          <t>Unknown</t>
        </is>
      </c>
      <c r="W394" s="29" t="inlineStr">
        <is>
          <t>Unknown</t>
        </is>
      </c>
      <c r="X394" s="29" t="inlineStr">
        <is>
          <t>Unknown</t>
        </is>
      </c>
      <c r="Y394" s="29" t="inlineStr">
        <is>
          <t>Unknown</t>
        </is>
      </c>
      <c r="Z394" s="29" t="inlineStr">
        <is>
          <t>Unknown</t>
        </is>
      </c>
      <c r="AA394" s="29" t="inlineStr">
        <is>
          <t>Unknown</t>
        </is>
      </c>
      <c r="AB394" s="29" t="inlineStr">
        <is>
          <t>Unknown</t>
        </is>
      </c>
      <c r="AC394" s="29" t="inlineStr"/>
      <c r="AD394" s="29" t="inlineStr"/>
      <c r="AE394" s="29" t="inlineStr">
        <is>
          <t>Unknown</t>
        </is>
      </c>
      <c r="AF394" s="29" t="inlineStr">
        <is>
          <t>No exact feature-level physical path was resolved from the reviewed evidence.</t>
        </is>
      </c>
      <c r="AG394" s="29" t="inlineStr">
        <is>
          <t>Unknown</t>
        </is>
      </c>
      <c r="AH394" s="29" t="inlineStr">
        <is>
          <t>Unknown</t>
        </is>
      </c>
      <c r="AI394" s="29" t="inlineStr">
        <is>
          <t>A prior area review labelled this 'Partial', but did not supply a feature-level physical mapping; the authoritative state is therefore Unknown.</t>
        </is>
      </c>
      <c r="AJ394" s="29" t="inlineStr">
        <is>
          <t>Unknown</t>
        </is>
      </c>
      <c r="AK394" s="29" t="inlineStr">
        <is>
          <t>EV-19-0010</t>
        </is>
      </c>
      <c r="AL394" s="29" t="inlineStr"/>
      <c r="AM394" s="29" t="inlineStr"/>
      <c r="AN394" s="29" t="inlineStr"/>
      <c r="AO394" s="29" t="inlineStr">
        <is>
          <t>8bc0dcb2a1da1b21368c5536aaeef829d587f316</t>
        </is>
      </c>
      <c r="AP394" s="29" t="inlineStr">
        <is>
          <t>Low</t>
        </is>
      </c>
      <c r="AQ394" s="29" t="inlineStr">
        <is>
          <t>Not assessed</t>
        </is>
      </c>
      <c r="AR394" s="29" t="inlineStr">
        <is>
          <t>Not assessed</t>
        </is>
      </c>
      <c r="AS394" s="29" t="inlineStr">
        <is>
          <t>Not assessed</t>
        </is>
      </c>
      <c r="AT394" s="29" t="inlineStr">
        <is>
          <t>Not assessed</t>
        </is>
      </c>
      <c r="AU394" s="29" t="inlineStr">
        <is>
          <t>Not assessed</t>
        </is>
      </c>
      <c r="AV394" s="29" t="inlineStr">
        <is>
          <t>Not assessed</t>
        </is>
      </c>
      <c r="AW394" s="29" t="inlineStr">
        <is>
          <t>Not assessed</t>
        </is>
      </c>
      <c r="AX394" s="29" t="inlineStr">
        <is>
          <t>Not assessed</t>
        </is>
      </c>
      <c r="AY394" s="29" t="inlineStr">
        <is>
          <t>Not assessed</t>
        </is>
      </c>
      <c r="AZ394" s="29" t="inlineStr">
        <is>
          <t>Not assessed</t>
        </is>
      </c>
      <c r="BA394" s="29" t="inlineStr">
        <is>
          <t>Not assessed</t>
        </is>
      </c>
      <c r="BB394" s="29" t="inlineStr">
        <is>
          <t>Not assessed</t>
        </is>
      </c>
      <c r="BC394" s="29" t="inlineStr">
        <is>
          <t>Not assessed</t>
        </is>
      </c>
      <c r="BD394" s="29" t="inlineStr">
        <is>
          <t>Not assessed</t>
        </is>
      </c>
      <c r="BE394" s="29" t="inlineStr">
        <is>
          <t>Not assessed</t>
        </is>
      </c>
      <c r="BF394" s="29" t="inlineStr">
        <is>
          <t>Production readiness cannot be assessed until the exact physical implementation and runtime path are traced.</t>
        </is>
      </c>
      <c r="BG394" s="29" t="inlineStr">
        <is>
          <t>Map the feature to exact client, server, data, worker and configuration locations, then verify its runtime path.</t>
        </is>
      </c>
      <c r="BH394" s="29" t="inlineStr"/>
      <c r="BI394" s="29" t="inlineStr"/>
      <c r="BJ394" s="29" t="inlineStr"/>
      <c r="BK394" s="29" t="inlineStr">
        <is>
          <t>Evidence reconciled against the reviewed source revision. No production approval is inferred from implementation or file presence.</t>
        </is>
      </c>
      <c r="BL394" s="29" t="inlineStr">
        <is>
          <t>2026-08-02</t>
        </is>
      </c>
    </row>
    <row r="395" ht="42" customHeight="1">
      <c r="A395" s="29" t="inlineStr">
        <is>
          <t>BLYP-19-014</t>
        </is>
      </c>
      <c r="B395" s="29" t="inlineStr"/>
      <c r="C395" s="29" t="inlineStr">
        <is>
          <t>Privacy-respecting analytics</t>
        </is>
      </c>
      <c r="D395" s="29" t="n">
        <v>19</v>
      </c>
      <c r="E395" s="29" t="n">
        <v>14</v>
      </c>
      <c r="F395" s="29" t="inlineStr">
        <is>
          <t>Feature</t>
        </is>
      </c>
      <c r="G395" s="29" t="inlineStr">
        <is>
          <t>Exclude private-message content</t>
        </is>
      </c>
      <c r="H395" s="29" t="inlineStr">
        <is>
          <t>Exclude private-message content</t>
        </is>
      </c>
      <c r="I395" s="29" t="inlineStr">
        <is>
          <t>/home/ubuntu/blyp_product_requirements.md :: Section 19 — Privacy-respecting analytics</t>
        </is>
      </c>
      <c r="J395" s="29" t="inlineStr">
        <is>
          <t>/home/ubuntu/BLYP_COMPLETE_FEATURE_LIST.md:499</t>
        </is>
      </c>
      <c r="K395" s="29" t="inlineStr">
        <is>
          <t>Required</t>
        </is>
      </c>
      <c r="L395" s="29" t="inlineStr">
        <is>
          <t>Applicable BLYP member</t>
        </is>
      </c>
      <c r="M395" s="29" t="inlineStr">
        <is>
          <t>BLYP mobile application and supporting production services</t>
        </is>
      </c>
      <c r="N395" s="29" t="inlineStr">
        <is>
          <t>Exclude private-message content</t>
        </is>
      </c>
      <c r="O395" s="29" t="inlineStr">
        <is>
          <t>Not explicitly defined in the product source; requires accountable product approval before production sign-off.</t>
        </is>
      </c>
      <c r="P395" s="29" t="inlineStr"/>
      <c r="Q395" s="29" t="inlineStr">
        <is>
          <t>Needs verification</t>
        </is>
      </c>
      <c r="R395" s="29" t="inlineStr"/>
      <c r="S395" s="29" t="inlineStr">
        <is>
          <t>Not found</t>
        </is>
      </c>
      <c r="T395" s="29" t="inlineStr">
        <is>
          <t>Unknown</t>
        </is>
      </c>
      <c r="U395" s="29" t="inlineStr">
        <is>
          <t>Unknown</t>
        </is>
      </c>
      <c r="V395" s="29" t="inlineStr">
        <is>
          <t>Unknown</t>
        </is>
      </c>
      <c r="W395" s="29" t="inlineStr">
        <is>
          <t>Unknown</t>
        </is>
      </c>
      <c r="X395" s="29" t="inlineStr">
        <is>
          <t>Unknown</t>
        </is>
      </c>
      <c r="Y395" s="29" t="inlineStr">
        <is>
          <t>Unknown</t>
        </is>
      </c>
      <c r="Z395" s="29" t="inlineStr">
        <is>
          <t>Unknown</t>
        </is>
      </c>
      <c r="AA395" s="29" t="inlineStr">
        <is>
          <t>Unknown</t>
        </is>
      </c>
      <c r="AB395" s="29" t="inlineStr">
        <is>
          <t>Unknown</t>
        </is>
      </c>
      <c r="AC395" s="29" t="inlineStr"/>
      <c r="AD395" s="29" t="inlineStr"/>
      <c r="AE395" s="29" t="inlineStr">
        <is>
          <t>Unknown</t>
        </is>
      </c>
      <c r="AF395" s="29" t="inlineStr"/>
      <c r="AG395" s="29" t="inlineStr">
        <is>
          <t>Unknown</t>
        </is>
      </c>
      <c r="AH395" s="29" t="inlineStr">
        <is>
          <t>Unknown</t>
        </is>
      </c>
      <c r="AI395" s="29" t="inlineStr">
        <is>
          <t>Searched source code for relevant keywords but found no evidence.</t>
        </is>
      </c>
      <c r="AJ395" s="29" t="inlineStr">
        <is>
          <t>Not verified</t>
        </is>
      </c>
      <c r="AK395" s="29" t="inlineStr"/>
      <c r="AL395" s="29" t="inlineStr"/>
      <c r="AM395" s="29" t="inlineStr"/>
      <c r="AN395" s="29" t="inlineStr"/>
      <c r="AO395" s="29" t="inlineStr">
        <is>
          <t>8bc0dcb2a1da1b21368c5536aaeef829d587f316</t>
        </is>
      </c>
      <c r="AP395" s="29" t="inlineStr">
        <is>
          <t>Medium</t>
        </is>
      </c>
      <c r="AQ395" s="29" t="inlineStr">
        <is>
          <t>Not assessed</t>
        </is>
      </c>
      <c r="AR395" s="29" t="inlineStr">
        <is>
          <t>Not assessed</t>
        </is>
      </c>
      <c r="AS395" s="29" t="inlineStr">
        <is>
          <t>Not assessed</t>
        </is>
      </c>
      <c r="AT395" s="29" t="inlineStr">
        <is>
          <t>Not assessed</t>
        </is>
      </c>
      <c r="AU395" s="29" t="inlineStr">
        <is>
          <t>Not assessed</t>
        </is>
      </c>
      <c r="AV395" s="29" t="inlineStr">
        <is>
          <t>Not assessed</t>
        </is>
      </c>
      <c r="AW395" s="29" t="inlineStr">
        <is>
          <t>Not assessed</t>
        </is>
      </c>
      <c r="AX395" s="29" t="inlineStr">
        <is>
          <t>Not assessed</t>
        </is>
      </c>
      <c r="AY395" s="29" t="inlineStr">
        <is>
          <t>Not assessed</t>
        </is>
      </c>
      <c r="AZ395" s="29" t="inlineStr">
        <is>
          <t>Not assessed</t>
        </is>
      </c>
      <c r="BA395" s="29" t="inlineStr">
        <is>
          <t>Not assessed</t>
        </is>
      </c>
      <c r="BB395" s="29" t="inlineStr">
        <is>
          <t>Not assessed</t>
        </is>
      </c>
      <c r="BC395" s="29" t="inlineStr">
        <is>
          <t>Not assessed</t>
        </is>
      </c>
      <c r="BD395" s="29" t="inlineStr">
        <is>
          <t>Not assessed</t>
        </is>
      </c>
      <c r="BE395" s="29" t="inlineStr">
        <is>
          <t>Development required</t>
        </is>
      </c>
      <c r="BF395" s="29" t="inlineStr">
        <is>
          <t>Physical implementation is not complete against the stated requirement.; Searched source code for relevant keywords but found no evidence.</t>
        </is>
      </c>
      <c r="BG395" s="29" t="inlineStr"/>
      <c r="BH395" s="29" t="inlineStr"/>
      <c r="BI395" s="29" t="inlineStr"/>
      <c r="BJ395" s="29" t="inlineStr"/>
      <c r="BK395" s="29" t="inlineStr">
        <is>
          <t>Evidence reconciled against the reviewed source revision. No production approval is inferred from implementation or file presence.</t>
        </is>
      </c>
      <c r="BL395" s="29" t="inlineStr">
        <is>
          <t>2026-08-02</t>
        </is>
      </c>
    </row>
    <row r="396" ht="42" customHeight="1">
      <c r="A396" s="29" t="inlineStr">
        <is>
          <t>BLYP-19-015</t>
        </is>
      </c>
      <c r="B396" s="29" t="inlineStr"/>
      <c r="C396" s="29" t="inlineStr">
        <is>
          <t>Privacy-respecting analytics</t>
        </is>
      </c>
      <c r="D396" s="29" t="n">
        <v>19</v>
      </c>
      <c r="E396" s="29" t="n">
        <v>15</v>
      </c>
      <c r="F396" s="29" t="inlineStr">
        <is>
          <t>Feature</t>
        </is>
      </c>
      <c r="G396" s="29" t="inlineStr">
        <is>
          <t>Exclude Dating conversations</t>
        </is>
      </c>
      <c r="H396" s="29" t="inlineStr">
        <is>
          <t>Exclude Dating conversations</t>
        </is>
      </c>
      <c r="I396" s="29" t="inlineStr">
        <is>
          <t>/home/ubuntu/blyp_product_requirements.md :: Section 19 — Privacy-respecting analytics</t>
        </is>
      </c>
      <c r="J396" s="29" t="inlineStr">
        <is>
          <t>/home/ubuntu/BLYP_COMPLETE_FEATURE_LIST.md:500</t>
        </is>
      </c>
      <c r="K396" s="29" t="inlineStr">
        <is>
          <t>Required</t>
        </is>
      </c>
      <c r="L396" s="29" t="inlineStr">
        <is>
          <t>Applicable BLYP member</t>
        </is>
      </c>
      <c r="M396" s="29" t="inlineStr">
        <is>
          <t>BLYP mobile application and supporting production services</t>
        </is>
      </c>
      <c r="N396" s="29" t="inlineStr">
        <is>
          <t>Exclude Dating conversations</t>
        </is>
      </c>
      <c r="O396" s="29" t="inlineStr">
        <is>
          <t>Not explicitly defined in the product source; requires accountable product approval before production sign-off.</t>
        </is>
      </c>
      <c r="P396" s="29" t="inlineStr"/>
      <c r="Q396" s="29" t="inlineStr">
        <is>
          <t>No evidence</t>
        </is>
      </c>
      <c r="R396" s="29" t="inlineStr"/>
      <c r="S396" s="29" t="inlineStr">
        <is>
          <t>Not found</t>
        </is>
      </c>
      <c r="T396" s="29" t="inlineStr">
        <is>
          <t>Unknown</t>
        </is>
      </c>
      <c r="U396" s="29" t="inlineStr">
        <is>
          <t>Unknown</t>
        </is>
      </c>
      <c r="V396" s="29" t="inlineStr">
        <is>
          <t>Unknown</t>
        </is>
      </c>
      <c r="W396" s="29" t="inlineStr">
        <is>
          <t>Unknown</t>
        </is>
      </c>
      <c r="X396" s="29" t="inlineStr">
        <is>
          <t>Unknown</t>
        </is>
      </c>
      <c r="Y396" s="29" t="inlineStr">
        <is>
          <t>Unknown</t>
        </is>
      </c>
      <c r="Z396" s="29" t="inlineStr">
        <is>
          <t>Unknown</t>
        </is>
      </c>
      <c r="AA396" s="29" t="inlineStr">
        <is>
          <t>Unknown</t>
        </is>
      </c>
      <c r="AB396" s="29" t="inlineStr">
        <is>
          <t>Unknown</t>
        </is>
      </c>
      <c r="AC396" s="29" t="inlineStr"/>
      <c r="AD396" s="29" t="inlineStr"/>
      <c r="AE396" s="29" t="inlineStr">
        <is>
          <t>Unknown</t>
        </is>
      </c>
      <c r="AF396" s="29" t="inlineStr"/>
      <c r="AG396" s="29" t="inlineStr">
        <is>
          <t>Unknown</t>
        </is>
      </c>
      <c r="AH396" s="29" t="inlineStr">
        <is>
          <t>Unknown</t>
        </is>
      </c>
      <c r="AI396" s="29" t="inlineStr">
        <is>
          <t>Searched source code for relevant keywords but found no evidence.</t>
        </is>
      </c>
      <c r="AJ396" s="29" t="inlineStr">
        <is>
          <t>Not verified</t>
        </is>
      </c>
      <c r="AK396" s="29" t="inlineStr"/>
      <c r="AL396" s="29" t="inlineStr"/>
      <c r="AM396" s="29" t="inlineStr"/>
      <c r="AN396" s="29" t="inlineStr"/>
      <c r="AO396" s="29" t="inlineStr">
        <is>
          <t>8bc0dcb2a1da1b21368c5536aaeef829d587f316</t>
        </is>
      </c>
      <c r="AP396" s="29" t="inlineStr">
        <is>
          <t>Medium</t>
        </is>
      </c>
      <c r="AQ396" s="29" t="inlineStr">
        <is>
          <t>Not assessed</t>
        </is>
      </c>
      <c r="AR396" s="29" t="inlineStr">
        <is>
          <t>Not assessed</t>
        </is>
      </c>
      <c r="AS396" s="29" t="inlineStr">
        <is>
          <t>Not assessed</t>
        </is>
      </c>
      <c r="AT396" s="29" t="inlineStr">
        <is>
          <t>Not assessed</t>
        </is>
      </c>
      <c r="AU396" s="29" t="inlineStr">
        <is>
          <t>Not assessed</t>
        </is>
      </c>
      <c r="AV396" s="29" t="inlineStr">
        <is>
          <t>Not assessed</t>
        </is>
      </c>
      <c r="AW396" s="29" t="inlineStr">
        <is>
          <t>Not assessed</t>
        </is>
      </c>
      <c r="AX396" s="29" t="inlineStr">
        <is>
          <t>Not assessed</t>
        </is>
      </c>
      <c r="AY396" s="29" t="inlineStr">
        <is>
          <t>Not assessed</t>
        </is>
      </c>
      <c r="AZ396" s="29" t="inlineStr">
        <is>
          <t>Not assessed</t>
        </is>
      </c>
      <c r="BA396" s="29" t="inlineStr">
        <is>
          <t>Not assessed</t>
        </is>
      </c>
      <c r="BB396" s="29" t="inlineStr">
        <is>
          <t>Not assessed</t>
        </is>
      </c>
      <c r="BC396" s="29" t="inlineStr">
        <is>
          <t>Not assessed</t>
        </is>
      </c>
      <c r="BD396" s="29" t="inlineStr">
        <is>
          <t>Not assessed</t>
        </is>
      </c>
      <c r="BE396" s="29" t="inlineStr">
        <is>
          <t>Development required</t>
        </is>
      </c>
      <c r="BF396" s="29" t="inlineStr">
        <is>
          <t>Physical implementation is not complete against the stated requirement.; Searched source code for relevant keywords but found no evidence.</t>
        </is>
      </c>
      <c r="BG396" s="29" t="inlineStr"/>
      <c r="BH396" s="29" t="inlineStr"/>
      <c r="BI396" s="29" t="inlineStr"/>
      <c r="BJ396" s="29" t="inlineStr"/>
      <c r="BK396" s="29" t="inlineStr">
        <is>
          <t>Evidence reconciled against the reviewed source revision. No production approval is inferred from implementation or file presence.</t>
        </is>
      </c>
      <c r="BL396" s="29" t="inlineStr">
        <is>
          <t>2026-08-02</t>
        </is>
      </c>
    </row>
    <row r="397" ht="42" customHeight="1">
      <c r="A397" s="29" t="inlineStr">
        <is>
          <t>BLYP-19-016</t>
        </is>
      </c>
      <c r="B397" s="29" t="inlineStr"/>
      <c r="C397" s="29" t="inlineStr">
        <is>
          <t>Privacy-respecting analytics</t>
        </is>
      </c>
      <c r="D397" s="29" t="n">
        <v>19</v>
      </c>
      <c r="E397" s="29" t="n">
        <v>16</v>
      </c>
      <c r="F397" s="29" t="inlineStr">
        <is>
          <t>Feature</t>
        </is>
      </c>
      <c r="G397" s="29" t="inlineStr">
        <is>
          <t>Minimise unnecessary personal information</t>
        </is>
      </c>
      <c r="H397" s="29" t="inlineStr">
        <is>
          <t>Minimise unnecessary personal information</t>
        </is>
      </c>
      <c r="I397" s="29" t="inlineStr">
        <is>
          <t>/home/ubuntu/blyp_product_requirements.md :: Section 19 — Privacy-respecting analytics</t>
        </is>
      </c>
      <c r="J397" s="29" t="inlineStr">
        <is>
          <t>/home/ubuntu/BLYP_COMPLETE_FEATURE_LIST.md:501</t>
        </is>
      </c>
      <c r="K397" s="29" t="inlineStr">
        <is>
          <t>Required</t>
        </is>
      </c>
      <c r="L397" s="29" t="inlineStr">
        <is>
          <t>Applicable BLYP member</t>
        </is>
      </c>
      <c r="M397" s="29" t="inlineStr">
        <is>
          <t>BLYP mobile application and supporting production services</t>
        </is>
      </c>
      <c r="N397" s="29" t="inlineStr">
        <is>
          <t>Minimise unnecessary personal information</t>
        </is>
      </c>
      <c r="O397" s="29" t="inlineStr">
        <is>
          <t>Not explicitly defined in the product source; requires accountable product approval before production sign-off.</t>
        </is>
      </c>
      <c r="P397" s="29" t="inlineStr"/>
      <c r="Q397" s="29" t="inlineStr">
        <is>
          <t>Needs verification</t>
        </is>
      </c>
      <c r="R397" s="29" t="inlineStr"/>
      <c r="S397" s="29" t="inlineStr">
        <is>
          <t>Unknown</t>
        </is>
      </c>
      <c r="T397" s="29" t="inlineStr">
        <is>
          <t>Unknown</t>
        </is>
      </c>
      <c r="U397" s="29" t="inlineStr">
        <is>
          <t>Unknown</t>
        </is>
      </c>
      <c r="V397" s="29" t="inlineStr">
        <is>
          <t>Unknown</t>
        </is>
      </c>
      <c r="W397" s="29" t="inlineStr">
        <is>
          <t>Unknown</t>
        </is>
      </c>
      <c r="X397" s="29" t="inlineStr">
        <is>
          <t>Unknown</t>
        </is>
      </c>
      <c r="Y397" s="29" t="inlineStr">
        <is>
          <t>Unknown</t>
        </is>
      </c>
      <c r="Z397" s="29" t="inlineStr">
        <is>
          <t>Unknown</t>
        </is>
      </c>
      <c r="AA397" s="29" t="inlineStr">
        <is>
          <t>Unknown</t>
        </is>
      </c>
      <c r="AB397" s="29" t="inlineStr">
        <is>
          <t>Unknown</t>
        </is>
      </c>
      <c r="AC397" s="29" t="inlineStr"/>
      <c r="AD397" s="29" t="inlineStr"/>
      <c r="AE397" s="29" t="inlineStr">
        <is>
          <t>Unknown</t>
        </is>
      </c>
      <c r="AF397" s="29" t="inlineStr">
        <is>
          <t>No exact feature-level physical path was resolved from the reviewed evidence.</t>
        </is>
      </c>
      <c r="AG397" s="29" t="inlineStr">
        <is>
          <t>Unknown</t>
        </is>
      </c>
      <c r="AH397" s="29" t="inlineStr">
        <is>
          <t>Unknown</t>
        </is>
      </c>
      <c r="AI397" s="29" t="inlineStr">
        <is>
          <t>A prior area review labelled this 'Partial', but did not supply a feature-level physical mapping; the authoritative state is therefore Unknown.</t>
        </is>
      </c>
      <c r="AJ397" s="29" t="inlineStr">
        <is>
          <t>Unknown</t>
        </is>
      </c>
      <c r="AK397" s="29" t="inlineStr">
        <is>
          <t>EV-19-0011</t>
        </is>
      </c>
      <c r="AL397" s="29" t="inlineStr"/>
      <c r="AM397" s="29" t="inlineStr"/>
      <c r="AN397" s="29" t="inlineStr"/>
      <c r="AO397" s="29" t="inlineStr">
        <is>
          <t>8bc0dcb2a1da1b21368c5536aaeef829d587f316</t>
        </is>
      </c>
      <c r="AP397" s="29" t="inlineStr">
        <is>
          <t>Low</t>
        </is>
      </c>
      <c r="AQ397" s="29" t="inlineStr">
        <is>
          <t>Not assessed</t>
        </is>
      </c>
      <c r="AR397" s="29" t="inlineStr">
        <is>
          <t>Not assessed</t>
        </is>
      </c>
      <c r="AS397" s="29" t="inlineStr">
        <is>
          <t>Not assessed</t>
        </is>
      </c>
      <c r="AT397" s="29" t="inlineStr">
        <is>
          <t>Not assessed</t>
        </is>
      </c>
      <c r="AU397" s="29" t="inlineStr">
        <is>
          <t>Not assessed</t>
        </is>
      </c>
      <c r="AV397" s="29" t="inlineStr">
        <is>
          <t>Not assessed</t>
        </is>
      </c>
      <c r="AW397" s="29" t="inlineStr">
        <is>
          <t>Not assessed</t>
        </is>
      </c>
      <c r="AX397" s="29" t="inlineStr">
        <is>
          <t>Not assessed</t>
        </is>
      </c>
      <c r="AY397" s="29" t="inlineStr">
        <is>
          <t>Not assessed</t>
        </is>
      </c>
      <c r="AZ397" s="29" t="inlineStr">
        <is>
          <t>Not assessed</t>
        </is>
      </c>
      <c r="BA397" s="29" t="inlineStr">
        <is>
          <t>Not assessed</t>
        </is>
      </c>
      <c r="BB397" s="29" t="inlineStr">
        <is>
          <t>Not assessed</t>
        </is>
      </c>
      <c r="BC397" s="29" t="inlineStr">
        <is>
          <t>Not assessed</t>
        </is>
      </c>
      <c r="BD397" s="29" t="inlineStr">
        <is>
          <t>Not assessed</t>
        </is>
      </c>
      <c r="BE397" s="29" t="inlineStr">
        <is>
          <t>Not assessed</t>
        </is>
      </c>
      <c r="BF397" s="29" t="inlineStr">
        <is>
          <t>Production readiness cannot be assessed until the exact physical implementation and runtime path are traced.</t>
        </is>
      </c>
      <c r="BG397" s="29" t="inlineStr">
        <is>
          <t>Map the feature to exact client, server, data, worker and configuration locations, then verify its runtime path.</t>
        </is>
      </c>
      <c r="BH397" s="29" t="inlineStr"/>
      <c r="BI397" s="29" t="inlineStr"/>
      <c r="BJ397" s="29" t="inlineStr"/>
      <c r="BK397" s="29" t="inlineStr">
        <is>
          <t>Evidence reconciled against the reviewed source revision. No production approval is inferred from implementation or file presence.</t>
        </is>
      </c>
      <c r="BL397" s="29" t="inlineStr">
        <is>
          <t>2026-08-02</t>
        </is>
      </c>
    </row>
    <row r="398" ht="42" customHeight="1">
      <c r="A398" s="29" t="inlineStr">
        <is>
          <t>BLYP-19-017</t>
        </is>
      </c>
      <c r="B398" s="29" t="inlineStr"/>
      <c r="C398" s="29" t="inlineStr">
        <is>
          <t>Privacy-respecting analytics</t>
        </is>
      </c>
      <c r="D398" s="29" t="n">
        <v>19</v>
      </c>
      <c r="E398" s="29" t="n">
        <v>17</v>
      </c>
      <c r="F398" s="29" t="inlineStr">
        <is>
          <t>Feature</t>
        </is>
      </c>
      <c r="G398" s="29" t="inlineStr">
        <is>
          <t>Plain-language analytics explanation</t>
        </is>
      </c>
      <c r="H398" s="29" t="inlineStr">
        <is>
          <t>Plain-language analytics explanation</t>
        </is>
      </c>
      <c r="I398" s="29" t="inlineStr">
        <is>
          <t>/home/ubuntu/blyp_product_requirements.md :: Section 19 — Privacy-respecting analytics</t>
        </is>
      </c>
      <c r="J398" s="29" t="inlineStr">
        <is>
          <t>/home/ubuntu/BLYP_COMPLETE_FEATURE_LIST.md:502</t>
        </is>
      </c>
      <c r="K398" s="29" t="inlineStr">
        <is>
          <t>Required</t>
        </is>
      </c>
      <c r="L398" s="29" t="inlineStr">
        <is>
          <t>Applicable BLYP member</t>
        </is>
      </c>
      <c r="M398" s="29" t="inlineStr">
        <is>
          <t>BLYP mobile application and supporting production services</t>
        </is>
      </c>
      <c r="N398" s="29" t="inlineStr">
        <is>
          <t>Plain-language analytics explanation</t>
        </is>
      </c>
      <c r="O398" s="29" t="inlineStr">
        <is>
          <t>Not explicitly defined in the product source; requires accountable product approval before production sign-off.</t>
        </is>
      </c>
      <c r="P398" s="29" t="inlineStr"/>
      <c r="Q398" s="29" t="inlineStr">
        <is>
          <t>No evidence</t>
        </is>
      </c>
      <c r="R398" s="29" t="inlineStr"/>
      <c r="S398" s="29" t="inlineStr">
        <is>
          <t>Not found</t>
        </is>
      </c>
      <c r="T398" s="29" t="inlineStr">
        <is>
          <t>Unknown</t>
        </is>
      </c>
      <c r="U398" s="29" t="inlineStr">
        <is>
          <t>Unknown</t>
        </is>
      </c>
      <c r="V398" s="29" t="inlineStr">
        <is>
          <t>Unknown</t>
        </is>
      </c>
      <c r="W398" s="29" t="inlineStr">
        <is>
          <t>Unknown</t>
        </is>
      </c>
      <c r="X398" s="29" t="inlineStr">
        <is>
          <t>Unknown</t>
        </is>
      </c>
      <c r="Y398" s="29" t="inlineStr">
        <is>
          <t>Unknown</t>
        </is>
      </c>
      <c r="Z398" s="29" t="inlineStr">
        <is>
          <t>Unknown</t>
        </is>
      </c>
      <c r="AA398" s="29" t="inlineStr">
        <is>
          <t>Unknown</t>
        </is>
      </c>
      <c r="AB398" s="29" t="inlineStr">
        <is>
          <t>Unknown</t>
        </is>
      </c>
      <c r="AC398" s="29" t="inlineStr"/>
      <c r="AD398" s="29" t="inlineStr"/>
      <c r="AE398" s="29" t="inlineStr">
        <is>
          <t>Unknown</t>
        </is>
      </c>
      <c r="AF398" s="29" t="inlineStr"/>
      <c r="AG398" s="29" t="inlineStr">
        <is>
          <t>Unknown</t>
        </is>
      </c>
      <c r="AH398" s="29" t="inlineStr">
        <is>
          <t>Unknown</t>
        </is>
      </c>
      <c r="AI398" s="29" t="inlineStr">
        <is>
          <t>Searched source code for relevant keywords but found no evidence.</t>
        </is>
      </c>
      <c r="AJ398" s="29" t="inlineStr">
        <is>
          <t>Not verified</t>
        </is>
      </c>
      <c r="AK398" s="29" t="inlineStr"/>
      <c r="AL398" s="29" t="inlineStr"/>
      <c r="AM398" s="29" t="inlineStr"/>
      <c r="AN398" s="29" t="inlineStr"/>
      <c r="AO398" s="29" t="inlineStr">
        <is>
          <t>8bc0dcb2a1da1b21368c5536aaeef829d587f316</t>
        </is>
      </c>
      <c r="AP398" s="29" t="inlineStr">
        <is>
          <t>Medium</t>
        </is>
      </c>
      <c r="AQ398" s="29" t="inlineStr">
        <is>
          <t>Not assessed</t>
        </is>
      </c>
      <c r="AR398" s="29" t="inlineStr">
        <is>
          <t>Not assessed</t>
        </is>
      </c>
      <c r="AS398" s="29" t="inlineStr">
        <is>
          <t>Not assessed</t>
        </is>
      </c>
      <c r="AT398" s="29" t="inlineStr">
        <is>
          <t>Not assessed</t>
        </is>
      </c>
      <c r="AU398" s="29" t="inlineStr">
        <is>
          <t>Not assessed</t>
        </is>
      </c>
      <c r="AV398" s="29" t="inlineStr">
        <is>
          <t>Not assessed</t>
        </is>
      </c>
      <c r="AW398" s="29" t="inlineStr">
        <is>
          <t>Not assessed</t>
        </is>
      </c>
      <c r="AX398" s="29" t="inlineStr">
        <is>
          <t>Not assessed</t>
        </is>
      </c>
      <c r="AY398" s="29" t="inlineStr">
        <is>
          <t>Not assessed</t>
        </is>
      </c>
      <c r="AZ398" s="29" t="inlineStr">
        <is>
          <t>Not assessed</t>
        </is>
      </c>
      <c r="BA398" s="29" t="inlineStr">
        <is>
          <t>Not assessed</t>
        </is>
      </c>
      <c r="BB398" s="29" t="inlineStr">
        <is>
          <t>Not assessed</t>
        </is>
      </c>
      <c r="BC398" s="29" t="inlineStr">
        <is>
          <t>Not assessed</t>
        </is>
      </c>
      <c r="BD398" s="29" t="inlineStr">
        <is>
          <t>Not assessed</t>
        </is>
      </c>
      <c r="BE398" s="29" t="inlineStr">
        <is>
          <t>Development required</t>
        </is>
      </c>
      <c r="BF398" s="29" t="inlineStr">
        <is>
          <t>Physical implementation is not complete against the stated requirement.; Searched source code for relevant keywords but found no evidence.</t>
        </is>
      </c>
      <c r="BG398" s="29" t="inlineStr"/>
      <c r="BH398" s="29" t="inlineStr"/>
      <c r="BI398" s="29" t="inlineStr"/>
      <c r="BJ398" s="29" t="inlineStr"/>
      <c r="BK398" s="29" t="inlineStr">
        <is>
          <t>Evidence reconciled against the reviewed source revision. No production approval is inferred from implementation or file presence.</t>
        </is>
      </c>
      <c r="BL398" s="29" t="inlineStr">
        <is>
          <t>2026-08-02</t>
        </is>
      </c>
    </row>
    <row r="399" ht="42" customHeight="1">
      <c r="A399" s="29" t="inlineStr">
        <is>
          <t>BLYP-19-018</t>
        </is>
      </c>
      <c r="B399" s="29" t="inlineStr"/>
      <c r="C399" s="29" t="inlineStr">
        <is>
          <t>Privacy-respecting analytics</t>
        </is>
      </c>
      <c r="D399" s="29" t="n">
        <v>19</v>
      </c>
      <c r="E399" s="29" t="n">
        <v>18</v>
      </c>
      <c r="F399" s="29" t="inlineStr">
        <is>
          <t>Feature</t>
        </is>
      </c>
      <c r="G399" s="29" t="inlineStr">
        <is>
          <t>Optional-diagnostics labelling</t>
        </is>
      </c>
      <c r="H399" s="29" t="inlineStr">
        <is>
          <t>Optional-diagnostics labelling</t>
        </is>
      </c>
      <c r="I399" s="29" t="inlineStr">
        <is>
          <t>/home/ubuntu/blyp_product_requirements.md :: Section 19 — Privacy-respecting analytics</t>
        </is>
      </c>
      <c r="J399" s="29" t="inlineStr">
        <is>
          <t>/home/ubuntu/BLYP_COMPLETE_FEATURE_LIST.md:503</t>
        </is>
      </c>
      <c r="K399" s="29" t="inlineStr">
        <is>
          <t>Required</t>
        </is>
      </c>
      <c r="L399" s="29" t="inlineStr">
        <is>
          <t>Applicable BLYP member</t>
        </is>
      </c>
      <c r="M399" s="29" t="inlineStr">
        <is>
          <t>BLYP mobile application and supporting production services</t>
        </is>
      </c>
      <c r="N399" s="29" t="inlineStr">
        <is>
          <t>Optional-diagnostics labelling</t>
        </is>
      </c>
      <c r="O399" s="29" t="inlineStr">
        <is>
          <t>Not explicitly defined in the product source; requires accountable product approval before production sign-off.</t>
        </is>
      </c>
      <c r="P399" s="29" t="inlineStr"/>
      <c r="Q399" s="29" t="inlineStr">
        <is>
          <t>No evidence</t>
        </is>
      </c>
      <c r="R399" s="29" t="inlineStr"/>
      <c r="S399" s="29" t="inlineStr">
        <is>
          <t>Not found</t>
        </is>
      </c>
      <c r="T399" s="29" t="inlineStr">
        <is>
          <t>Unknown</t>
        </is>
      </c>
      <c r="U399" s="29" t="inlineStr">
        <is>
          <t>Unknown</t>
        </is>
      </c>
      <c r="V399" s="29" t="inlineStr">
        <is>
          <t>Unknown</t>
        </is>
      </c>
      <c r="W399" s="29" t="inlineStr">
        <is>
          <t>Unknown</t>
        </is>
      </c>
      <c r="X399" s="29" t="inlineStr">
        <is>
          <t>Unknown</t>
        </is>
      </c>
      <c r="Y399" s="29" t="inlineStr">
        <is>
          <t>Unknown</t>
        </is>
      </c>
      <c r="Z399" s="29" t="inlineStr">
        <is>
          <t>Unknown</t>
        </is>
      </c>
      <c r="AA399" s="29" t="inlineStr">
        <is>
          <t>Unknown</t>
        </is>
      </c>
      <c r="AB399" s="29" t="inlineStr">
        <is>
          <t>Unknown</t>
        </is>
      </c>
      <c r="AC399" s="29" t="inlineStr"/>
      <c r="AD399" s="29" t="inlineStr"/>
      <c r="AE399" s="29" t="inlineStr">
        <is>
          <t>Unknown</t>
        </is>
      </c>
      <c r="AF399" s="29" t="inlineStr"/>
      <c r="AG399" s="29" t="inlineStr">
        <is>
          <t>Unknown</t>
        </is>
      </c>
      <c r="AH399" s="29" t="inlineStr">
        <is>
          <t>Unknown</t>
        </is>
      </c>
      <c r="AI399" s="29" t="inlineStr">
        <is>
          <t>Searched source code for relevant keywords but found no evidence.</t>
        </is>
      </c>
      <c r="AJ399" s="29" t="inlineStr">
        <is>
          <t>Not verified</t>
        </is>
      </c>
      <c r="AK399" s="29" t="inlineStr"/>
      <c r="AL399" s="29" t="inlineStr"/>
      <c r="AM399" s="29" t="inlineStr"/>
      <c r="AN399" s="29" t="inlineStr"/>
      <c r="AO399" s="29" t="inlineStr">
        <is>
          <t>8bc0dcb2a1da1b21368c5536aaeef829d587f316</t>
        </is>
      </c>
      <c r="AP399" s="29" t="inlineStr">
        <is>
          <t>Medium</t>
        </is>
      </c>
      <c r="AQ399" s="29" t="inlineStr">
        <is>
          <t>Not assessed</t>
        </is>
      </c>
      <c r="AR399" s="29" t="inlineStr">
        <is>
          <t>Not assessed</t>
        </is>
      </c>
      <c r="AS399" s="29" t="inlineStr">
        <is>
          <t>Not assessed</t>
        </is>
      </c>
      <c r="AT399" s="29" t="inlineStr">
        <is>
          <t>Not assessed</t>
        </is>
      </c>
      <c r="AU399" s="29" t="inlineStr">
        <is>
          <t>Not assessed</t>
        </is>
      </c>
      <c r="AV399" s="29" t="inlineStr">
        <is>
          <t>Not assessed</t>
        </is>
      </c>
      <c r="AW399" s="29" t="inlineStr">
        <is>
          <t>Not assessed</t>
        </is>
      </c>
      <c r="AX399" s="29" t="inlineStr">
        <is>
          <t>Not assessed</t>
        </is>
      </c>
      <c r="AY399" s="29" t="inlineStr">
        <is>
          <t>Not assessed</t>
        </is>
      </c>
      <c r="AZ399" s="29" t="inlineStr">
        <is>
          <t>Not assessed</t>
        </is>
      </c>
      <c r="BA399" s="29" t="inlineStr">
        <is>
          <t>Not assessed</t>
        </is>
      </c>
      <c r="BB399" s="29" t="inlineStr">
        <is>
          <t>Not assessed</t>
        </is>
      </c>
      <c r="BC399" s="29" t="inlineStr">
        <is>
          <t>Not assessed</t>
        </is>
      </c>
      <c r="BD399" s="29" t="inlineStr">
        <is>
          <t>Not assessed</t>
        </is>
      </c>
      <c r="BE399" s="29" t="inlineStr">
        <is>
          <t>Development required</t>
        </is>
      </c>
      <c r="BF399" s="29" t="inlineStr">
        <is>
          <t>Physical implementation is not complete against the stated requirement.; Searched source code for relevant keywords but found no evidence.</t>
        </is>
      </c>
      <c r="BG399" s="29" t="inlineStr"/>
      <c r="BH399" s="29" t="inlineStr"/>
      <c r="BI399" s="29" t="inlineStr"/>
      <c r="BJ399" s="29" t="inlineStr"/>
      <c r="BK399" s="29" t="inlineStr">
        <is>
          <t>Evidence reconciled against the reviewed source revision. No production approval is inferred from implementation or file presence.</t>
        </is>
      </c>
      <c r="BL399" s="29" t="inlineStr">
        <is>
          <t>2026-08-02</t>
        </is>
      </c>
    </row>
    <row r="400" ht="42" customHeight="1">
      <c r="A400" s="29" t="inlineStr">
        <is>
          <t>BLYP-19-019</t>
        </is>
      </c>
      <c r="B400" s="29" t="inlineStr"/>
      <c r="C400" s="29" t="inlineStr">
        <is>
          <t>Privacy-respecting analytics</t>
        </is>
      </c>
      <c r="D400" s="29" t="n">
        <v>19</v>
      </c>
      <c r="E400" s="29" t="n">
        <v>19</v>
      </c>
      <c r="F400" s="29" t="inlineStr">
        <is>
          <t>Feature</t>
        </is>
      </c>
      <c r="G400" s="29" t="inlineStr">
        <is>
          <t>Aggregated administrator trends</t>
        </is>
      </c>
      <c r="H400" s="29" t="inlineStr">
        <is>
          <t>Aggregated administrator trends</t>
        </is>
      </c>
      <c r="I400" s="29" t="inlineStr">
        <is>
          <t>/home/ubuntu/blyp_product_requirements.md :: Section 19 — Privacy-respecting analytics</t>
        </is>
      </c>
      <c r="J400" s="29" t="inlineStr">
        <is>
          <t>/home/ubuntu/BLYP_COMPLETE_FEATURE_LIST.md:504</t>
        </is>
      </c>
      <c r="K400" s="29" t="inlineStr">
        <is>
          <t>Required</t>
        </is>
      </c>
      <c r="L400" s="29" t="inlineStr">
        <is>
          <t>Authorized operator or accountable service owner</t>
        </is>
      </c>
      <c r="M400" s="29" t="inlineStr">
        <is>
          <t>BLYP mobile application and supporting production services</t>
        </is>
      </c>
      <c r="N400" s="29" t="inlineStr">
        <is>
          <t>Aggregated administrator trends</t>
        </is>
      </c>
      <c r="O400" s="29" t="inlineStr">
        <is>
          <t>Not explicitly defined in the product source; requires accountable product approval before production sign-off.</t>
        </is>
      </c>
      <c r="P400" s="29" t="inlineStr"/>
      <c r="Q400" s="29" t="inlineStr">
        <is>
          <t>Partial</t>
        </is>
      </c>
      <c r="R400" s="29" t="inlineStr"/>
      <c r="S400" s="29" t="inlineStr">
        <is>
          <t>Not found</t>
        </is>
      </c>
      <c r="T400" s="29" t="inlineStr">
        <is>
          <t>Unknown</t>
        </is>
      </c>
      <c r="U400" s="29" t="inlineStr">
        <is>
          <t>Unknown</t>
        </is>
      </c>
      <c r="V400" s="29" t="inlineStr">
        <is>
          <t>Unknown</t>
        </is>
      </c>
      <c r="W400" s="29" t="inlineStr">
        <is>
          <t>Unknown</t>
        </is>
      </c>
      <c r="X400" s="29" t="inlineStr">
        <is>
          <t>Unknown</t>
        </is>
      </c>
      <c r="Y400" s="29" t="inlineStr">
        <is>
          <t>Unknown</t>
        </is>
      </c>
      <c r="Z400" s="29" t="inlineStr">
        <is>
          <t>Unknown</t>
        </is>
      </c>
      <c r="AA400" s="29" t="inlineStr">
        <is>
          <t>Unknown</t>
        </is>
      </c>
      <c r="AB400" s="29" t="inlineStr">
        <is>
          <t>Unknown</t>
        </is>
      </c>
      <c r="AC400" s="29" t="inlineStr"/>
      <c r="AD400" s="29" t="inlineStr"/>
      <c r="AE400" s="29" t="inlineStr">
        <is>
          <t>Unknown</t>
        </is>
      </c>
      <c r="AF400" s="29" t="inlineStr"/>
      <c r="AG400" s="29" t="inlineStr">
        <is>
          <t>Unknown</t>
        </is>
      </c>
      <c r="AH400" s="29" t="inlineStr">
        <is>
          <t>Unknown</t>
        </is>
      </c>
      <c r="AI400" s="29" t="inlineStr">
        <is>
          <t>Searched source code for relevant keywords but found no evidence.</t>
        </is>
      </c>
      <c r="AJ400" s="29" t="inlineStr">
        <is>
          <t>Not verified</t>
        </is>
      </c>
      <c r="AK400" s="29" t="inlineStr"/>
      <c r="AL400" s="29" t="inlineStr"/>
      <c r="AM400" s="29" t="inlineStr"/>
      <c r="AN400" s="29" t="inlineStr"/>
      <c r="AO400" s="29" t="inlineStr">
        <is>
          <t>8bc0dcb2a1da1b21368c5536aaeef829d587f316</t>
        </is>
      </c>
      <c r="AP400" s="29" t="inlineStr">
        <is>
          <t>Medium</t>
        </is>
      </c>
      <c r="AQ400" s="29" t="inlineStr">
        <is>
          <t>Not assessed</t>
        </is>
      </c>
      <c r="AR400" s="29" t="inlineStr">
        <is>
          <t>Not assessed</t>
        </is>
      </c>
      <c r="AS400" s="29" t="inlineStr">
        <is>
          <t>Not assessed</t>
        </is>
      </c>
      <c r="AT400" s="29" t="inlineStr">
        <is>
          <t>Not assessed</t>
        </is>
      </c>
      <c r="AU400" s="29" t="inlineStr">
        <is>
          <t>Not assessed</t>
        </is>
      </c>
      <c r="AV400" s="29" t="inlineStr">
        <is>
          <t>Not assessed</t>
        </is>
      </c>
      <c r="AW400" s="29" t="inlineStr">
        <is>
          <t>Not assessed</t>
        </is>
      </c>
      <c r="AX400" s="29" t="inlineStr">
        <is>
          <t>Not assessed</t>
        </is>
      </c>
      <c r="AY400" s="29" t="inlineStr">
        <is>
          <t>Not assessed</t>
        </is>
      </c>
      <c r="AZ400" s="29" t="inlineStr">
        <is>
          <t>Not assessed</t>
        </is>
      </c>
      <c r="BA400" s="29" t="inlineStr">
        <is>
          <t>Not assessed</t>
        </is>
      </c>
      <c r="BB400" s="29" t="inlineStr">
        <is>
          <t>Not assessed</t>
        </is>
      </c>
      <c r="BC400" s="29" t="inlineStr">
        <is>
          <t>Not assessed</t>
        </is>
      </c>
      <c r="BD400" s="29" t="inlineStr">
        <is>
          <t>Not assessed</t>
        </is>
      </c>
      <c r="BE400" s="29" t="inlineStr">
        <is>
          <t>Development required</t>
        </is>
      </c>
      <c r="BF400" s="29" t="inlineStr">
        <is>
          <t>Physical implementation is not complete against the stated requirement.; Searched source code for relevant keywords but found no evidence.</t>
        </is>
      </c>
      <c r="BG400" s="29" t="inlineStr"/>
      <c r="BH400" s="29" t="inlineStr"/>
      <c r="BI400" s="29" t="inlineStr"/>
      <c r="BJ400" s="29" t="inlineStr"/>
      <c r="BK400" s="29" t="inlineStr">
        <is>
          <t>Evidence reconciled against the reviewed source revision. No production approval is inferred from implementation or file presence.</t>
        </is>
      </c>
      <c r="BL400" s="29" t="inlineStr">
        <is>
          <t>2026-08-02</t>
        </is>
      </c>
    </row>
    <row r="401" ht="42" customHeight="1">
      <c r="A401" s="29" t="inlineStr">
        <is>
          <t>BLYP-19-020</t>
        </is>
      </c>
      <c r="B401" s="29" t="inlineStr"/>
      <c r="C401" s="29" t="inlineStr">
        <is>
          <t>Privacy-respecting analytics</t>
        </is>
      </c>
      <c r="D401" s="29" t="n">
        <v>19</v>
      </c>
      <c r="E401" s="29" t="n">
        <v>20</v>
      </c>
      <c r="F401" s="29" t="inlineStr">
        <is>
          <t>Rule</t>
        </is>
      </c>
      <c r="G401" s="29" t="inlineStr">
        <is>
          <t>No third-party advertising trackers</t>
        </is>
      </c>
      <c r="H401" s="29" t="inlineStr">
        <is>
          <t>No third-party advertising trackers</t>
        </is>
      </c>
      <c r="I401" s="29" t="inlineStr">
        <is>
          <t>/home/ubuntu/blyp_product_requirements.md :: Section 19 — Privacy-respecting analytics</t>
        </is>
      </c>
      <c r="J401" s="29" t="inlineStr">
        <is>
          <t>/home/ubuntu/BLYP_COMPLETE_FEATURE_LIST.md:505</t>
        </is>
      </c>
      <c r="K401" s="29" t="inlineStr">
        <is>
          <t>Required</t>
        </is>
      </c>
      <c r="L401" s="29" t="inlineStr">
        <is>
          <t>Applicable BLYP member</t>
        </is>
      </c>
      <c r="M401" s="29" t="inlineStr">
        <is>
          <t>BLYP mobile application and supporting production services</t>
        </is>
      </c>
      <c r="N401" s="29" t="inlineStr">
        <is>
          <t>No third-party advertising trackers</t>
        </is>
      </c>
      <c r="O401" s="29" t="inlineStr">
        <is>
          <t>Not explicitly defined in the product source; requires accountable product approval before production sign-off.</t>
        </is>
      </c>
      <c r="P401" s="29" t="inlineStr"/>
      <c r="Q401" s="29" t="inlineStr">
        <is>
          <t>Needs verification</t>
        </is>
      </c>
      <c r="R401" s="29" t="inlineStr"/>
      <c r="S401" s="29" t="inlineStr">
        <is>
          <t>Unknown</t>
        </is>
      </c>
      <c r="T401" s="29" t="inlineStr">
        <is>
          <t>Unknown</t>
        </is>
      </c>
      <c r="U401" s="29" t="inlineStr">
        <is>
          <t>Unknown</t>
        </is>
      </c>
      <c r="V401" s="29" t="inlineStr">
        <is>
          <t>Unknown</t>
        </is>
      </c>
      <c r="W401" s="29" t="inlineStr">
        <is>
          <t>Unknown</t>
        </is>
      </c>
      <c r="X401" s="29" t="inlineStr">
        <is>
          <t>Unknown</t>
        </is>
      </c>
      <c r="Y401" s="29" t="inlineStr">
        <is>
          <t>Unknown</t>
        </is>
      </c>
      <c r="Z401" s="29" t="inlineStr">
        <is>
          <t>Unknown</t>
        </is>
      </c>
      <c r="AA401" s="29" t="inlineStr">
        <is>
          <t>Unknown</t>
        </is>
      </c>
      <c r="AB401" s="29" t="inlineStr">
        <is>
          <t>Unknown</t>
        </is>
      </c>
      <c r="AC401" s="29" t="inlineStr"/>
      <c r="AD401" s="29" t="inlineStr"/>
      <c r="AE401" s="29" t="inlineStr">
        <is>
          <t>Unknown</t>
        </is>
      </c>
      <c r="AF401" s="29" t="inlineStr">
        <is>
          <t>No exact feature-level physical path was resolved from the reviewed evidence.</t>
        </is>
      </c>
      <c r="AG401" s="29" t="inlineStr">
        <is>
          <t>Unknown</t>
        </is>
      </c>
      <c r="AH401" s="29" t="inlineStr">
        <is>
          <t>Unknown</t>
        </is>
      </c>
      <c r="AI401" s="29" t="inlineStr">
        <is>
          <t>A prior area review labelled this 'Partial', but did not supply a feature-level physical mapping; the authoritative state is therefore Unknown.</t>
        </is>
      </c>
      <c r="AJ401" s="29" t="inlineStr">
        <is>
          <t>Unknown</t>
        </is>
      </c>
      <c r="AK401" s="29" t="inlineStr">
        <is>
          <t>EV-19-0012</t>
        </is>
      </c>
      <c r="AL401" s="29" t="inlineStr"/>
      <c r="AM401" s="29" t="inlineStr"/>
      <c r="AN401" s="29" t="inlineStr"/>
      <c r="AO401" s="29" t="inlineStr">
        <is>
          <t>8bc0dcb2a1da1b21368c5536aaeef829d587f316</t>
        </is>
      </c>
      <c r="AP401" s="29" t="inlineStr">
        <is>
          <t>Low</t>
        </is>
      </c>
      <c r="AQ401" s="29" t="inlineStr">
        <is>
          <t>Not assessed</t>
        </is>
      </c>
      <c r="AR401" s="29" t="inlineStr">
        <is>
          <t>Not assessed</t>
        </is>
      </c>
      <c r="AS401" s="29" t="inlineStr">
        <is>
          <t>Not assessed</t>
        </is>
      </c>
      <c r="AT401" s="29" t="inlineStr">
        <is>
          <t>Not assessed</t>
        </is>
      </c>
      <c r="AU401" s="29" t="inlineStr">
        <is>
          <t>Not assessed</t>
        </is>
      </c>
      <c r="AV401" s="29" t="inlineStr">
        <is>
          <t>Not assessed</t>
        </is>
      </c>
      <c r="AW401" s="29" t="inlineStr">
        <is>
          <t>Not assessed</t>
        </is>
      </c>
      <c r="AX401" s="29" t="inlineStr">
        <is>
          <t>Not assessed</t>
        </is>
      </c>
      <c r="AY401" s="29" t="inlineStr">
        <is>
          <t>Not assessed</t>
        </is>
      </c>
      <c r="AZ401" s="29" t="inlineStr">
        <is>
          <t>Not assessed</t>
        </is>
      </c>
      <c r="BA401" s="29" t="inlineStr">
        <is>
          <t>Not assessed</t>
        </is>
      </c>
      <c r="BB401" s="29" t="inlineStr">
        <is>
          <t>Not assessed</t>
        </is>
      </c>
      <c r="BC401" s="29" t="inlineStr">
        <is>
          <t>Not assessed</t>
        </is>
      </c>
      <c r="BD401" s="29" t="inlineStr">
        <is>
          <t>Not assessed</t>
        </is>
      </c>
      <c r="BE401" s="29" t="inlineStr">
        <is>
          <t>Not assessed</t>
        </is>
      </c>
      <c r="BF401" s="29" t="inlineStr">
        <is>
          <t>Production readiness cannot be assessed until the exact physical implementation and runtime path are traced.</t>
        </is>
      </c>
      <c r="BG401" s="29" t="inlineStr">
        <is>
          <t>Map the feature to exact client, server, data, worker and configuration locations, then verify its runtime path.</t>
        </is>
      </c>
      <c r="BH401" s="29" t="inlineStr"/>
      <c r="BI401" s="29" t="inlineStr"/>
      <c r="BJ401" s="29" t="inlineStr"/>
      <c r="BK401" s="29" t="inlineStr">
        <is>
          <t>Evidence reconciled against the reviewed source revision. No production approval is inferred from implementation or file presence.</t>
        </is>
      </c>
      <c r="BL401" s="29" t="inlineStr">
        <is>
          <t>2026-08-02</t>
        </is>
      </c>
    </row>
    <row r="402" ht="42" customHeight="1">
      <c r="A402" s="29" t="inlineStr">
        <is>
          <t>BLYP-19-021</t>
        </is>
      </c>
      <c r="B402" s="29" t="inlineStr"/>
      <c r="C402" s="29" t="inlineStr">
        <is>
          <t>Privacy-respecting analytics</t>
        </is>
      </c>
      <c r="D402" s="29" t="n">
        <v>19</v>
      </c>
      <c r="E402" s="29" t="n">
        <v>21</v>
      </c>
      <c r="F402" s="29" t="inlineStr">
        <is>
          <t>Rule</t>
        </is>
      </c>
      <c r="G402" s="29" t="inlineStr">
        <is>
          <t>No sale of behavioural profiles</t>
        </is>
      </c>
      <c r="H402" s="29" t="inlineStr">
        <is>
          <t>No sale of behavioural profiles</t>
        </is>
      </c>
      <c r="I402" s="29" t="inlineStr">
        <is>
          <t>/home/ubuntu/blyp_product_requirements.md :: Section 19 — Privacy-respecting analytics</t>
        </is>
      </c>
      <c r="J402" s="29" t="inlineStr">
        <is>
          <t>/home/ubuntu/BLYP_COMPLETE_FEATURE_LIST.md:506</t>
        </is>
      </c>
      <c r="K402" s="29" t="inlineStr">
        <is>
          <t>Required</t>
        </is>
      </c>
      <c r="L402" s="29" t="inlineStr">
        <is>
          <t>Applicable BLYP member</t>
        </is>
      </c>
      <c r="M402" s="29" t="inlineStr">
        <is>
          <t>BLYP mobile application and supporting production services</t>
        </is>
      </c>
      <c r="N402" s="29" t="inlineStr">
        <is>
          <t>No sale of behavioural profiles</t>
        </is>
      </c>
      <c r="O402" s="29" t="inlineStr">
        <is>
          <t>Not explicitly defined in the product source; requires accountable product approval before production sign-off.</t>
        </is>
      </c>
      <c r="P402" s="29" t="inlineStr"/>
      <c r="Q402" s="29" t="inlineStr">
        <is>
          <t>Needs verification</t>
        </is>
      </c>
      <c r="R402" s="29" t="inlineStr"/>
      <c r="S402" s="29" t="inlineStr">
        <is>
          <t>Not found</t>
        </is>
      </c>
      <c r="T402" s="29" t="inlineStr">
        <is>
          <t>Unknown</t>
        </is>
      </c>
      <c r="U402" s="29" t="inlineStr">
        <is>
          <t>Unknown</t>
        </is>
      </c>
      <c r="V402" s="29" t="inlineStr">
        <is>
          <t>Unknown</t>
        </is>
      </c>
      <c r="W402" s="29" t="inlineStr">
        <is>
          <t>Unknown</t>
        </is>
      </c>
      <c r="X402" s="29" t="inlineStr">
        <is>
          <t>Unknown</t>
        </is>
      </c>
      <c r="Y402" s="29" t="inlineStr">
        <is>
          <t>Unknown</t>
        </is>
      </c>
      <c r="Z402" s="29" t="inlineStr">
        <is>
          <t>Unknown</t>
        </is>
      </c>
      <c r="AA402" s="29" t="inlineStr">
        <is>
          <t>Unknown</t>
        </is>
      </c>
      <c r="AB402" s="29" t="inlineStr">
        <is>
          <t>Unknown</t>
        </is>
      </c>
      <c r="AC402" s="29" t="inlineStr"/>
      <c r="AD402" s="29" t="inlineStr"/>
      <c r="AE402" s="29" t="inlineStr">
        <is>
          <t>Unknown</t>
        </is>
      </c>
      <c r="AF402" s="29" t="inlineStr"/>
      <c r="AG402" s="29" t="inlineStr">
        <is>
          <t>Unknown</t>
        </is>
      </c>
      <c r="AH402" s="29" t="inlineStr">
        <is>
          <t>Unknown</t>
        </is>
      </c>
      <c r="AI402" s="29" t="inlineStr">
        <is>
          <t>Searched source code for relevant keywords but found no evidence.</t>
        </is>
      </c>
      <c r="AJ402" s="29" t="inlineStr">
        <is>
          <t>Not verified</t>
        </is>
      </c>
      <c r="AK402" s="29" t="inlineStr"/>
      <c r="AL402" s="29" t="inlineStr"/>
      <c r="AM402" s="29" t="inlineStr"/>
      <c r="AN402" s="29" t="inlineStr"/>
      <c r="AO402" s="29" t="inlineStr">
        <is>
          <t>8bc0dcb2a1da1b21368c5536aaeef829d587f316</t>
        </is>
      </c>
      <c r="AP402" s="29" t="inlineStr">
        <is>
          <t>Medium</t>
        </is>
      </c>
      <c r="AQ402" s="29" t="inlineStr">
        <is>
          <t>Not assessed</t>
        </is>
      </c>
      <c r="AR402" s="29" t="inlineStr">
        <is>
          <t>Not assessed</t>
        </is>
      </c>
      <c r="AS402" s="29" t="inlineStr">
        <is>
          <t>Not assessed</t>
        </is>
      </c>
      <c r="AT402" s="29" t="inlineStr">
        <is>
          <t>Not assessed</t>
        </is>
      </c>
      <c r="AU402" s="29" t="inlineStr">
        <is>
          <t>Not assessed</t>
        </is>
      </c>
      <c r="AV402" s="29" t="inlineStr">
        <is>
          <t>Not assessed</t>
        </is>
      </c>
      <c r="AW402" s="29" t="inlineStr">
        <is>
          <t>Not assessed</t>
        </is>
      </c>
      <c r="AX402" s="29" t="inlineStr">
        <is>
          <t>Not assessed</t>
        </is>
      </c>
      <c r="AY402" s="29" t="inlineStr">
        <is>
          <t>Not assessed</t>
        </is>
      </c>
      <c r="AZ402" s="29" t="inlineStr">
        <is>
          <t>Not assessed</t>
        </is>
      </c>
      <c r="BA402" s="29" t="inlineStr">
        <is>
          <t>Not assessed</t>
        </is>
      </c>
      <c r="BB402" s="29" t="inlineStr">
        <is>
          <t>Not assessed</t>
        </is>
      </c>
      <c r="BC402" s="29" t="inlineStr">
        <is>
          <t>Not assessed</t>
        </is>
      </c>
      <c r="BD402" s="29" t="inlineStr">
        <is>
          <t>Not assessed</t>
        </is>
      </c>
      <c r="BE402" s="29" t="inlineStr">
        <is>
          <t>Development required</t>
        </is>
      </c>
      <c r="BF402" s="29" t="inlineStr">
        <is>
          <t>Physical implementation is not complete against the stated requirement.; Searched source code for relevant keywords but found no evidence.</t>
        </is>
      </c>
      <c r="BG402" s="29" t="inlineStr"/>
      <c r="BH402" s="29" t="inlineStr"/>
      <c r="BI402" s="29" t="inlineStr"/>
      <c r="BJ402" s="29" t="inlineStr"/>
      <c r="BK402" s="29" t="inlineStr">
        <is>
          <t>Evidence reconciled against the reviewed source revision. No production approval is inferred from implementation or file presence.</t>
        </is>
      </c>
      <c r="BL402" s="29" t="inlineStr">
        <is>
          <t>2026-08-02</t>
        </is>
      </c>
    </row>
    <row r="403" ht="42" customHeight="1">
      <c r="A403" s="29" t="inlineStr">
        <is>
          <t>BLYP-20-001</t>
        </is>
      </c>
      <c r="B403" s="29" t="inlineStr"/>
      <c r="C403" s="29" t="inlineStr">
        <is>
          <t>Accessibility and inclusive design</t>
        </is>
      </c>
      <c r="D403" s="29" t="n">
        <v>20</v>
      </c>
      <c r="E403" s="29" t="n">
        <v>1</v>
      </c>
      <c r="F403" s="29" t="inlineStr">
        <is>
          <t>Feature</t>
        </is>
      </c>
      <c r="G403" s="29" t="inlineStr">
        <is>
          <t>Captions for uploaded video</t>
        </is>
      </c>
      <c r="H403" s="29" t="inlineStr">
        <is>
          <t>Captions for uploaded video</t>
        </is>
      </c>
      <c r="I403" s="29" t="inlineStr">
        <is>
          <t>/home/ubuntu/blyp_product_requirements.md :: Section 20 — Accessibility and inclusive design</t>
        </is>
      </c>
      <c r="J403" s="29" t="inlineStr">
        <is>
          <t>/home/ubuntu/BLYP_COMPLETE_FEATURE_LIST.md:512</t>
        </is>
      </c>
      <c r="K403" s="29" t="inlineStr">
        <is>
          <t>Required</t>
        </is>
      </c>
      <c r="L403" s="29" t="inlineStr">
        <is>
          <t>Applicable BLYP member</t>
        </is>
      </c>
      <c r="M403" s="29" t="inlineStr">
        <is>
          <t>BLYP mobile application and supporting production services</t>
        </is>
      </c>
      <c r="N403" s="29" t="inlineStr">
        <is>
          <t>Captions for uploaded video</t>
        </is>
      </c>
      <c r="O403" s="29" t="inlineStr">
        <is>
          <t>Not explicitly defined in the product source; requires accountable product approval before production sign-off.</t>
        </is>
      </c>
      <c r="P403" s="29" t="inlineStr"/>
      <c r="Q403" s="29" t="inlineStr">
        <is>
          <t>Partial</t>
        </is>
      </c>
      <c r="R403" s="29" t="inlineStr"/>
      <c r="S403" s="29" t="inlineStr">
        <is>
          <t>Partial</t>
        </is>
      </c>
      <c r="T403" s="29" t="inlineStr">
        <is>
          <t>ReviewScreen.js</t>
        </is>
      </c>
      <c r="U403" s="29" t="inlineStr">
        <is>
          <t>ReviewScreen.js</t>
        </is>
      </c>
      <c r="V403" s="29" t="inlineStr">
        <is>
          <t>useState</t>
        </is>
      </c>
      <c r="W403" s="29" t="inlineStr">
        <is>
          <t>Not found</t>
        </is>
      </c>
      <c r="X403" s="29" t="inlineStr">
        <is>
          <t>Not found</t>
        </is>
      </c>
      <c r="Y403" s="29" t="inlineStr">
        <is>
          <t>Not found</t>
        </is>
      </c>
      <c r="Z403" s="29" t="inlineStr">
        <is>
          <t>Not found</t>
        </is>
      </c>
      <c r="AA403" s="29" t="inlineStr">
        <is>
          <t>Not found</t>
        </is>
      </c>
      <c r="AB403" s="29" t="inlineStr">
        <is>
          <t>Not found</t>
        </is>
      </c>
      <c r="AC403" s="29" t="inlineStr"/>
      <c r="AD403" s="29" t="inlineStr">
        <is>
          <t>Not found</t>
        </is>
      </c>
      <c r="AE403" s="29" t="inlineStr">
        <is>
          <t>User reachable</t>
        </is>
      </c>
      <c r="AF403" s="29" t="inlineStr">
        <is>
          <t>ReviewScreen.js</t>
        </is>
      </c>
      <c r="AG403" s="29" t="inlineStr">
        <is>
          <t>Incomplete</t>
        </is>
      </c>
      <c r="AH403" s="29" t="inlineStr">
        <is>
          <t>No</t>
        </is>
      </c>
      <c r="AI403" s="29" t="inlineStr">
        <is>
          <t>Not found</t>
        </is>
      </c>
      <c r="AJ403" s="29" t="inlineStr">
        <is>
          <t>Not verified</t>
        </is>
      </c>
      <c r="AK403" s="29" t="inlineStr">
        <is>
          <t>EV-20-0001</t>
        </is>
      </c>
      <c r="AL403" s="29" t="inlineStr"/>
      <c r="AM403" s="29" t="inlineStr"/>
      <c r="AN403" s="29" t="inlineStr"/>
      <c r="AO403" s="29" t="inlineStr">
        <is>
          <t>8bc0dcb2a1da1b21368c5536aaeef829d587f316</t>
        </is>
      </c>
      <c r="AP403" s="29" t="inlineStr">
        <is>
          <t>Medium</t>
        </is>
      </c>
      <c r="AQ403" s="29" t="inlineStr">
        <is>
          <t>Not assessed</t>
        </is>
      </c>
      <c r="AR403" s="29" t="inlineStr">
        <is>
          <t>Not assessed</t>
        </is>
      </c>
      <c r="AS403" s="29" t="inlineStr">
        <is>
          <t>Fail</t>
        </is>
      </c>
      <c r="AT403" s="29" t="inlineStr">
        <is>
          <t>Not assessed</t>
        </is>
      </c>
      <c r="AU403" s="29" t="inlineStr">
        <is>
          <t>Not assessed</t>
        </is>
      </c>
      <c r="AV403" s="29" t="inlineStr">
        <is>
          <t>Not assessed</t>
        </is>
      </c>
      <c r="AW403" s="29" t="inlineStr">
        <is>
          <t>Not assessed</t>
        </is>
      </c>
      <c r="AX403" s="29" t="inlineStr">
        <is>
          <t>Not assessed</t>
        </is>
      </c>
      <c r="AY403" s="29" t="inlineStr">
        <is>
          <t>Not assessed</t>
        </is>
      </c>
      <c r="AZ403" s="29" t="inlineStr">
        <is>
          <t>Not assessed</t>
        </is>
      </c>
      <c r="BA403" s="29" t="inlineStr">
        <is>
          <t>Not assessed</t>
        </is>
      </c>
      <c r="BB403" s="29" t="inlineStr">
        <is>
          <t>Not assessed</t>
        </is>
      </c>
      <c r="BC403" s="29" t="inlineStr">
        <is>
          <t>Not assessed</t>
        </is>
      </c>
      <c r="BD403" s="29" t="inlineStr">
        <is>
          <t>Not assessed</t>
        </is>
      </c>
      <c r="BE403" s="29" t="inlineStr">
        <is>
          <t>Development required</t>
        </is>
      </c>
      <c r="BF403" s="29" t="inlineStr">
        <is>
          <t>Not assessed; Physical implementation is not complete against the stated requirement.</t>
        </is>
      </c>
      <c r="BG403" s="29" t="inlineStr">
        <is>
          <t>Not assessed</t>
        </is>
      </c>
      <c r="BH403" s="29" t="inlineStr"/>
      <c r="BI403" s="29" t="inlineStr"/>
      <c r="BJ403" s="29" t="inlineStr"/>
      <c r="BK403" s="29" t="inlineStr">
        <is>
          <t>Evidence reconciled against the reviewed source revision. No production approval is inferred from implementation or file presence.</t>
        </is>
      </c>
      <c r="BL403" s="29" t="inlineStr">
        <is>
          <t>2026-08-02</t>
        </is>
      </c>
    </row>
    <row r="404" ht="42" customHeight="1">
      <c r="A404" s="29" t="inlineStr">
        <is>
          <t>BLYP-20-002</t>
        </is>
      </c>
      <c r="B404" s="29" t="inlineStr"/>
      <c r="C404" s="29" t="inlineStr">
        <is>
          <t>Accessibility and inclusive design</t>
        </is>
      </c>
      <c r="D404" s="29" t="n">
        <v>20</v>
      </c>
      <c r="E404" s="29" t="n">
        <v>2</v>
      </c>
      <c r="F404" s="29" t="inlineStr">
        <is>
          <t>Feature</t>
        </is>
      </c>
      <c r="G404" s="29" t="inlineStr">
        <is>
          <t>Captions for live video</t>
        </is>
      </c>
      <c r="H404" s="29" t="inlineStr">
        <is>
          <t>Captions for live video</t>
        </is>
      </c>
      <c r="I404" s="29" t="inlineStr">
        <is>
          <t>/home/ubuntu/blyp_product_requirements.md :: Section 20 — Accessibility and inclusive design</t>
        </is>
      </c>
      <c r="J404" s="29" t="inlineStr">
        <is>
          <t>/home/ubuntu/BLYP_COMPLETE_FEATURE_LIST.md:513</t>
        </is>
      </c>
      <c r="K404" s="29" t="inlineStr">
        <is>
          <t>Required</t>
        </is>
      </c>
      <c r="L404" s="29" t="inlineStr">
        <is>
          <t>Applicable BLYP member</t>
        </is>
      </c>
      <c r="M404" s="29" t="inlineStr">
        <is>
          <t>BLYP mobile application and supporting production services</t>
        </is>
      </c>
      <c r="N404" s="29" t="inlineStr">
        <is>
          <t>Captions for live video</t>
        </is>
      </c>
      <c r="O404" s="29" t="inlineStr">
        <is>
          <t>Not explicitly defined in the product source; requires accountable product approval before production sign-off.</t>
        </is>
      </c>
      <c r="P404" s="29" t="inlineStr"/>
      <c r="Q404" s="29" t="inlineStr">
        <is>
          <t>No evidence</t>
        </is>
      </c>
      <c r="R404" s="29" t="inlineStr"/>
      <c r="S404" s="29" t="inlineStr">
        <is>
          <t>Not found</t>
        </is>
      </c>
      <c r="T404" s="29" t="inlineStr">
        <is>
          <t>Unknown</t>
        </is>
      </c>
      <c r="U404" s="29" t="inlineStr">
        <is>
          <t>Unknown</t>
        </is>
      </c>
      <c r="V404" s="29" t="inlineStr">
        <is>
          <t>Unknown</t>
        </is>
      </c>
      <c r="W404" s="29" t="inlineStr">
        <is>
          <t>Unknown</t>
        </is>
      </c>
      <c r="X404" s="29" t="inlineStr">
        <is>
          <t>Unknown</t>
        </is>
      </c>
      <c r="Y404" s="29" t="inlineStr">
        <is>
          <t>Unknown</t>
        </is>
      </c>
      <c r="Z404" s="29" t="inlineStr">
        <is>
          <t>Unknown</t>
        </is>
      </c>
      <c r="AA404" s="29" t="inlineStr">
        <is>
          <t>Unknown</t>
        </is>
      </c>
      <c r="AB404" s="29" t="inlineStr">
        <is>
          <t>Unknown</t>
        </is>
      </c>
      <c r="AC404" s="29" t="inlineStr"/>
      <c r="AD404" s="29" t="inlineStr">
        <is>
          <t>Unknown</t>
        </is>
      </c>
      <c r="AE404" s="29" t="inlineStr">
        <is>
          <t>Unknown</t>
        </is>
      </c>
      <c r="AF404" s="29" t="inlineStr"/>
      <c r="AG404" s="29" t="inlineStr">
        <is>
          <t>Unknown</t>
        </is>
      </c>
      <c r="AH404" s="29" t="inlineStr">
        <is>
          <t>Unknown</t>
        </is>
      </c>
      <c r="AI404" s="29" t="inlineStr">
        <is>
          <t>Searched for caption in LiveStreamScreen.js and LiveStreamViewer.js</t>
        </is>
      </c>
      <c r="AJ404" s="29" t="inlineStr">
        <is>
          <t>Not verified</t>
        </is>
      </c>
      <c r="AK404" s="29" t="inlineStr"/>
      <c r="AL404" s="29" t="inlineStr"/>
      <c r="AM404" s="29" t="inlineStr"/>
      <c r="AN404" s="29" t="inlineStr"/>
      <c r="AO404" s="29" t="inlineStr">
        <is>
          <t>8bc0dcb2a1da1b21368c5536aaeef829d587f316</t>
        </is>
      </c>
      <c r="AP404" s="29" t="inlineStr">
        <is>
          <t>High</t>
        </is>
      </c>
      <c r="AQ404" s="29" t="inlineStr">
        <is>
          <t>Not assessed</t>
        </is>
      </c>
      <c r="AR404" s="29" t="inlineStr">
        <is>
          <t>Not assessed</t>
        </is>
      </c>
      <c r="AS404" s="29" t="inlineStr">
        <is>
          <t>Not assessed</t>
        </is>
      </c>
      <c r="AT404" s="29" t="inlineStr">
        <is>
          <t>Not assessed</t>
        </is>
      </c>
      <c r="AU404" s="29" t="inlineStr">
        <is>
          <t>Not assessed</t>
        </is>
      </c>
      <c r="AV404" s="29" t="inlineStr">
        <is>
          <t>Not assessed</t>
        </is>
      </c>
      <c r="AW404" s="29" t="inlineStr">
        <is>
          <t>Not assessed</t>
        </is>
      </c>
      <c r="AX404" s="29" t="inlineStr">
        <is>
          <t>Not assessed</t>
        </is>
      </c>
      <c r="AY404" s="29" t="inlineStr">
        <is>
          <t>Not assessed</t>
        </is>
      </c>
      <c r="AZ404" s="29" t="inlineStr">
        <is>
          <t>Not assessed</t>
        </is>
      </c>
      <c r="BA404" s="29" t="inlineStr">
        <is>
          <t>Not assessed</t>
        </is>
      </c>
      <c r="BB404" s="29" t="inlineStr">
        <is>
          <t>Not assessed</t>
        </is>
      </c>
      <c r="BC404" s="29" t="inlineStr">
        <is>
          <t>Not assessed</t>
        </is>
      </c>
      <c r="BD404" s="29" t="inlineStr">
        <is>
          <t>Not assessed</t>
        </is>
      </c>
      <c r="BE404" s="29" t="inlineStr">
        <is>
          <t>Development required</t>
        </is>
      </c>
      <c r="BF404" s="29" t="inlineStr">
        <is>
          <t>Not assessed; Physical implementation is not complete against the stated requirement.; Searched for caption in LiveStreamScreen.js and LiveStreamViewer.js</t>
        </is>
      </c>
      <c r="BG404" s="29" t="inlineStr">
        <is>
          <t>Not assessed</t>
        </is>
      </c>
      <c r="BH404" s="29" t="inlineStr"/>
      <c r="BI404" s="29" t="inlineStr"/>
      <c r="BJ404" s="29" t="inlineStr"/>
      <c r="BK404" s="29" t="inlineStr">
        <is>
          <t>Evidence reconciled against the reviewed source revision. No production approval is inferred from implementation or file presence.</t>
        </is>
      </c>
      <c r="BL404" s="29" t="inlineStr">
        <is>
          <t>2026-08-02</t>
        </is>
      </c>
    </row>
    <row r="405" ht="42" customHeight="1">
      <c r="A405" s="29" t="inlineStr">
        <is>
          <t>BLYP-20-003</t>
        </is>
      </c>
      <c r="B405" s="29" t="inlineStr"/>
      <c r="C405" s="29" t="inlineStr">
        <is>
          <t>Accessibility and inclusive design</t>
        </is>
      </c>
      <c r="D405" s="29" t="n">
        <v>20</v>
      </c>
      <c r="E405" s="29" t="n">
        <v>3</v>
      </c>
      <c r="F405" s="29" t="inlineStr">
        <is>
          <t>Feature</t>
        </is>
      </c>
      <c r="G405" s="29" t="inlineStr">
        <is>
          <t>Editable AI-generated captions</t>
        </is>
      </c>
      <c r="H405" s="29" t="inlineStr">
        <is>
          <t>Editable AI-generated captions</t>
        </is>
      </c>
      <c r="I405" s="29" t="inlineStr">
        <is>
          <t>/home/ubuntu/blyp_product_requirements.md :: Section 20 — Accessibility and inclusive design</t>
        </is>
      </c>
      <c r="J405" s="29" t="inlineStr">
        <is>
          <t>/home/ubuntu/BLYP_COMPLETE_FEATURE_LIST.md:514</t>
        </is>
      </c>
      <c r="K405" s="29" t="inlineStr">
        <is>
          <t>Required</t>
        </is>
      </c>
      <c r="L405" s="29" t="inlineStr">
        <is>
          <t>Applicable BLYP member</t>
        </is>
      </c>
      <c r="M405" s="29" t="inlineStr">
        <is>
          <t>BLYP mobile application and supporting production services</t>
        </is>
      </c>
      <c r="N405" s="29" t="inlineStr">
        <is>
          <t>Editable AI-generated captions</t>
        </is>
      </c>
      <c r="O405" s="29" t="inlineStr">
        <is>
          <t>Not explicitly defined in the product source; requires accountable product approval before production sign-off.</t>
        </is>
      </c>
      <c r="P405" s="29" t="inlineStr"/>
      <c r="Q405" s="29" t="inlineStr">
        <is>
          <t>Yes</t>
        </is>
      </c>
      <c r="R405" s="29" t="inlineStr"/>
      <c r="S405" s="29" t="inlineStr">
        <is>
          <t>End-to-end present</t>
        </is>
      </c>
      <c r="T405" s="29" t="inlineStr">
        <is>
          <t>ReviewScreen.js</t>
        </is>
      </c>
      <c r="U405" s="29" t="inlineStr">
        <is>
          <t>ReviewScreen.js</t>
        </is>
      </c>
      <c r="V405" s="29" t="inlineStr">
        <is>
          <t>useState</t>
        </is>
      </c>
      <c r="W405" s="29" t="inlineStr">
        <is>
          <t>Not found</t>
        </is>
      </c>
      <c r="X405" s="29" t="inlineStr">
        <is>
          <t>Not found</t>
        </is>
      </c>
      <c r="Y405" s="29" t="inlineStr">
        <is>
          <t>Not found</t>
        </is>
      </c>
      <c r="Z405" s="29" t="inlineStr">
        <is>
          <t>Not found</t>
        </is>
      </c>
      <c r="AA405" s="29" t="inlineStr">
        <is>
          <t>Not found</t>
        </is>
      </c>
      <c r="AB405" s="29" t="inlineStr">
        <is>
          <t>Not found</t>
        </is>
      </c>
      <c r="AC405" s="29" t="inlineStr"/>
      <c r="AD405" s="29" t="inlineStr">
        <is>
          <t>Not found</t>
        </is>
      </c>
      <c r="AE405" s="29" t="inlineStr">
        <is>
          <t>User reachable</t>
        </is>
      </c>
      <c r="AF405" s="29" t="inlineStr">
        <is>
          <t>ReviewScreen.js</t>
        </is>
      </c>
      <c r="AG405" s="29" t="inlineStr">
        <is>
          <t>Complete against stated requirement</t>
        </is>
      </c>
      <c r="AH405" s="29" t="inlineStr">
        <is>
          <t>Yes</t>
        </is>
      </c>
      <c r="AI405" s="29" t="inlineStr">
        <is>
          <t>Not found</t>
        </is>
      </c>
      <c r="AJ405" s="29" t="inlineStr">
        <is>
          <t>Not verified</t>
        </is>
      </c>
      <c r="AK405" s="29" t="inlineStr">
        <is>
          <t>EV-20-0002</t>
        </is>
      </c>
      <c r="AL405" s="29" t="inlineStr"/>
      <c r="AM405" s="29" t="inlineStr"/>
      <c r="AN405" s="29" t="inlineStr"/>
      <c r="AO405" s="29" t="inlineStr">
        <is>
          <t>8bc0dcb2a1da1b21368c5536aaeef829d587f316</t>
        </is>
      </c>
      <c r="AP405" s="29" t="inlineStr">
        <is>
          <t>High</t>
        </is>
      </c>
      <c r="AQ405" s="29" t="inlineStr">
        <is>
          <t>Not assessed</t>
        </is>
      </c>
      <c r="AR405" s="29" t="inlineStr">
        <is>
          <t>Not assessed</t>
        </is>
      </c>
      <c r="AS405" s="29" t="inlineStr">
        <is>
          <t>Not assessed</t>
        </is>
      </c>
      <c r="AT405" s="29" t="inlineStr">
        <is>
          <t>Not assessed</t>
        </is>
      </c>
      <c r="AU405" s="29" t="inlineStr">
        <is>
          <t>Not assessed</t>
        </is>
      </c>
      <c r="AV405" s="29" t="inlineStr">
        <is>
          <t>Not assessed</t>
        </is>
      </c>
      <c r="AW405" s="29" t="inlineStr">
        <is>
          <t>Not assessed</t>
        </is>
      </c>
      <c r="AX405" s="29" t="inlineStr">
        <is>
          <t>Not assessed</t>
        </is>
      </c>
      <c r="AY405" s="29" t="inlineStr">
        <is>
          <t>Not assessed</t>
        </is>
      </c>
      <c r="AZ405" s="29" t="inlineStr">
        <is>
          <t>Not assessed</t>
        </is>
      </c>
      <c r="BA405" s="29" t="inlineStr">
        <is>
          <t>Not assessed</t>
        </is>
      </c>
      <c r="BB405" s="29" t="inlineStr">
        <is>
          <t>Not assessed</t>
        </is>
      </c>
      <c r="BC405" s="29" t="inlineStr">
        <is>
          <t>Not assessed</t>
        </is>
      </c>
      <c r="BD405" s="29" t="inlineStr">
        <is>
          <t>Not assessed</t>
        </is>
      </c>
      <c r="BE405" s="29" t="inlineStr">
        <is>
          <t>Ready for production validation</t>
        </is>
      </c>
      <c r="BF405" s="29" t="inlineStr">
        <is>
          <t>Not assessed; Applicable production gates and acceptance checks have not been completed on an approved release candidate.</t>
        </is>
      </c>
      <c r="BG405" s="29" t="inlineStr">
        <is>
          <t>Not assessed</t>
        </is>
      </c>
      <c r="BH405" s="29" t="inlineStr"/>
      <c r="BI405" s="29" t="inlineStr"/>
      <c r="BJ405" s="29" t="inlineStr"/>
      <c r="BK405" s="29" t="inlineStr">
        <is>
          <t>Evidence reconciled against the reviewed source revision. No production approval is inferred from implementation or file presence.</t>
        </is>
      </c>
      <c r="BL405" s="29" t="inlineStr">
        <is>
          <t>2026-08-02</t>
        </is>
      </c>
    </row>
    <row r="406" ht="42" customHeight="1">
      <c r="A406" s="29" t="inlineStr">
        <is>
          <t>BLYP-20-004</t>
        </is>
      </c>
      <c r="B406" s="29" t="inlineStr"/>
      <c r="C406" s="29" t="inlineStr">
        <is>
          <t>Accessibility and inclusive design</t>
        </is>
      </c>
      <c r="D406" s="29" t="n">
        <v>20</v>
      </c>
      <c r="E406" s="29" t="n">
        <v>4</v>
      </c>
      <c r="F406" s="29" t="inlineStr">
        <is>
          <t>Feature</t>
        </is>
      </c>
      <c r="G406" s="29" t="inlineStr">
        <is>
          <t>Screen-reader semantics</t>
        </is>
      </c>
      <c r="H406" s="29" t="inlineStr">
        <is>
          <t>Screen-reader semantics</t>
        </is>
      </c>
      <c r="I406" s="29" t="inlineStr">
        <is>
          <t>/home/ubuntu/blyp_product_requirements.md :: Section 20 — Accessibility and inclusive design</t>
        </is>
      </c>
      <c r="J406" s="29" t="inlineStr">
        <is>
          <t>/home/ubuntu/BLYP_COMPLETE_FEATURE_LIST.md:515</t>
        </is>
      </c>
      <c r="K406" s="29" t="inlineStr">
        <is>
          <t>Required</t>
        </is>
      </c>
      <c r="L406" s="29" t="inlineStr">
        <is>
          <t>Applicable BLYP member</t>
        </is>
      </c>
      <c r="M406" s="29" t="inlineStr">
        <is>
          <t>BLYP mobile application and supporting production services</t>
        </is>
      </c>
      <c r="N406" s="29" t="inlineStr">
        <is>
          <t>Screen-reader semantics</t>
        </is>
      </c>
      <c r="O406" s="29" t="inlineStr">
        <is>
          <t>Not explicitly defined in the product source; requires accountable product approval before production sign-off.</t>
        </is>
      </c>
      <c r="P406" s="29" t="inlineStr"/>
      <c r="Q406" s="29" t="inlineStr">
        <is>
          <t>Partial</t>
        </is>
      </c>
      <c r="R406" s="29" t="inlineStr"/>
      <c r="S406" s="29" t="inlineStr">
        <is>
          <t>Partial</t>
        </is>
      </c>
      <c r="T406" s="29" t="inlineStr">
        <is>
          <t>CreatePostButton.js</t>
        </is>
      </c>
      <c r="U406" s="29" t="inlineStr">
        <is>
          <t>CreatePostButton.js</t>
        </is>
      </c>
      <c r="V406" s="29" t="inlineStr">
        <is>
          <t>Not found</t>
        </is>
      </c>
      <c r="W406" s="29" t="inlineStr">
        <is>
          <t>Not found</t>
        </is>
      </c>
      <c r="X406" s="29" t="inlineStr">
        <is>
          <t>Not found</t>
        </is>
      </c>
      <c r="Y406" s="29" t="inlineStr">
        <is>
          <t>Not found</t>
        </is>
      </c>
      <c r="Z406" s="29" t="inlineStr">
        <is>
          <t>Not found</t>
        </is>
      </c>
      <c r="AA406" s="29" t="inlineStr">
        <is>
          <t>Not found</t>
        </is>
      </c>
      <c r="AB406" s="29" t="inlineStr">
        <is>
          <t>Not found</t>
        </is>
      </c>
      <c r="AC406" s="29" t="inlineStr"/>
      <c r="AD406" s="29" t="inlineStr">
        <is>
          <t>Not found</t>
        </is>
      </c>
      <c r="AE406" s="29" t="inlineStr">
        <is>
          <t>User reachable</t>
        </is>
      </c>
      <c r="AF406" s="29" t="inlineStr">
        <is>
          <t>CreatePostButton.js</t>
        </is>
      </c>
      <c r="AG406" s="29" t="inlineStr">
        <is>
          <t>Incomplete</t>
        </is>
      </c>
      <c r="AH406" s="29" t="inlineStr">
        <is>
          <t>No</t>
        </is>
      </c>
      <c r="AI406" s="29" t="inlineStr">
        <is>
          <t>Not found</t>
        </is>
      </c>
      <c r="AJ406" s="29" t="inlineStr">
        <is>
          <t>Not verified</t>
        </is>
      </c>
      <c r="AK406" s="29" t="inlineStr">
        <is>
          <t>EV-20-0003</t>
        </is>
      </c>
      <c r="AL406" s="29" t="inlineStr"/>
      <c r="AM406" s="29" t="inlineStr"/>
      <c r="AN406" s="29" t="inlineStr"/>
      <c r="AO406" s="29" t="inlineStr">
        <is>
          <t>8bc0dcb2a1da1b21368c5536aaeef829d587f316</t>
        </is>
      </c>
      <c r="AP406" s="29" t="inlineStr">
        <is>
          <t>Medium</t>
        </is>
      </c>
      <c r="AQ406" s="29" t="inlineStr">
        <is>
          <t>Not assessed</t>
        </is>
      </c>
      <c r="AR406" s="29" t="inlineStr">
        <is>
          <t>Not assessed</t>
        </is>
      </c>
      <c r="AS406" s="29" t="inlineStr">
        <is>
          <t>Fail</t>
        </is>
      </c>
      <c r="AT406" s="29" t="inlineStr">
        <is>
          <t>Not assessed</t>
        </is>
      </c>
      <c r="AU406" s="29" t="inlineStr">
        <is>
          <t>Not assessed</t>
        </is>
      </c>
      <c r="AV406" s="29" t="inlineStr">
        <is>
          <t>Not assessed</t>
        </is>
      </c>
      <c r="AW406" s="29" t="inlineStr">
        <is>
          <t>Not assessed</t>
        </is>
      </c>
      <c r="AX406" s="29" t="inlineStr">
        <is>
          <t>Not assessed</t>
        </is>
      </c>
      <c r="AY406" s="29" t="inlineStr">
        <is>
          <t>Not assessed</t>
        </is>
      </c>
      <c r="AZ406" s="29" t="inlineStr">
        <is>
          <t>Not assessed</t>
        </is>
      </c>
      <c r="BA406" s="29" t="inlineStr">
        <is>
          <t>Not assessed</t>
        </is>
      </c>
      <c r="BB406" s="29" t="inlineStr">
        <is>
          <t>Not assessed</t>
        </is>
      </c>
      <c r="BC406" s="29" t="inlineStr">
        <is>
          <t>Not assessed</t>
        </is>
      </c>
      <c r="BD406" s="29" t="inlineStr">
        <is>
          <t>Not assessed</t>
        </is>
      </c>
      <c r="BE406" s="29" t="inlineStr">
        <is>
          <t>Development required</t>
        </is>
      </c>
      <c r="BF406" s="29" t="inlineStr">
        <is>
          <t>Not assessed; Physical implementation is not complete against the stated requirement.</t>
        </is>
      </c>
      <c r="BG406" s="29" t="inlineStr">
        <is>
          <t>Not assessed</t>
        </is>
      </c>
      <c r="BH406" s="29" t="inlineStr"/>
      <c r="BI406" s="29" t="inlineStr"/>
      <c r="BJ406" s="29" t="inlineStr"/>
      <c r="BK406" s="29" t="inlineStr">
        <is>
          <t>Evidence reconciled against the reviewed source revision. No production approval is inferred from implementation or file presence.</t>
        </is>
      </c>
      <c r="BL406" s="29" t="inlineStr">
        <is>
          <t>2026-08-02</t>
        </is>
      </c>
    </row>
    <row r="407" ht="42" customHeight="1">
      <c r="A407" s="29" t="inlineStr">
        <is>
          <t>BLYP-20-005</t>
        </is>
      </c>
      <c r="B407" s="29" t="inlineStr"/>
      <c r="C407" s="29" t="inlineStr">
        <is>
          <t>Accessibility and inclusive design</t>
        </is>
      </c>
      <c r="D407" s="29" t="n">
        <v>20</v>
      </c>
      <c r="E407" s="29" t="n">
        <v>5</v>
      </c>
      <c r="F407" s="29" t="inlineStr">
        <is>
          <t>Non-functional requirement</t>
        </is>
      </c>
      <c r="G407" s="29" t="inlineStr">
        <is>
          <t>Scalable text</t>
        </is>
      </c>
      <c r="H407" s="29" t="inlineStr">
        <is>
          <t>Scalable text</t>
        </is>
      </c>
      <c r="I407" s="29" t="inlineStr">
        <is>
          <t>/home/ubuntu/blyp_product_requirements.md :: Section 20 — Accessibility and inclusive design</t>
        </is>
      </c>
      <c r="J407" s="29" t="inlineStr">
        <is>
          <t>/home/ubuntu/BLYP_COMPLETE_FEATURE_LIST.md:516</t>
        </is>
      </c>
      <c r="K407" s="29" t="inlineStr">
        <is>
          <t>Required</t>
        </is>
      </c>
      <c r="L407" s="29" t="inlineStr">
        <is>
          <t>Applicable BLYP member</t>
        </is>
      </c>
      <c r="M407" s="29" t="inlineStr">
        <is>
          <t>Production platform and operations</t>
        </is>
      </c>
      <c r="N407" s="29" t="inlineStr">
        <is>
          <t>Scalable text</t>
        </is>
      </c>
      <c r="O407" s="29" t="inlineStr">
        <is>
          <t>Not explicitly defined in the product source; requires accountable product approval before production sign-off.</t>
        </is>
      </c>
      <c r="P407" s="29" t="inlineStr"/>
      <c r="Q407" s="29" t="inlineStr">
        <is>
          <t>Partial</t>
        </is>
      </c>
      <c r="R407" s="29" t="inlineStr"/>
      <c r="S407" s="29" t="inlineStr">
        <is>
          <t>Partial</t>
        </is>
      </c>
      <c r="T407" s="29" t="inlineStr">
        <is>
          <t>CustomText.js</t>
        </is>
      </c>
      <c r="U407" s="29" t="inlineStr">
        <is>
          <t>CustomText.js</t>
        </is>
      </c>
      <c r="V407" s="29" t="inlineStr">
        <is>
          <t>Not found</t>
        </is>
      </c>
      <c r="W407" s="29" t="inlineStr">
        <is>
          <t>Not found</t>
        </is>
      </c>
      <c r="X407" s="29" t="inlineStr">
        <is>
          <t>Not found</t>
        </is>
      </c>
      <c r="Y407" s="29" t="inlineStr">
        <is>
          <t>Not found</t>
        </is>
      </c>
      <c r="Z407" s="29" t="inlineStr">
        <is>
          <t>Not found</t>
        </is>
      </c>
      <c r="AA407" s="29" t="inlineStr">
        <is>
          <t>Not found</t>
        </is>
      </c>
      <c r="AB407" s="29" t="inlineStr">
        <is>
          <t>Not found</t>
        </is>
      </c>
      <c r="AC407" s="29" t="inlineStr"/>
      <c r="AD407" s="29" t="inlineStr">
        <is>
          <t>Not found</t>
        </is>
      </c>
      <c r="AE407" s="29" t="inlineStr">
        <is>
          <t>User reachable</t>
        </is>
      </c>
      <c r="AF407" s="29" t="inlineStr">
        <is>
          <t>CustomText.js</t>
        </is>
      </c>
      <c r="AG407" s="29" t="inlineStr">
        <is>
          <t>Incomplete</t>
        </is>
      </c>
      <c r="AH407" s="29" t="inlineStr">
        <is>
          <t>No</t>
        </is>
      </c>
      <c r="AI407" s="29" t="inlineStr">
        <is>
          <t>Not found</t>
        </is>
      </c>
      <c r="AJ407" s="29" t="inlineStr">
        <is>
          <t>Not verified</t>
        </is>
      </c>
      <c r="AK407" s="29" t="inlineStr">
        <is>
          <t>EV-20-0004</t>
        </is>
      </c>
      <c r="AL407" s="29" t="inlineStr"/>
      <c r="AM407" s="29" t="inlineStr"/>
      <c r="AN407" s="29" t="inlineStr"/>
      <c r="AO407" s="29" t="inlineStr">
        <is>
          <t>8bc0dcb2a1da1b21368c5536aaeef829d587f316</t>
        </is>
      </c>
      <c r="AP407" s="29" t="inlineStr">
        <is>
          <t>Medium</t>
        </is>
      </c>
      <c r="AQ407" s="29" t="inlineStr">
        <is>
          <t>Not assessed</t>
        </is>
      </c>
      <c r="AR407" s="29" t="inlineStr">
        <is>
          <t>Not assessed</t>
        </is>
      </c>
      <c r="AS407" s="29" t="inlineStr">
        <is>
          <t>Fail</t>
        </is>
      </c>
      <c r="AT407" s="29" t="inlineStr">
        <is>
          <t>Not assessed</t>
        </is>
      </c>
      <c r="AU407" s="29" t="inlineStr">
        <is>
          <t>Not assessed</t>
        </is>
      </c>
      <c r="AV407" s="29" t="inlineStr">
        <is>
          <t>Not assessed</t>
        </is>
      </c>
      <c r="AW407" s="29" t="inlineStr">
        <is>
          <t>Not assessed</t>
        </is>
      </c>
      <c r="AX407" s="29" t="inlineStr">
        <is>
          <t>Not assessed</t>
        </is>
      </c>
      <c r="AY407" s="29" t="inlineStr">
        <is>
          <t>Not assessed</t>
        </is>
      </c>
      <c r="AZ407" s="29" t="inlineStr">
        <is>
          <t>Not assessed</t>
        </is>
      </c>
      <c r="BA407" s="29" t="inlineStr">
        <is>
          <t>Not assessed</t>
        </is>
      </c>
      <c r="BB407" s="29" t="inlineStr">
        <is>
          <t>Not assessed</t>
        </is>
      </c>
      <c r="BC407" s="29" t="inlineStr">
        <is>
          <t>Not assessed</t>
        </is>
      </c>
      <c r="BD407" s="29" t="inlineStr">
        <is>
          <t>Not assessed</t>
        </is>
      </c>
      <c r="BE407" s="29" t="inlineStr">
        <is>
          <t>Development required</t>
        </is>
      </c>
      <c r="BF407" s="29" t="inlineStr">
        <is>
          <t>Not assessed; Physical implementation is not complete against the stated requirement.</t>
        </is>
      </c>
      <c r="BG407" s="29" t="inlineStr">
        <is>
          <t>Not assessed</t>
        </is>
      </c>
      <c r="BH407" s="29" t="inlineStr"/>
      <c r="BI407" s="29" t="inlineStr"/>
      <c r="BJ407" s="29" t="inlineStr"/>
      <c r="BK407" s="29" t="inlineStr">
        <is>
          <t>Evidence reconciled against the reviewed source revision. No production approval is inferred from implementation or file presence.</t>
        </is>
      </c>
      <c r="BL407" s="29" t="inlineStr">
        <is>
          <t>2026-08-02</t>
        </is>
      </c>
    </row>
    <row r="408" ht="42" customHeight="1">
      <c r="A408" s="29" t="inlineStr">
        <is>
          <t>BLYP-20-006</t>
        </is>
      </c>
      <c r="B408" s="29" t="inlineStr"/>
      <c r="C408" s="29" t="inlineStr">
        <is>
          <t>Accessibility and inclusive design</t>
        </is>
      </c>
      <c r="D408" s="29" t="n">
        <v>20</v>
      </c>
      <c r="E408" s="29" t="n">
        <v>6</v>
      </c>
      <c r="F408" s="29" t="inlineStr">
        <is>
          <t>Feature</t>
        </is>
      </c>
      <c r="G408" s="29" t="inlineStr">
        <is>
          <t>Strong colour contrast</t>
        </is>
      </c>
      <c r="H408" s="29" t="inlineStr">
        <is>
          <t>Strong colour contrast</t>
        </is>
      </c>
      <c r="I408" s="29" t="inlineStr">
        <is>
          <t>/home/ubuntu/blyp_product_requirements.md :: Section 20 — Accessibility and inclusive design</t>
        </is>
      </c>
      <c r="J408" s="29" t="inlineStr">
        <is>
          <t>/home/ubuntu/BLYP_COMPLETE_FEATURE_LIST.md:517</t>
        </is>
      </c>
      <c r="K408" s="29" t="inlineStr">
        <is>
          <t>Required</t>
        </is>
      </c>
      <c r="L408" s="29" t="inlineStr">
        <is>
          <t>Applicable BLYP member</t>
        </is>
      </c>
      <c r="M408" s="29" t="inlineStr">
        <is>
          <t>BLYP mobile application and supporting production services</t>
        </is>
      </c>
      <c r="N408" s="29" t="inlineStr">
        <is>
          <t>Strong colour contrast</t>
        </is>
      </c>
      <c r="O408" s="29" t="inlineStr">
        <is>
          <t>Not explicitly defined in the product source; requires accountable product approval before production sign-off.</t>
        </is>
      </c>
      <c r="P408" s="29" t="inlineStr"/>
      <c r="Q408" s="29" t="inlineStr">
        <is>
          <t>Partial</t>
        </is>
      </c>
      <c r="R408" s="29" t="inlineStr"/>
      <c r="S408" s="29" t="inlineStr">
        <is>
          <t>Partial</t>
        </is>
      </c>
      <c r="T408" s="29" t="inlineStr">
        <is>
          <t>theme.js</t>
        </is>
      </c>
      <c r="U408" s="29" t="inlineStr">
        <is>
          <t>theme.js</t>
        </is>
      </c>
      <c r="V408" s="29" t="inlineStr">
        <is>
          <t>Not found</t>
        </is>
      </c>
      <c r="W408" s="29" t="inlineStr">
        <is>
          <t>Not found</t>
        </is>
      </c>
      <c r="X408" s="29" t="inlineStr">
        <is>
          <t>Not found</t>
        </is>
      </c>
      <c r="Y408" s="29" t="inlineStr">
        <is>
          <t>Not found</t>
        </is>
      </c>
      <c r="Z408" s="29" t="inlineStr">
        <is>
          <t>Not found</t>
        </is>
      </c>
      <c r="AA408" s="29" t="inlineStr">
        <is>
          <t>Not found</t>
        </is>
      </c>
      <c r="AB408" s="29" t="inlineStr">
        <is>
          <t>Not found</t>
        </is>
      </c>
      <c r="AC408" s="29" t="inlineStr"/>
      <c r="AD408" s="29" t="inlineStr">
        <is>
          <t>Not found</t>
        </is>
      </c>
      <c r="AE408" s="29" t="inlineStr">
        <is>
          <t>User reachable</t>
        </is>
      </c>
      <c r="AF408" s="29" t="inlineStr">
        <is>
          <t>theme.js</t>
        </is>
      </c>
      <c r="AG408" s="29" t="inlineStr">
        <is>
          <t>Incomplete</t>
        </is>
      </c>
      <c r="AH408" s="29" t="inlineStr">
        <is>
          <t>No</t>
        </is>
      </c>
      <c r="AI408" s="29" t="inlineStr">
        <is>
          <t>Not found</t>
        </is>
      </c>
      <c r="AJ408" s="29" t="inlineStr">
        <is>
          <t>Not verified</t>
        </is>
      </c>
      <c r="AK408" s="29" t="inlineStr">
        <is>
          <t>EV-20-0005</t>
        </is>
      </c>
      <c r="AL408" s="29" t="inlineStr"/>
      <c r="AM408" s="29" t="inlineStr"/>
      <c r="AN408" s="29" t="inlineStr"/>
      <c r="AO408" s="29" t="inlineStr">
        <is>
          <t>8bc0dcb2a1da1b21368c5536aaeef829d587f316</t>
        </is>
      </c>
      <c r="AP408" s="29" t="inlineStr">
        <is>
          <t>Medium</t>
        </is>
      </c>
      <c r="AQ408" s="29" t="inlineStr">
        <is>
          <t>Not assessed</t>
        </is>
      </c>
      <c r="AR408" s="29" t="inlineStr">
        <is>
          <t>Not assessed</t>
        </is>
      </c>
      <c r="AS408" s="29" t="inlineStr">
        <is>
          <t>Fail</t>
        </is>
      </c>
      <c r="AT408" s="29" t="inlineStr">
        <is>
          <t>Not assessed</t>
        </is>
      </c>
      <c r="AU408" s="29" t="inlineStr">
        <is>
          <t>Not assessed</t>
        </is>
      </c>
      <c r="AV408" s="29" t="inlineStr">
        <is>
          <t>Not assessed</t>
        </is>
      </c>
      <c r="AW408" s="29" t="inlineStr">
        <is>
          <t>Not assessed</t>
        </is>
      </c>
      <c r="AX408" s="29" t="inlineStr">
        <is>
          <t>Not assessed</t>
        </is>
      </c>
      <c r="AY408" s="29" t="inlineStr">
        <is>
          <t>Not assessed</t>
        </is>
      </c>
      <c r="AZ408" s="29" t="inlineStr">
        <is>
          <t>Not assessed</t>
        </is>
      </c>
      <c r="BA408" s="29" t="inlineStr">
        <is>
          <t>Not assessed</t>
        </is>
      </c>
      <c r="BB408" s="29" t="inlineStr">
        <is>
          <t>Not assessed</t>
        </is>
      </c>
      <c r="BC408" s="29" t="inlineStr">
        <is>
          <t>Not assessed</t>
        </is>
      </c>
      <c r="BD408" s="29" t="inlineStr">
        <is>
          <t>Not assessed</t>
        </is>
      </c>
      <c r="BE408" s="29" t="inlineStr">
        <is>
          <t>Development required</t>
        </is>
      </c>
      <c r="BF408" s="29" t="inlineStr">
        <is>
          <t>Not assessed; Physical implementation is not complete against the stated requirement.</t>
        </is>
      </c>
      <c r="BG408" s="29" t="inlineStr">
        <is>
          <t>Not assessed</t>
        </is>
      </c>
      <c r="BH408" s="29" t="inlineStr"/>
      <c r="BI408" s="29" t="inlineStr"/>
      <c r="BJ408" s="29" t="inlineStr"/>
      <c r="BK408" s="29" t="inlineStr">
        <is>
          <t>Evidence reconciled against the reviewed source revision. No production approval is inferred from implementation or file presence.</t>
        </is>
      </c>
      <c r="BL408" s="29" t="inlineStr">
        <is>
          <t>2026-08-02</t>
        </is>
      </c>
    </row>
    <row r="409" ht="42" customHeight="1">
      <c r="A409" s="29" t="inlineStr">
        <is>
          <t>BLYP-20-007</t>
        </is>
      </c>
      <c r="B409" s="29" t="inlineStr"/>
      <c r="C409" s="29" t="inlineStr">
        <is>
          <t>Accessibility and inclusive design</t>
        </is>
      </c>
      <c r="D409" s="29" t="n">
        <v>20</v>
      </c>
      <c r="E409" s="29" t="n">
        <v>7</v>
      </c>
      <c r="F409" s="29" t="inlineStr">
        <is>
          <t>Feature</t>
        </is>
      </c>
      <c r="G409" s="29" t="inlineStr">
        <is>
          <t>Non-colour status cues</t>
        </is>
      </c>
      <c r="H409" s="29" t="inlineStr">
        <is>
          <t>Non-colour status cues</t>
        </is>
      </c>
      <c r="I409" s="29" t="inlineStr">
        <is>
          <t>/home/ubuntu/blyp_product_requirements.md :: Section 20 — Accessibility and inclusive design</t>
        </is>
      </c>
      <c r="J409" s="29" t="inlineStr">
        <is>
          <t>/home/ubuntu/BLYP_COMPLETE_FEATURE_LIST.md:518</t>
        </is>
      </c>
      <c r="K409" s="29" t="inlineStr">
        <is>
          <t>Required</t>
        </is>
      </c>
      <c r="L409" s="29" t="inlineStr">
        <is>
          <t>Applicable BLYP member</t>
        </is>
      </c>
      <c r="M409" s="29" t="inlineStr">
        <is>
          <t>BLYP mobile application and supporting production services</t>
        </is>
      </c>
      <c r="N409" s="29" t="inlineStr">
        <is>
          <t>Non-colour status cues</t>
        </is>
      </c>
      <c r="O409" s="29" t="inlineStr">
        <is>
          <t>Not explicitly defined in the product source; requires accountable product approval before production sign-off.</t>
        </is>
      </c>
      <c r="P409" s="29" t="inlineStr"/>
      <c r="Q409" s="29" t="inlineStr">
        <is>
          <t>Partial</t>
        </is>
      </c>
      <c r="R409" s="29" t="inlineStr"/>
      <c r="S409" s="29" t="inlineStr">
        <is>
          <t>Partial</t>
        </is>
      </c>
      <c r="T409" s="29" t="inlineStr">
        <is>
          <t>SearchScreen.js</t>
        </is>
      </c>
      <c r="U409" s="29" t="inlineStr">
        <is>
          <t>SearchScreen.js</t>
        </is>
      </c>
      <c r="V409" s="29" t="inlineStr">
        <is>
          <t>Not found</t>
        </is>
      </c>
      <c r="W409" s="29" t="inlineStr">
        <is>
          <t>Not found</t>
        </is>
      </c>
      <c r="X409" s="29" t="inlineStr">
        <is>
          <t>Not found</t>
        </is>
      </c>
      <c r="Y409" s="29" t="inlineStr">
        <is>
          <t>Not found</t>
        </is>
      </c>
      <c r="Z409" s="29" t="inlineStr">
        <is>
          <t>Not found</t>
        </is>
      </c>
      <c r="AA409" s="29" t="inlineStr">
        <is>
          <t>Not found</t>
        </is>
      </c>
      <c r="AB409" s="29" t="inlineStr">
        <is>
          <t>Not found</t>
        </is>
      </c>
      <c r="AC409" s="29" t="inlineStr"/>
      <c r="AD409" s="29" t="inlineStr">
        <is>
          <t>Not found</t>
        </is>
      </c>
      <c r="AE409" s="29" t="inlineStr">
        <is>
          <t>User reachable</t>
        </is>
      </c>
      <c r="AF409" s="29" t="inlineStr">
        <is>
          <t>SearchScreen.js</t>
        </is>
      </c>
      <c r="AG409" s="29" t="inlineStr">
        <is>
          <t>Incomplete</t>
        </is>
      </c>
      <c r="AH409" s="29" t="inlineStr">
        <is>
          <t>No</t>
        </is>
      </c>
      <c r="AI409" s="29" t="inlineStr">
        <is>
          <t>Not found</t>
        </is>
      </c>
      <c r="AJ409" s="29" t="inlineStr">
        <is>
          <t>Not verified</t>
        </is>
      </c>
      <c r="AK409" s="29" t="inlineStr">
        <is>
          <t>EV-20-0006</t>
        </is>
      </c>
      <c r="AL409" s="29" t="inlineStr"/>
      <c r="AM409" s="29" t="inlineStr"/>
      <c r="AN409" s="29" t="inlineStr"/>
      <c r="AO409" s="29" t="inlineStr">
        <is>
          <t>8bc0dcb2a1da1b21368c5536aaeef829d587f316</t>
        </is>
      </c>
      <c r="AP409" s="29" t="inlineStr">
        <is>
          <t>Medium</t>
        </is>
      </c>
      <c r="AQ409" s="29" t="inlineStr">
        <is>
          <t>Not assessed</t>
        </is>
      </c>
      <c r="AR409" s="29" t="inlineStr">
        <is>
          <t>Not assessed</t>
        </is>
      </c>
      <c r="AS409" s="29" t="inlineStr">
        <is>
          <t>Fail</t>
        </is>
      </c>
      <c r="AT409" s="29" t="inlineStr">
        <is>
          <t>Not assessed</t>
        </is>
      </c>
      <c r="AU409" s="29" t="inlineStr">
        <is>
          <t>Not assessed</t>
        </is>
      </c>
      <c r="AV409" s="29" t="inlineStr">
        <is>
          <t>Not assessed</t>
        </is>
      </c>
      <c r="AW409" s="29" t="inlineStr">
        <is>
          <t>Not assessed</t>
        </is>
      </c>
      <c r="AX409" s="29" t="inlineStr">
        <is>
          <t>Not assessed</t>
        </is>
      </c>
      <c r="AY409" s="29" t="inlineStr">
        <is>
          <t>Not assessed</t>
        </is>
      </c>
      <c r="AZ409" s="29" t="inlineStr">
        <is>
          <t>Not assessed</t>
        </is>
      </c>
      <c r="BA409" s="29" t="inlineStr">
        <is>
          <t>Not assessed</t>
        </is>
      </c>
      <c r="BB409" s="29" t="inlineStr">
        <is>
          <t>Not assessed</t>
        </is>
      </c>
      <c r="BC409" s="29" t="inlineStr">
        <is>
          <t>Not assessed</t>
        </is>
      </c>
      <c r="BD409" s="29" t="inlineStr">
        <is>
          <t>Not assessed</t>
        </is>
      </c>
      <c r="BE409" s="29" t="inlineStr">
        <is>
          <t>Development required</t>
        </is>
      </c>
      <c r="BF409" s="29" t="inlineStr">
        <is>
          <t>Not assessed; Physical implementation is not complete against the stated requirement.</t>
        </is>
      </c>
      <c r="BG409" s="29" t="inlineStr">
        <is>
          <t>Not assessed</t>
        </is>
      </c>
      <c r="BH409" s="29" t="inlineStr"/>
      <c r="BI409" s="29" t="inlineStr"/>
      <c r="BJ409" s="29" t="inlineStr"/>
      <c r="BK409" s="29" t="inlineStr">
        <is>
          <t>Evidence reconciled against the reviewed source revision. No production approval is inferred from implementation or file presence.</t>
        </is>
      </c>
      <c r="BL409" s="29" t="inlineStr">
        <is>
          <t>2026-08-02</t>
        </is>
      </c>
    </row>
    <row r="410" ht="42" customHeight="1">
      <c r="A410" s="29" t="inlineStr">
        <is>
          <t>BLYP-20-008</t>
        </is>
      </c>
      <c r="B410" s="29" t="inlineStr"/>
      <c r="C410" s="29" t="inlineStr">
        <is>
          <t>Accessibility and inclusive design</t>
        </is>
      </c>
      <c r="D410" s="29" t="n">
        <v>20</v>
      </c>
      <c r="E410" s="29" t="n">
        <v>8</v>
      </c>
      <c r="F410" s="29" t="inlineStr">
        <is>
          <t>Feature</t>
        </is>
      </c>
      <c r="G410" s="29" t="inlineStr">
        <is>
          <t>Reduced-motion support</t>
        </is>
      </c>
      <c r="H410" s="29" t="inlineStr">
        <is>
          <t>Reduced-motion support</t>
        </is>
      </c>
      <c r="I410" s="29" t="inlineStr">
        <is>
          <t>/home/ubuntu/blyp_product_requirements.md :: Section 20 — Accessibility and inclusive design</t>
        </is>
      </c>
      <c r="J410" s="29" t="inlineStr">
        <is>
          <t>/home/ubuntu/BLYP_COMPLETE_FEATURE_LIST.md:519</t>
        </is>
      </c>
      <c r="K410" s="29" t="inlineStr">
        <is>
          <t>Required</t>
        </is>
      </c>
      <c r="L410" s="29" t="inlineStr">
        <is>
          <t>Authorized operator or accountable service owner</t>
        </is>
      </c>
      <c r="M410" s="29" t="inlineStr">
        <is>
          <t>BLYP mobile application and supporting production services</t>
        </is>
      </c>
      <c r="N410" s="29" t="inlineStr">
        <is>
          <t>Reduced-motion support</t>
        </is>
      </c>
      <c r="O410" s="29" t="inlineStr">
        <is>
          <t>Not explicitly defined in the product source; requires accountable product approval before production sign-off.</t>
        </is>
      </c>
      <c r="P410" s="29" t="inlineStr"/>
      <c r="Q410" s="29" t="inlineStr">
        <is>
          <t>No evidence</t>
        </is>
      </c>
      <c r="R410" s="29" t="inlineStr"/>
      <c r="S410" s="29" t="inlineStr">
        <is>
          <t>Not found</t>
        </is>
      </c>
      <c r="T410" s="29" t="inlineStr">
        <is>
          <t>Unknown</t>
        </is>
      </c>
      <c r="U410" s="29" t="inlineStr">
        <is>
          <t>Unknown</t>
        </is>
      </c>
      <c r="V410" s="29" t="inlineStr">
        <is>
          <t>Unknown</t>
        </is>
      </c>
      <c r="W410" s="29" t="inlineStr">
        <is>
          <t>Unknown</t>
        </is>
      </c>
      <c r="X410" s="29" t="inlineStr">
        <is>
          <t>Unknown</t>
        </is>
      </c>
      <c r="Y410" s="29" t="inlineStr">
        <is>
          <t>Unknown</t>
        </is>
      </c>
      <c r="Z410" s="29" t="inlineStr">
        <is>
          <t>Unknown</t>
        </is>
      </c>
      <c r="AA410" s="29" t="inlineStr">
        <is>
          <t>Unknown</t>
        </is>
      </c>
      <c r="AB410" s="29" t="inlineStr">
        <is>
          <t>Unknown</t>
        </is>
      </c>
      <c r="AC410" s="29" t="inlineStr"/>
      <c r="AD410" s="29" t="inlineStr">
        <is>
          <t>Unknown</t>
        </is>
      </c>
      <c r="AE410" s="29" t="inlineStr">
        <is>
          <t>Unknown</t>
        </is>
      </c>
      <c r="AF410" s="29" t="inlineStr"/>
      <c r="AG410" s="29" t="inlineStr">
        <is>
          <t>Unknown</t>
        </is>
      </c>
      <c r="AH410" s="29" t="inlineStr">
        <is>
          <t>Unknown</t>
        </is>
      </c>
      <c r="AI410" s="29" t="inlineStr">
        <is>
          <t>Searched for reduceMotion in src</t>
        </is>
      </c>
      <c r="AJ410" s="29" t="inlineStr">
        <is>
          <t>Not verified</t>
        </is>
      </c>
      <c r="AK410" s="29" t="inlineStr"/>
      <c r="AL410" s="29" t="inlineStr"/>
      <c r="AM410" s="29" t="inlineStr"/>
      <c r="AN410" s="29" t="inlineStr"/>
      <c r="AO410" s="29" t="inlineStr">
        <is>
          <t>8bc0dcb2a1da1b21368c5536aaeef829d587f316</t>
        </is>
      </c>
      <c r="AP410" s="29" t="inlineStr">
        <is>
          <t>High</t>
        </is>
      </c>
      <c r="AQ410" s="29" t="inlineStr">
        <is>
          <t>Not assessed</t>
        </is>
      </c>
      <c r="AR410" s="29" t="inlineStr">
        <is>
          <t>Not assessed</t>
        </is>
      </c>
      <c r="AS410" s="29" t="inlineStr">
        <is>
          <t>Not assessed</t>
        </is>
      </c>
      <c r="AT410" s="29" t="inlineStr">
        <is>
          <t>Not assessed</t>
        </is>
      </c>
      <c r="AU410" s="29" t="inlineStr">
        <is>
          <t>Not assessed</t>
        </is>
      </c>
      <c r="AV410" s="29" t="inlineStr">
        <is>
          <t>Not assessed</t>
        </is>
      </c>
      <c r="AW410" s="29" t="inlineStr">
        <is>
          <t>Not assessed</t>
        </is>
      </c>
      <c r="AX410" s="29" t="inlineStr">
        <is>
          <t>Not assessed</t>
        </is>
      </c>
      <c r="AY410" s="29" t="inlineStr">
        <is>
          <t>Not assessed</t>
        </is>
      </c>
      <c r="AZ410" s="29" t="inlineStr">
        <is>
          <t>Not assessed</t>
        </is>
      </c>
      <c r="BA410" s="29" t="inlineStr">
        <is>
          <t>Not assessed</t>
        </is>
      </c>
      <c r="BB410" s="29" t="inlineStr">
        <is>
          <t>Not assessed</t>
        </is>
      </c>
      <c r="BC410" s="29" t="inlineStr">
        <is>
          <t>Not assessed</t>
        </is>
      </c>
      <c r="BD410" s="29" t="inlineStr">
        <is>
          <t>Not assessed</t>
        </is>
      </c>
      <c r="BE410" s="29" t="inlineStr">
        <is>
          <t>Development required</t>
        </is>
      </c>
      <c r="BF410" s="29" t="inlineStr">
        <is>
          <t>Not assessed; Physical implementation is not complete against the stated requirement.; Searched for reduceMotion in src</t>
        </is>
      </c>
      <c r="BG410" s="29" t="inlineStr">
        <is>
          <t>Not assessed</t>
        </is>
      </c>
      <c r="BH410" s="29" t="inlineStr"/>
      <c r="BI410" s="29" t="inlineStr"/>
      <c r="BJ410" s="29" t="inlineStr"/>
      <c r="BK410" s="29" t="inlineStr">
        <is>
          <t>Evidence reconciled against the reviewed source revision. No production approval is inferred from implementation or file presence.</t>
        </is>
      </c>
      <c r="BL410" s="29" t="inlineStr">
        <is>
          <t>2026-08-02</t>
        </is>
      </c>
    </row>
    <row r="411" ht="42" customHeight="1">
      <c r="A411" s="29" t="inlineStr">
        <is>
          <t>BLYP-20-009</t>
        </is>
      </c>
      <c r="B411" s="29" t="inlineStr"/>
      <c r="C411" s="29" t="inlineStr">
        <is>
          <t>Accessibility and inclusive design</t>
        </is>
      </c>
      <c r="D411" s="29" t="n">
        <v>20</v>
      </c>
      <c r="E411" s="29" t="n">
        <v>9</v>
      </c>
      <c r="F411" s="29" t="inlineStr">
        <is>
          <t>Feature</t>
        </is>
      </c>
      <c r="G411" s="29" t="inlineStr">
        <is>
          <t>Large touch targets</t>
        </is>
      </c>
      <c r="H411" s="29" t="inlineStr">
        <is>
          <t>Large touch targets</t>
        </is>
      </c>
      <c r="I411" s="29" t="inlineStr">
        <is>
          <t>/home/ubuntu/blyp_product_requirements.md :: Section 20 — Accessibility and inclusive design</t>
        </is>
      </c>
      <c r="J411" s="29" t="inlineStr">
        <is>
          <t>/home/ubuntu/BLYP_COMPLETE_FEATURE_LIST.md:520</t>
        </is>
      </c>
      <c r="K411" s="29" t="inlineStr">
        <is>
          <t>Required</t>
        </is>
      </c>
      <c r="L411" s="29" t="inlineStr">
        <is>
          <t>Applicable BLYP member</t>
        </is>
      </c>
      <c r="M411" s="29" t="inlineStr">
        <is>
          <t>BLYP mobile application and supporting production services</t>
        </is>
      </c>
      <c r="N411" s="29" t="inlineStr">
        <is>
          <t>Large touch targets</t>
        </is>
      </c>
      <c r="O411" s="29" t="inlineStr">
        <is>
          <t>Not explicitly defined in the product source; requires accountable product approval before production sign-off.</t>
        </is>
      </c>
      <c r="P411" s="29" t="inlineStr"/>
      <c r="Q411" s="29" t="inlineStr">
        <is>
          <t>Partial</t>
        </is>
      </c>
      <c r="R411" s="29" t="inlineStr"/>
      <c r="S411" s="29" t="inlineStr">
        <is>
          <t>Partial</t>
        </is>
      </c>
      <c r="T411" s="29" t="inlineStr">
        <is>
          <t>ReviewScreen.js</t>
        </is>
      </c>
      <c r="U411" s="29" t="inlineStr">
        <is>
          <t>ReviewScreen.js</t>
        </is>
      </c>
      <c r="V411" s="29" t="inlineStr">
        <is>
          <t>Not found</t>
        </is>
      </c>
      <c r="W411" s="29" t="inlineStr">
        <is>
          <t>Not found</t>
        </is>
      </c>
      <c r="X411" s="29" t="inlineStr">
        <is>
          <t>Not found</t>
        </is>
      </c>
      <c r="Y411" s="29" t="inlineStr">
        <is>
          <t>Not found</t>
        </is>
      </c>
      <c r="Z411" s="29" t="inlineStr">
        <is>
          <t>Not found</t>
        </is>
      </c>
      <c r="AA411" s="29" t="inlineStr">
        <is>
          <t>Not found</t>
        </is>
      </c>
      <c r="AB411" s="29" t="inlineStr">
        <is>
          <t>Not found</t>
        </is>
      </c>
      <c r="AC411" s="29" t="inlineStr"/>
      <c r="AD411" s="29" t="inlineStr">
        <is>
          <t>Not found</t>
        </is>
      </c>
      <c r="AE411" s="29" t="inlineStr">
        <is>
          <t>User reachable</t>
        </is>
      </c>
      <c r="AF411" s="29" t="inlineStr">
        <is>
          <t>ReviewScreen.js</t>
        </is>
      </c>
      <c r="AG411" s="29" t="inlineStr">
        <is>
          <t>Incomplete</t>
        </is>
      </c>
      <c r="AH411" s="29" t="inlineStr">
        <is>
          <t>No</t>
        </is>
      </c>
      <c r="AI411" s="29" t="inlineStr">
        <is>
          <t>Not found</t>
        </is>
      </c>
      <c r="AJ411" s="29" t="inlineStr">
        <is>
          <t>Not verified</t>
        </is>
      </c>
      <c r="AK411" s="29" t="inlineStr">
        <is>
          <t>EV-20-0007</t>
        </is>
      </c>
      <c r="AL411" s="29" t="inlineStr"/>
      <c r="AM411" s="29" t="inlineStr"/>
      <c r="AN411" s="29" t="inlineStr"/>
      <c r="AO411" s="29" t="inlineStr">
        <is>
          <t>8bc0dcb2a1da1b21368c5536aaeef829d587f316</t>
        </is>
      </c>
      <c r="AP411" s="29" t="inlineStr">
        <is>
          <t>Medium</t>
        </is>
      </c>
      <c r="AQ411" s="29" t="inlineStr">
        <is>
          <t>Not assessed</t>
        </is>
      </c>
      <c r="AR411" s="29" t="inlineStr">
        <is>
          <t>Not assessed</t>
        </is>
      </c>
      <c r="AS411" s="29" t="inlineStr">
        <is>
          <t>Fail</t>
        </is>
      </c>
      <c r="AT411" s="29" t="inlineStr">
        <is>
          <t>Not assessed</t>
        </is>
      </c>
      <c r="AU411" s="29" t="inlineStr">
        <is>
          <t>Not assessed</t>
        </is>
      </c>
      <c r="AV411" s="29" t="inlineStr">
        <is>
          <t>Not assessed</t>
        </is>
      </c>
      <c r="AW411" s="29" t="inlineStr">
        <is>
          <t>Not assessed</t>
        </is>
      </c>
      <c r="AX411" s="29" t="inlineStr">
        <is>
          <t>Not assessed</t>
        </is>
      </c>
      <c r="AY411" s="29" t="inlineStr">
        <is>
          <t>Not assessed</t>
        </is>
      </c>
      <c r="AZ411" s="29" t="inlineStr">
        <is>
          <t>Not assessed</t>
        </is>
      </c>
      <c r="BA411" s="29" t="inlineStr">
        <is>
          <t>Not assessed</t>
        </is>
      </c>
      <c r="BB411" s="29" t="inlineStr">
        <is>
          <t>Not assessed</t>
        </is>
      </c>
      <c r="BC411" s="29" t="inlineStr">
        <is>
          <t>Not assessed</t>
        </is>
      </c>
      <c r="BD411" s="29" t="inlineStr">
        <is>
          <t>Not assessed</t>
        </is>
      </c>
      <c r="BE411" s="29" t="inlineStr">
        <is>
          <t>Development required</t>
        </is>
      </c>
      <c r="BF411" s="29" t="inlineStr">
        <is>
          <t>Not assessed; Physical implementation is not complete against the stated requirement.</t>
        </is>
      </c>
      <c r="BG411" s="29" t="inlineStr">
        <is>
          <t>Not assessed</t>
        </is>
      </c>
      <c r="BH411" s="29" t="inlineStr"/>
      <c r="BI411" s="29" t="inlineStr"/>
      <c r="BJ411" s="29" t="inlineStr"/>
      <c r="BK411" s="29" t="inlineStr">
        <is>
          <t>Evidence reconciled against the reviewed source revision. No production approval is inferred from implementation or file presence.</t>
        </is>
      </c>
      <c r="BL411" s="29" t="inlineStr">
        <is>
          <t>2026-08-02</t>
        </is>
      </c>
    </row>
    <row r="412" ht="42" customHeight="1">
      <c r="A412" s="29" t="inlineStr">
        <is>
          <t>BLYP-20-010</t>
        </is>
      </c>
      <c r="B412" s="29" t="inlineStr"/>
      <c r="C412" s="29" t="inlineStr">
        <is>
          <t>Accessibility and inclusive design</t>
        </is>
      </c>
      <c r="D412" s="29" t="n">
        <v>20</v>
      </c>
      <c r="E412" s="29" t="n">
        <v>10</v>
      </c>
      <c r="F412" s="29" t="inlineStr">
        <is>
          <t>Feature</t>
        </is>
      </c>
      <c r="G412" s="29" t="inlineStr">
        <is>
          <t>Keyboard compatibility</t>
        </is>
      </c>
      <c r="H412" s="29" t="inlineStr">
        <is>
          <t>Keyboard compatibility</t>
        </is>
      </c>
      <c r="I412" s="29" t="inlineStr">
        <is>
          <t>/home/ubuntu/blyp_product_requirements.md :: Section 20 — Accessibility and inclusive design</t>
        </is>
      </c>
      <c r="J412" s="29" t="inlineStr">
        <is>
          <t>/home/ubuntu/BLYP_COMPLETE_FEATURE_LIST.md:521</t>
        </is>
      </c>
      <c r="K412" s="29" t="inlineStr">
        <is>
          <t>Required</t>
        </is>
      </c>
      <c r="L412" s="29" t="inlineStr">
        <is>
          <t>Applicable BLYP member</t>
        </is>
      </c>
      <c r="M412" s="29" t="inlineStr">
        <is>
          <t>BLYP mobile application and supporting production services</t>
        </is>
      </c>
      <c r="N412" s="29" t="inlineStr">
        <is>
          <t>Keyboard compatibility</t>
        </is>
      </c>
      <c r="O412" s="29" t="inlineStr">
        <is>
          <t>Not explicitly defined in the product source; requires accountable product approval before production sign-off.</t>
        </is>
      </c>
      <c r="P412" s="29" t="inlineStr"/>
      <c r="Q412" s="29" t="inlineStr">
        <is>
          <t>No evidence</t>
        </is>
      </c>
      <c r="R412" s="29" t="inlineStr"/>
      <c r="S412" s="29" t="inlineStr">
        <is>
          <t>Partial</t>
        </is>
      </c>
      <c r="T412" s="29" t="inlineStr">
        <is>
          <t>AuthScreen.js</t>
        </is>
      </c>
      <c r="U412" s="29" t="inlineStr">
        <is>
          <t>AuthScreen.js</t>
        </is>
      </c>
      <c r="V412" s="29" t="inlineStr">
        <is>
          <t>Not found</t>
        </is>
      </c>
      <c r="W412" s="29" t="inlineStr">
        <is>
          <t>Not found</t>
        </is>
      </c>
      <c r="X412" s="29" t="inlineStr">
        <is>
          <t>Not found</t>
        </is>
      </c>
      <c r="Y412" s="29" t="inlineStr">
        <is>
          <t>Not found</t>
        </is>
      </c>
      <c r="Z412" s="29" t="inlineStr">
        <is>
          <t>Not found</t>
        </is>
      </c>
      <c r="AA412" s="29" t="inlineStr">
        <is>
          <t>Not found</t>
        </is>
      </c>
      <c r="AB412" s="29" t="inlineStr">
        <is>
          <t>Not found</t>
        </is>
      </c>
      <c r="AC412" s="29" t="inlineStr"/>
      <c r="AD412" s="29" t="inlineStr">
        <is>
          <t>Not found</t>
        </is>
      </c>
      <c r="AE412" s="29" t="inlineStr">
        <is>
          <t>User reachable</t>
        </is>
      </c>
      <c r="AF412" s="29" t="inlineStr">
        <is>
          <t>AuthScreen.js</t>
        </is>
      </c>
      <c r="AG412" s="29" t="inlineStr">
        <is>
          <t>Incomplete</t>
        </is>
      </c>
      <c r="AH412" s="29" t="inlineStr">
        <is>
          <t>No</t>
        </is>
      </c>
      <c r="AI412" s="29" t="inlineStr">
        <is>
          <t>Not found</t>
        </is>
      </c>
      <c r="AJ412" s="29" t="inlineStr">
        <is>
          <t>Not verified</t>
        </is>
      </c>
      <c r="AK412" s="29" t="inlineStr">
        <is>
          <t>EV-20-0008</t>
        </is>
      </c>
      <c r="AL412" s="29" t="inlineStr"/>
      <c r="AM412" s="29" t="inlineStr"/>
      <c r="AN412" s="29" t="inlineStr"/>
      <c r="AO412" s="29" t="inlineStr">
        <is>
          <t>8bc0dcb2a1da1b21368c5536aaeef829d587f316</t>
        </is>
      </c>
      <c r="AP412" s="29" t="inlineStr">
        <is>
          <t>Medium</t>
        </is>
      </c>
      <c r="AQ412" s="29" t="inlineStr">
        <is>
          <t>Not assessed</t>
        </is>
      </c>
      <c r="AR412" s="29" t="inlineStr">
        <is>
          <t>Not assessed</t>
        </is>
      </c>
      <c r="AS412" s="29" t="inlineStr">
        <is>
          <t>Fail</t>
        </is>
      </c>
      <c r="AT412" s="29" t="inlineStr">
        <is>
          <t>Not assessed</t>
        </is>
      </c>
      <c r="AU412" s="29" t="inlineStr">
        <is>
          <t>Not assessed</t>
        </is>
      </c>
      <c r="AV412" s="29" t="inlineStr">
        <is>
          <t>Not assessed</t>
        </is>
      </c>
      <c r="AW412" s="29" t="inlineStr">
        <is>
          <t>Not assessed</t>
        </is>
      </c>
      <c r="AX412" s="29" t="inlineStr">
        <is>
          <t>Not assessed</t>
        </is>
      </c>
      <c r="AY412" s="29" t="inlineStr">
        <is>
          <t>Not assessed</t>
        </is>
      </c>
      <c r="AZ412" s="29" t="inlineStr">
        <is>
          <t>Not assessed</t>
        </is>
      </c>
      <c r="BA412" s="29" t="inlineStr">
        <is>
          <t>Not assessed</t>
        </is>
      </c>
      <c r="BB412" s="29" t="inlineStr">
        <is>
          <t>Not assessed</t>
        </is>
      </c>
      <c r="BC412" s="29" t="inlineStr">
        <is>
          <t>Not assessed</t>
        </is>
      </c>
      <c r="BD412" s="29" t="inlineStr">
        <is>
          <t>Not assessed</t>
        </is>
      </c>
      <c r="BE412" s="29" t="inlineStr">
        <is>
          <t>Development required</t>
        </is>
      </c>
      <c r="BF412" s="29" t="inlineStr">
        <is>
          <t>Not assessed; Physical implementation is not complete against the stated requirement.</t>
        </is>
      </c>
      <c r="BG412" s="29" t="inlineStr">
        <is>
          <t>Not assessed</t>
        </is>
      </c>
      <c r="BH412" s="29" t="inlineStr"/>
      <c r="BI412" s="29" t="inlineStr"/>
      <c r="BJ412" s="29" t="inlineStr"/>
      <c r="BK412" s="29" t="inlineStr">
        <is>
          <t>Evidence reconciled against the reviewed source revision. No production approval is inferred from implementation or file presence.</t>
        </is>
      </c>
      <c r="BL412" s="29" t="inlineStr">
        <is>
          <t>2026-08-02</t>
        </is>
      </c>
    </row>
    <row r="413" ht="42" customHeight="1">
      <c r="A413" s="29" t="inlineStr">
        <is>
          <t>BLYP-20-011</t>
        </is>
      </c>
      <c r="B413" s="29" t="inlineStr"/>
      <c r="C413" s="29" t="inlineStr">
        <is>
          <t>Accessibility and inclusive design</t>
        </is>
      </c>
      <c r="D413" s="29" t="n">
        <v>20</v>
      </c>
      <c r="E413" s="29" t="n">
        <v>11</v>
      </c>
      <c r="F413" s="29" t="inlineStr">
        <is>
          <t>Feature</t>
        </is>
      </c>
      <c r="G413" s="29" t="inlineStr">
        <is>
          <t>Switch compatibility</t>
        </is>
      </c>
      <c r="H413" s="29" t="inlineStr">
        <is>
          <t>Switch compatibility</t>
        </is>
      </c>
      <c r="I413" s="29" t="inlineStr">
        <is>
          <t>/home/ubuntu/blyp_product_requirements.md :: Section 20 — Accessibility and inclusive design</t>
        </is>
      </c>
      <c r="J413" s="29" t="inlineStr">
        <is>
          <t>/home/ubuntu/BLYP_COMPLETE_FEATURE_LIST.md:522</t>
        </is>
      </c>
      <c r="K413" s="29" t="inlineStr">
        <is>
          <t>Required</t>
        </is>
      </c>
      <c r="L413" s="29" t="inlineStr">
        <is>
          <t>Applicable BLYP member</t>
        </is>
      </c>
      <c r="M413" s="29" t="inlineStr">
        <is>
          <t>BLYP mobile application and supporting production services</t>
        </is>
      </c>
      <c r="N413" s="29" t="inlineStr">
        <is>
          <t>Switch compatibility</t>
        </is>
      </c>
      <c r="O413" s="29" t="inlineStr">
        <is>
          <t>Not explicitly defined in the product source; requires accountable product approval before production sign-off.</t>
        </is>
      </c>
      <c r="P413" s="29" t="inlineStr"/>
      <c r="Q413" s="29" t="inlineStr">
        <is>
          <t>No evidence</t>
        </is>
      </c>
      <c r="R413" s="29" t="inlineStr"/>
      <c r="S413" s="29" t="inlineStr">
        <is>
          <t>Partial</t>
        </is>
      </c>
      <c r="T413" s="29" t="inlineStr">
        <is>
          <t>ChatRoomsScreen.js</t>
        </is>
      </c>
      <c r="U413" s="29" t="inlineStr">
        <is>
          <t>ChatRoomsScreen.js</t>
        </is>
      </c>
      <c r="V413" s="29" t="inlineStr">
        <is>
          <t>Not found</t>
        </is>
      </c>
      <c r="W413" s="29" t="inlineStr">
        <is>
          <t>Not found</t>
        </is>
      </c>
      <c r="X413" s="29" t="inlineStr">
        <is>
          <t>Not found</t>
        </is>
      </c>
      <c r="Y413" s="29" t="inlineStr">
        <is>
          <t>Not found</t>
        </is>
      </c>
      <c r="Z413" s="29" t="inlineStr">
        <is>
          <t>Not found</t>
        </is>
      </c>
      <c r="AA413" s="29" t="inlineStr">
        <is>
          <t>Not found</t>
        </is>
      </c>
      <c r="AB413" s="29" t="inlineStr">
        <is>
          <t>Not found</t>
        </is>
      </c>
      <c r="AC413" s="29" t="inlineStr"/>
      <c r="AD413" s="29" t="inlineStr">
        <is>
          <t>Not found</t>
        </is>
      </c>
      <c r="AE413" s="29" t="inlineStr">
        <is>
          <t>User reachable</t>
        </is>
      </c>
      <c r="AF413" s="29" t="inlineStr">
        <is>
          <t>ChatRoomsScreen.js</t>
        </is>
      </c>
      <c r="AG413" s="29" t="inlineStr">
        <is>
          <t>Incomplete</t>
        </is>
      </c>
      <c r="AH413" s="29" t="inlineStr">
        <is>
          <t>No</t>
        </is>
      </c>
      <c r="AI413" s="29" t="inlineStr">
        <is>
          <t>Not found</t>
        </is>
      </c>
      <c r="AJ413" s="29" t="inlineStr">
        <is>
          <t>Not verified</t>
        </is>
      </c>
      <c r="AK413" s="29" t="inlineStr">
        <is>
          <t>EV-20-0009</t>
        </is>
      </c>
      <c r="AL413" s="29" t="inlineStr"/>
      <c r="AM413" s="29" t="inlineStr"/>
      <c r="AN413" s="29" t="inlineStr"/>
      <c r="AO413" s="29" t="inlineStr">
        <is>
          <t>8bc0dcb2a1da1b21368c5536aaeef829d587f316</t>
        </is>
      </c>
      <c r="AP413" s="29" t="inlineStr">
        <is>
          <t>Medium</t>
        </is>
      </c>
      <c r="AQ413" s="29" t="inlineStr">
        <is>
          <t>Not assessed</t>
        </is>
      </c>
      <c r="AR413" s="29" t="inlineStr">
        <is>
          <t>Not assessed</t>
        </is>
      </c>
      <c r="AS413" s="29" t="inlineStr">
        <is>
          <t>Fail</t>
        </is>
      </c>
      <c r="AT413" s="29" t="inlineStr">
        <is>
          <t>Not assessed</t>
        </is>
      </c>
      <c r="AU413" s="29" t="inlineStr">
        <is>
          <t>Not assessed</t>
        </is>
      </c>
      <c r="AV413" s="29" t="inlineStr">
        <is>
          <t>Not assessed</t>
        </is>
      </c>
      <c r="AW413" s="29" t="inlineStr">
        <is>
          <t>Not assessed</t>
        </is>
      </c>
      <c r="AX413" s="29" t="inlineStr">
        <is>
          <t>Not assessed</t>
        </is>
      </c>
      <c r="AY413" s="29" t="inlineStr">
        <is>
          <t>Not assessed</t>
        </is>
      </c>
      <c r="AZ413" s="29" t="inlineStr">
        <is>
          <t>Not assessed</t>
        </is>
      </c>
      <c r="BA413" s="29" t="inlineStr">
        <is>
          <t>Not assessed</t>
        </is>
      </c>
      <c r="BB413" s="29" t="inlineStr">
        <is>
          <t>Not assessed</t>
        </is>
      </c>
      <c r="BC413" s="29" t="inlineStr">
        <is>
          <t>Not assessed</t>
        </is>
      </c>
      <c r="BD413" s="29" t="inlineStr">
        <is>
          <t>Not assessed</t>
        </is>
      </c>
      <c r="BE413" s="29" t="inlineStr">
        <is>
          <t>Development required</t>
        </is>
      </c>
      <c r="BF413" s="29" t="inlineStr">
        <is>
          <t>Not assessed; Physical implementation is not complete against the stated requirement.</t>
        </is>
      </c>
      <c r="BG413" s="29" t="inlineStr">
        <is>
          <t>Not assessed</t>
        </is>
      </c>
      <c r="BH413" s="29" t="inlineStr"/>
      <c r="BI413" s="29" t="inlineStr"/>
      <c r="BJ413" s="29" t="inlineStr"/>
      <c r="BK413" s="29" t="inlineStr">
        <is>
          <t>Evidence reconciled against the reviewed source revision. No production approval is inferred from implementation or file presence.</t>
        </is>
      </c>
      <c r="BL413" s="29" t="inlineStr">
        <is>
          <t>2026-08-02</t>
        </is>
      </c>
    </row>
    <row r="414" ht="42" customHeight="1">
      <c r="A414" s="29" t="inlineStr">
        <is>
          <t>BLYP-20-012</t>
        </is>
      </c>
      <c r="B414" s="29" t="inlineStr"/>
      <c r="C414" s="29" t="inlineStr">
        <is>
          <t>Accessibility and inclusive design</t>
        </is>
      </c>
      <c r="D414" s="29" t="n">
        <v>20</v>
      </c>
      <c r="E414" s="29" t="n">
        <v>12</v>
      </c>
      <c r="F414" s="29" t="inlineStr">
        <is>
          <t>Feature</t>
        </is>
      </c>
      <c r="G414" s="29" t="inlineStr">
        <is>
          <t>Alternative to push-to-talk</t>
        </is>
      </c>
      <c r="H414" s="29" t="inlineStr">
        <is>
          <t>Alternative to push-to-talk</t>
        </is>
      </c>
      <c r="I414" s="29" t="inlineStr">
        <is>
          <t>/home/ubuntu/blyp_product_requirements.md :: Section 20 — Accessibility and inclusive design</t>
        </is>
      </c>
      <c r="J414" s="29" t="inlineStr">
        <is>
          <t>/home/ubuntu/BLYP_COMPLETE_FEATURE_LIST.md:523</t>
        </is>
      </c>
      <c r="K414" s="29" t="inlineStr">
        <is>
          <t>Required</t>
        </is>
      </c>
      <c r="L414" s="29" t="inlineStr">
        <is>
          <t>Applicable BLYP member</t>
        </is>
      </c>
      <c r="M414" s="29" t="inlineStr">
        <is>
          <t>BLYP mobile application and supporting production services</t>
        </is>
      </c>
      <c r="N414" s="29" t="inlineStr">
        <is>
          <t>Alternative to push-to-talk</t>
        </is>
      </c>
      <c r="O414" s="29" t="inlineStr">
        <is>
          <t>Not explicitly defined in the product source; requires accountable product approval before production sign-off.</t>
        </is>
      </c>
      <c r="P414" s="29" t="inlineStr"/>
      <c r="Q414" s="29" t="inlineStr">
        <is>
          <t>Yes</t>
        </is>
      </c>
      <c r="R414" s="29" t="inlineStr">
        <is>
          <t>manual text entry exists.</t>
        </is>
      </c>
      <c r="S414" s="29" t="inlineStr">
        <is>
          <t>Partial</t>
        </is>
      </c>
      <c r="T414" s="29" t="inlineStr">
        <is>
          <t>ReviewScreen.js</t>
        </is>
      </c>
      <c r="U414" s="29" t="inlineStr">
        <is>
          <t>ReviewScreen.js</t>
        </is>
      </c>
      <c r="V414" s="29" t="inlineStr">
        <is>
          <t>Not found</t>
        </is>
      </c>
      <c r="W414" s="29" t="inlineStr">
        <is>
          <t>Not found</t>
        </is>
      </c>
      <c r="X414" s="29" t="inlineStr">
        <is>
          <t>Not found</t>
        </is>
      </c>
      <c r="Y414" s="29" t="inlineStr">
        <is>
          <t>Not found</t>
        </is>
      </c>
      <c r="Z414" s="29" t="inlineStr">
        <is>
          <t>Not found</t>
        </is>
      </c>
      <c r="AA414" s="29" t="inlineStr">
        <is>
          <t>Not found</t>
        </is>
      </c>
      <c r="AB414" s="29" t="inlineStr">
        <is>
          <t>Not found</t>
        </is>
      </c>
      <c r="AC414" s="29" t="inlineStr"/>
      <c r="AD414" s="29" t="inlineStr">
        <is>
          <t>Not found</t>
        </is>
      </c>
      <c r="AE414" s="29" t="inlineStr">
        <is>
          <t>User reachable</t>
        </is>
      </c>
      <c r="AF414" s="29" t="inlineStr">
        <is>
          <t>ReviewScreen.js</t>
        </is>
      </c>
      <c r="AG414" s="29" t="inlineStr">
        <is>
          <t>Incomplete</t>
        </is>
      </c>
      <c r="AH414" s="29" t="inlineStr">
        <is>
          <t>No</t>
        </is>
      </c>
      <c r="AI414" s="29" t="inlineStr">
        <is>
          <t>Not found</t>
        </is>
      </c>
      <c r="AJ414" s="29" t="inlineStr">
        <is>
          <t>Not verified</t>
        </is>
      </c>
      <c r="AK414" s="29" t="inlineStr">
        <is>
          <t>EV-20-0010</t>
        </is>
      </c>
      <c r="AL414" s="29" t="inlineStr"/>
      <c r="AM414" s="29" t="inlineStr"/>
      <c r="AN414" s="29" t="inlineStr"/>
      <c r="AO414" s="29" t="inlineStr">
        <is>
          <t>8bc0dcb2a1da1b21368c5536aaeef829d587f316</t>
        </is>
      </c>
      <c r="AP414" s="29" t="inlineStr">
        <is>
          <t>Medium</t>
        </is>
      </c>
      <c r="AQ414" s="29" t="inlineStr">
        <is>
          <t>Not assessed</t>
        </is>
      </c>
      <c r="AR414" s="29" t="inlineStr">
        <is>
          <t>Not assessed</t>
        </is>
      </c>
      <c r="AS414" s="29" t="inlineStr">
        <is>
          <t>Fail</t>
        </is>
      </c>
      <c r="AT414" s="29" t="inlineStr">
        <is>
          <t>Not assessed</t>
        </is>
      </c>
      <c r="AU414" s="29" t="inlineStr">
        <is>
          <t>Not assessed</t>
        </is>
      </c>
      <c r="AV414" s="29" t="inlineStr">
        <is>
          <t>Not assessed</t>
        </is>
      </c>
      <c r="AW414" s="29" t="inlineStr">
        <is>
          <t>Not assessed</t>
        </is>
      </c>
      <c r="AX414" s="29" t="inlineStr">
        <is>
          <t>Not assessed</t>
        </is>
      </c>
      <c r="AY414" s="29" t="inlineStr">
        <is>
          <t>Not assessed</t>
        </is>
      </c>
      <c r="AZ414" s="29" t="inlineStr">
        <is>
          <t>Not assessed</t>
        </is>
      </c>
      <c r="BA414" s="29" t="inlineStr">
        <is>
          <t>Not assessed</t>
        </is>
      </c>
      <c r="BB414" s="29" t="inlineStr">
        <is>
          <t>Not assessed</t>
        </is>
      </c>
      <c r="BC414" s="29" t="inlineStr">
        <is>
          <t>Not assessed</t>
        </is>
      </c>
      <c r="BD414" s="29" t="inlineStr">
        <is>
          <t>Not assessed</t>
        </is>
      </c>
      <c r="BE414" s="29" t="inlineStr">
        <is>
          <t>Development required</t>
        </is>
      </c>
      <c r="BF414" s="29" t="inlineStr">
        <is>
          <t>Not assessed; Physical implementation is not complete against the stated requirement.</t>
        </is>
      </c>
      <c r="BG414" s="29" t="inlineStr">
        <is>
          <t>Not assessed</t>
        </is>
      </c>
      <c r="BH414" s="29" t="inlineStr"/>
      <c r="BI414" s="29" t="inlineStr"/>
      <c r="BJ414" s="29" t="inlineStr"/>
      <c r="BK414" s="29" t="inlineStr">
        <is>
          <t>Evidence reconciled against the reviewed source revision. No production approval is inferred from implementation or file presence.</t>
        </is>
      </c>
      <c r="BL414" s="29" t="inlineStr">
        <is>
          <t>2026-08-02</t>
        </is>
      </c>
    </row>
    <row r="415" ht="42" customHeight="1">
      <c r="A415" s="29" t="inlineStr">
        <is>
          <t>BLYP-20-013</t>
        </is>
      </c>
      <c r="B415" s="29" t="inlineStr"/>
      <c r="C415" s="29" t="inlineStr">
        <is>
          <t>Accessibility and inclusive design</t>
        </is>
      </c>
      <c r="D415" s="29" t="n">
        <v>20</v>
      </c>
      <c r="E415" s="29" t="n">
        <v>13</v>
      </c>
      <c r="F415" s="29" t="inlineStr">
        <is>
          <t>Feature</t>
        </is>
      </c>
      <c r="G415" s="29" t="inlineStr">
        <is>
          <t>Live-room layout understandable without sound</t>
        </is>
      </c>
      <c r="H415" s="29" t="inlineStr">
        <is>
          <t>Live-room layout understandable without sound</t>
        </is>
      </c>
      <c r="I415" s="29" t="inlineStr">
        <is>
          <t>/home/ubuntu/blyp_product_requirements.md :: Section 20 — Accessibility and inclusive design</t>
        </is>
      </c>
      <c r="J415" s="29" t="inlineStr">
        <is>
          <t>/home/ubuntu/BLYP_COMPLETE_FEATURE_LIST.md:524</t>
        </is>
      </c>
      <c r="K415" s="29" t="inlineStr">
        <is>
          <t>Required</t>
        </is>
      </c>
      <c r="L415" s="29" t="inlineStr">
        <is>
          <t>Applicable BLYP member</t>
        </is>
      </c>
      <c r="M415" s="29" t="inlineStr">
        <is>
          <t>BLYP mobile application and supporting production services</t>
        </is>
      </c>
      <c r="N415" s="29" t="inlineStr">
        <is>
          <t>Live-room layout understandable without sound</t>
        </is>
      </c>
      <c r="O415" s="29" t="inlineStr">
        <is>
          <t>Not explicitly defined in the product source; requires accountable product approval before production sign-off.</t>
        </is>
      </c>
      <c r="P415" s="29" t="inlineStr"/>
      <c r="Q415" s="29" t="inlineStr">
        <is>
          <t>No evidence</t>
        </is>
      </c>
      <c r="R415" s="29" t="inlineStr"/>
      <c r="S415" s="29" t="inlineStr">
        <is>
          <t>Not found</t>
        </is>
      </c>
      <c r="T415" s="29" t="inlineStr">
        <is>
          <t>Unknown</t>
        </is>
      </c>
      <c r="U415" s="29" t="inlineStr">
        <is>
          <t>Unknown</t>
        </is>
      </c>
      <c r="V415" s="29" t="inlineStr">
        <is>
          <t>Unknown</t>
        </is>
      </c>
      <c r="W415" s="29" t="inlineStr">
        <is>
          <t>Unknown</t>
        </is>
      </c>
      <c r="X415" s="29" t="inlineStr">
        <is>
          <t>Unknown</t>
        </is>
      </c>
      <c r="Y415" s="29" t="inlineStr">
        <is>
          <t>Unknown</t>
        </is>
      </c>
      <c r="Z415" s="29" t="inlineStr">
        <is>
          <t>Unknown</t>
        </is>
      </c>
      <c r="AA415" s="29" t="inlineStr">
        <is>
          <t>Unknown</t>
        </is>
      </c>
      <c r="AB415" s="29" t="inlineStr">
        <is>
          <t>Unknown</t>
        </is>
      </c>
      <c r="AC415" s="29" t="inlineStr"/>
      <c r="AD415" s="29" t="inlineStr">
        <is>
          <t>Unknown</t>
        </is>
      </c>
      <c r="AE415" s="29" t="inlineStr">
        <is>
          <t>Unknown</t>
        </is>
      </c>
      <c r="AF415" s="29" t="inlineStr"/>
      <c r="AG415" s="29" t="inlineStr">
        <is>
          <t>Unknown</t>
        </is>
      </c>
      <c r="AH415" s="29" t="inlineStr">
        <is>
          <t>Unknown</t>
        </is>
      </c>
      <c r="AI415" s="29" t="inlineStr">
        <is>
          <t>Searched for LiveRoom and LiveStream layout</t>
        </is>
      </c>
      <c r="AJ415" s="29" t="inlineStr">
        <is>
          <t>Not verified</t>
        </is>
      </c>
      <c r="AK415" s="29" t="inlineStr"/>
      <c r="AL415" s="29" t="inlineStr"/>
      <c r="AM415" s="29" t="inlineStr"/>
      <c r="AN415" s="29" t="inlineStr"/>
      <c r="AO415" s="29" t="inlineStr">
        <is>
          <t>8bc0dcb2a1da1b21368c5536aaeef829d587f316</t>
        </is>
      </c>
      <c r="AP415" s="29" t="inlineStr">
        <is>
          <t>High</t>
        </is>
      </c>
      <c r="AQ415" s="29" t="inlineStr">
        <is>
          <t>Not assessed</t>
        </is>
      </c>
      <c r="AR415" s="29" t="inlineStr">
        <is>
          <t>Not assessed</t>
        </is>
      </c>
      <c r="AS415" s="29" t="inlineStr">
        <is>
          <t>Not assessed</t>
        </is>
      </c>
      <c r="AT415" s="29" t="inlineStr">
        <is>
          <t>Not assessed</t>
        </is>
      </c>
      <c r="AU415" s="29" t="inlineStr">
        <is>
          <t>Not assessed</t>
        </is>
      </c>
      <c r="AV415" s="29" t="inlineStr">
        <is>
          <t>Not assessed</t>
        </is>
      </c>
      <c r="AW415" s="29" t="inlineStr">
        <is>
          <t>Not assessed</t>
        </is>
      </c>
      <c r="AX415" s="29" t="inlineStr">
        <is>
          <t>Not assessed</t>
        </is>
      </c>
      <c r="AY415" s="29" t="inlineStr">
        <is>
          <t>Not assessed</t>
        </is>
      </c>
      <c r="AZ415" s="29" t="inlineStr">
        <is>
          <t>Not assessed</t>
        </is>
      </c>
      <c r="BA415" s="29" t="inlineStr">
        <is>
          <t>Not assessed</t>
        </is>
      </c>
      <c r="BB415" s="29" t="inlineStr">
        <is>
          <t>Not assessed</t>
        </is>
      </c>
      <c r="BC415" s="29" t="inlineStr">
        <is>
          <t>Not assessed</t>
        </is>
      </c>
      <c r="BD415" s="29" t="inlineStr">
        <is>
          <t>Not assessed</t>
        </is>
      </c>
      <c r="BE415" s="29" t="inlineStr">
        <is>
          <t>Development required</t>
        </is>
      </c>
      <c r="BF415" s="29" t="inlineStr">
        <is>
          <t>Not assessed; Physical implementation is not complete against the stated requirement.; Searched for LiveRoom and LiveStream layout</t>
        </is>
      </c>
      <c r="BG415" s="29" t="inlineStr">
        <is>
          <t>Not assessed</t>
        </is>
      </c>
      <c r="BH415" s="29" t="inlineStr"/>
      <c r="BI415" s="29" t="inlineStr"/>
      <c r="BJ415" s="29" t="inlineStr"/>
      <c r="BK415" s="29" t="inlineStr">
        <is>
          <t>Evidence reconciled against the reviewed source revision. No production approval is inferred from implementation or file presence.</t>
        </is>
      </c>
      <c r="BL415" s="29" t="inlineStr">
        <is>
          <t>2026-08-02</t>
        </is>
      </c>
    </row>
    <row r="416" ht="42" customHeight="1">
      <c r="A416" s="29" t="inlineStr">
        <is>
          <t>BLYP-20-014</t>
        </is>
      </c>
      <c r="B416" s="29" t="inlineStr"/>
      <c r="C416" s="29" t="inlineStr">
        <is>
          <t>Accessibility and inclusive design</t>
        </is>
      </c>
      <c r="D416" s="29" t="n">
        <v>20</v>
      </c>
      <c r="E416" s="29" t="n">
        <v>14</v>
      </c>
      <c r="F416" s="29" t="inlineStr">
        <is>
          <t>Feature</t>
        </is>
      </c>
      <c r="G416" s="29" t="inlineStr">
        <is>
          <t>Gifting state understandable without sound</t>
        </is>
      </c>
      <c r="H416" s="29" t="inlineStr">
        <is>
          <t>Gifting state understandable without sound</t>
        </is>
      </c>
      <c r="I416" s="29" t="inlineStr">
        <is>
          <t>/home/ubuntu/blyp_product_requirements.md :: Section 20 — Accessibility and inclusive design</t>
        </is>
      </c>
      <c r="J416" s="29" t="inlineStr">
        <is>
          <t>/home/ubuntu/BLYP_COMPLETE_FEATURE_LIST.md:525</t>
        </is>
      </c>
      <c r="K416" s="29" t="inlineStr">
        <is>
          <t>Required</t>
        </is>
      </c>
      <c r="L416" s="29" t="inlineStr">
        <is>
          <t>Applicable BLYP member</t>
        </is>
      </c>
      <c r="M416" s="29" t="inlineStr">
        <is>
          <t>BLYP mobile application and supporting production services</t>
        </is>
      </c>
      <c r="N416" s="29" t="inlineStr">
        <is>
          <t>Gifting state understandable without sound</t>
        </is>
      </c>
      <c r="O416" s="29" t="inlineStr">
        <is>
          <t>Not explicitly defined in the product source; requires accountable product approval before production sign-off.</t>
        </is>
      </c>
      <c r="P416" s="29" t="inlineStr"/>
      <c r="Q416" s="29" t="inlineStr">
        <is>
          <t>Partial</t>
        </is>
      </c>
      <c r="R416" s="29" t="inlineStr"/>
      <c r="S416" s="29" t="inlineStr">
        <is>
          <t>Partial</t>
        </is>
      </c>
      <c r="T416" s="29" t="inlineStr">
        <is>
          <t>GiftSystem.js</t>
        </is>
      </c>
      <c r="U416" s="29" t="inlineStr">
        <is>
          <t>GiftSystem.js</t>
        </is>
      </c>
      <c r="V416" s="29" t="inlineStr">
        <is>
          <t>Not found</t>
        </is>
      </c>
      <c r="W416" s="29" t="inlineStr">
        <is>
          <t>Not found</t>
        </is>
      </c>
      <c r="X416" s="29" t="inlineStr">
        <is>
          <t>Not found</t>
        </is>
      </c>
      <c r="Y416" s="29" t="inlineStr">
        <is>
          <t>Not found</t>
        </is>
      </c>
      <c r="Z416" s="29" t="inlineStr">
        <is>
          <t>Not found</t>
        </is>
      </c>
      <c r="AA416" s="29" t="inlineStr">
        <is>
          <t>Not found</t>
        </is>
      </c>
      <c r="AB416" s="29" t="inlineStr">
        <is>
          <t>Not found</t>
        </is>
      </c>
      <c r="AC416" s="29" t="inlineStr"/>
      <c r="AD416" s="29" t="inlineStr">
        <is>
          <t>Not found</t>
        </is>
      </c>
      <c r="AE416" s="29" t="inlineStr">
        <is>
          <t>User reachable</t>
        </is>
      </c>
      <c r="AF416" s="29" t="inlineStr">
        <is>
          <t>GiftSystem.js</t>
        </is>
      </c>
      <c r="AG416" s="29" t="inlineStr">
        <is>
          <t>Incomplete</t>
        </is>
      </c>
      <c r="AH416" s="29" t="inlineStr">
        <is>
          <t>No</t>
        </is>
      </c>
      <c r="AI416" s="29" t="inlineStr">
        <is>
          <t>Not found</t>
        </is>
      </c>
      <c r="AJ416" s="29" t="inlineStr">
        <is>
          <t>Not verified</t>
        </is>
      </c>
      <c r="AK416" s="29" t="inlineStr">
        <is>
          <t>EV-20-0011</t>
        </is>
      </c>
      <c r="AL416" s="29" t="inlineStr"/>
      <c r="AM416" s="29" t="inlineStr"/>
      <c r="AN416" s="29" t="inlineStr"/>
      <c r="AO416" s="29" t="inlineStr">
        <is>
          <t>8bc0dcb2a1da1b21368c5536aaeef829d587f316</t>
        </is>
      </c>
      <c r="AP416" s="29" t="inlineStr">
        <is>
          <t>Medium</t>
        </is>
      </c>
      <c r="AQ416" s="29" t="inlineStr">
        <is>
          <t>Not assessed</t>
        </is>
      </c>
      <c r="AR416" s="29" t="inlineStr">
        <is>
          <t>Not assessed</t>
        </is>
      </c>
      <c r="AS416" s="29" t="inlineStr">
        <is>
          <t>Fail</t>
        </is>
      </c>
      <c r="AT416" s="29" t="inlineStr">
        <is>
          <t>Not assessed</t>
        </is>
      </c>
      <c r="AU416" s="29" t="inlineStr">
        <is>
          <t>Not assessed</t>
        </is>
      </c>
      <c r="AV416" s="29" t="inlineStr">
        <is>
          <t>Not assessed</t>
        </is>
      </c>
      <c r="AW416" s="29" t="inlineStr">
        <is>
          <t>Not assessed</t>
        </is>
      </c>
      <c r="AX416" s="29" t="inlineStr">
        <is>
          <t>Not assessed</t>
        </is>
      </c>
      <c r="AY416" s="29" t="inlineStr">
        <is>
          <t>Not assessed</t>
        </is>
      </c>
      <c r="AZ416" s="29" t="inlineStr">
        <is>
          <t>Not assessed</t>
        </is>
      </c>
      <c r="BA416" s="29" t="inlineStr">
        <is>
          <t>Not assessed</t>
        </is>
      </c>
      <c r="BB416" s="29" t="inlineStr">
        <is>
          <t>Not assessed</t>
        </is>
      </c>
      <c r="BC416" s="29" t="inlineStr">
        <is>
          <t>Not assessed</t>
        </is>
      </c>
      <c r="BD416" s="29" t="inlineStr">
        <is>
          <t>Not assessed</t>
        </is>
      </c>
      <c r="BE416" s="29" t="inlineStr">
        <is>
          <t>Development required</t>
        </is>
      </c>
      <c r="BF416" s="29" t="inlineStr">
        <is>
          <t>Not assessed; Physical implementation is not complete against the stated requirement.</t>
        </is>
      </c>
      <c r="BG416" s="29" t="inlineStr">
        <is>
          <t>Not assessed</t>
        </is>
      </c>
      <c r="BH416" s="29" t="inlineStr"/>
      <c r="BI416" s="29" t="inlineStr"/>
      <c r="BJ416" s="29" t="inlineStr"/>
      <c r="BK416" s="29" t="inlineStr">
        <is>
          <t>Evidence reconciled against the reviewed source revision. No production approval is inferred from implementation or file presence.</t>
        </is>
      </c>
      <c r="BL416" s="29" t="inlineStr">
        <is>
          <t>2026-08-02</t>
        </is>
      </c>
    </row>
    <row r="417" ht="42" customHeight="1">
      <c r="A417" s="29" t="inlineStr">
        <is>
          <t>BLYP-20-015</t>
        </is>
      </c>
      <c r="B417" s="29" t="inlineStr"/>
      <c r="C417" s="29" t="inlineStr">
        <is>
          <t>Accessibility and inclusive design</t>
        </is>
      </c>
      <c r="D417" s="29" t="n">
        <v>20</v>
      </c>
      <c r="E417" s="29" t="n">
        <v>15</v>
      </c>
      <c r="F417" s="29" t="inlineStr">
        <is>
          <t>Feature</t>
        </is>
      </c>
      <c r="G417" s="29" t="inlineStr">
        <is>
          <t>Gifting state understandable without rapid animation</t>
        </is>
      </c>
      <c r="H417" s="29" t="inlineStr">
        <is>
          <t>Gifting state understandable without rapid animation</t>
        </is>
      </c>
      <c r="I417" s="29" t="inlineStr">
        <is>
          <t>/home/ubuntu/blyp_product_requirements.md :: Section 20 — Accessibility and inclusive design</t>
        </is>
      </c>
      <c r="J417" s="29" t="inlineStr">
        <is>
          <t>/home/ubuntu/BLYP_COMPLETE_FEATURE_LIST.md:526</t>
        </is>
      </c>
      <c r="K417" s="29" t="inlineStr">
        <is>
          <t>Required</t>
        </is>
      </c>
      <c r="L417" s="29" t="inlineStr">
        <is>
          <t>Applicable BLYP member</t>
        </is>
      </c>
      <c r="M417" s="29" t="inlineStr">
        <is>
          <t>BLYP mobile application and supporting production services</t>
        </is>
      </c>
      <c r="N417" s="29" t="inlineStr">
        <is>
          <t>Gifting state understandable without rapid animation</t>
        </is>
      </c>
      <c r="O417" s="29" t="inlineStr">
        <is>
          <t>Not explicitly defined in the product source; requires accountable product approval before production sign-off.</t>
        </is>
      </c>
      <c r="P417" s="29" t="inlineStr"/>
      <c r="Q417" s="29" t="inlineStr">
        <is>
          <t>No evidence</t>
        </is>
      </c>
      <c r="R417" s="29" t="inlineStr"/>
      <c r="S417" s="29" t="inlineStr">
        <is>
          <t>Not found</t>
        </is>
      </c>
      <c r="T417" s="29" t="inlineStr">
        <is>
          <t>Unknown</t>
        </is>
      </c>
      <c r="U417" s="29" t="inlineStr">
        <is>
          <t>Unknown</t>
        </is>
      </c>
      <c r="V417" s="29" t="inlineStr">
        <is>
          <t>Unknown</t>
        </is>
      </c>
      <c r="W417" s="29" t="inlineStr">
        <is>
          <t>Unknown</t>
        </is>
      </c>
      <c r="X417" s="29" t="inlineStr">
        <is>
          <t>Unknown</t>
        </is>
      </c>
      <c r="Y417" s="29" t="inlineStr">
        <is>
          <t>Unknown</t>
        </is>
      </c>
      <c r="Z417" s="29" t="inlineStr">
        <is>
          <t>Unknown</t>
        </is>
      </c>
      <c r="AA417" s="29" t="inlineStr">
        <is>
          <t>Unknown</t>
        </is>
      </c>
      <c r="AB417" s="29" t="inlineStr">
        <is>
          <t>Unknown</t>
        </is>
      </c>
      <c r="AC417" s="29" t="inlineStr"/>
      <c r="AD417" s="29" t="inlineStr">
        <is>
          <t>Unknown</t>
        </is>
      </c>
      <c r="AE417" s="29" t="inlineStr">
        <is>
          <t>Unknown</t>
        </is>
      </c>
      <c r="AF417" s="29" t="inlineStr"/>
      <c r="AG417" s="29" t="inlineStr">
        <is>
          <t>Unknown</t>
        </is>
      </c>
      <c r="AH417" s="29" t="inlineStr">
        <is>
          <t>Unknown</t>
        </is>
      </c>
      <c r="AI417" s="29" t="inlineStr">
        <is>
          <t>Searched for GiftSystem without animation</t>
        </is>
      </c>
      <c r="AJ417" s="29" t="inlineStr">
        <is>
          <t>Not verified</t>
        </is>
      </c>
      <c r="AK417" s="29" t="inlineStr"/>
      <c r="AL417" s="29" t="inlineStr"/>
      <c r="AM417" s="29" t="inlineStr"/>
      <c r="AN417" s="29" t="inlineStr"/>
      <c r="AO417" s="29" t="inlineStr">
        <is>
          <t>8bc0dcb2a1da1b21368c5536aaeef829d587f316</t>
        </is>
      </c>
      <c r="AP417" s="29" t="inlineStr">
        <is>
          <t>High</t>
        </is>
      </c>
      <c r="AQ417" s="29" t="inlineStr">
        <is>
          <t>Not assessed</t>
        </is>
      </c>
      <c r="AR417" s="29" t="inlineStr">
        <is>
          <t>Not assessed</t>
        </is>
      </c>
      <c r="AS417" s="29" t="inlineStr">
        <is>
          <t>Not assessed</t>
        </is>
      </c>
      <c r="AT417" s="29" t="inlineStr">
        <is>
          <t>Not assessed</t>
        </is>
      </c>
      <c r="AU417" s="29" t="inlineStr">
        <is>
          <t>Not assessed</t>
        </is>
      </c>
      <c r="AV417" s="29" t="inlineStr">
        <is>
          <t>Not assessed</t>
        </is>
      </c>
      <c r="AW417" s="29" t="inlineStr">
        <is>
          <t>Not assessed</t>
        </is>
      </c>
      <c r="AX417" s="29" t="inlineStr">
        <is>
          <t>Not assessed</t>
        </is>
      </c>
      <c r="AY417" s="29" t="inlineStr">
        <is>
          <t>Not assessed</t>
        </is>
      </c>
      <c r="AZ417" s="29" t="inlineStr">
        <is>
          <t>Not assessed</t>
        </is>
      </c>
      <c r="BA417" s="29" t="inlineStr">
        <is>
          <t>Not assessed</t>
        </is>
      </c>
      <c r="BB417" s="29" t="inlineStr">
        <is>
          <t>Not assessed</t>
        </is>
      </c>
      <c r="BC417" s="29" t="inlineStr">
        <is>
          <t>Not assessed</t>
        </is>
      </c>
      <c r="BD417" s="29" t="inlineStr">
        <is>
          <t>Not assessed</t>
        </is>
      </c>
      <c r="BE417" s="29" t="inlineStr">
        <is>
          <t>Development required</t>
        </is>
      </c>
      <c r="BF417" s="29" t="inlineStr">
        <is>
          <t>Not assessed; Physical implementation is not complete against the stated requirement.; Searched for GiftSystem without animation</t>
        </is>
      </c>
      <c r="BG417" s="29" t="inlineStr">
        <is>
          <t>Not assessed</t>
        </is>
      </c>
      <c r="BH417" s="29" t="inlineStr"/>
      <c r="BI417" s="29" t="inlineStr"/>
      <c r="BJ417" s="29" t="inlineStr"/>
      <c r="BK417" s="29" t="inlineStr">
        <is>
          <t>Evidence reconciled against the reviewed source revision. No production approval is inferred from implementation or file presence.</t>
        </is>
      </c>
      <c r="BL417" s="29" t="inlineStr">
        <is>
          <t>2026-08-02</t>
        </is>
      </c>
    </row>
    <row r="418" ht="42" customHeight="1">
      <c r="A418" s="29" t="inlineStr">
        <is>
          <t>BLYP-20-016</t>
        </is>
      </c>
      <c r="B418" s="29" t="inlineStr"/>
      <c r="C418" s="29" t="inlineStr">
        <is>
          <t>Accessibility and inclusive design</t>
        </is>
      </c>
      <c r="D418" s="29" t="n">
        <v>20</v>
      </c>
      <c r="E418" s="29" t="n">
        <v>16</v>
      </c>
      <c r="F418" s="29" t="inlineStr">
        <is>
          <t>Acceptance criterion</t>
        </is>
      </c>
      <c r="G418" s="29" t="inlineStr">
        <is>
          <t>Accessibility release testing</t>
        </is>
      </c>
      <c r="H418" s="29" t="inlineStr">
        <is>
          <t>Accessibility release testing</t>
        </is>
      </c>
      <c r="I418" s="29" t="inlineStr">
        <is>
          <t>/home/ubuntu/blyp_product_requirements.md :: Section 20 — Accessibility and inclusive design</t>
        </is>
      </c>
      <c r="J418" s="29" t="inlineStr">
        <is>
          <t>/home/ubuntu/BLYP_COMPLETE_FEATURE_LIST.md:527</t>
        </is>
      </c>
      <c r="K418" s="29" t="inlineStr">
        <is>
          <t>Required</t>
        </is>
      </c>
      <c r="L418" s="29" t="inlineStr">
        <is>
          <t>Applicable BLYP member</t>
        </is>
      </c>
      <c r="M418" s="29" t="inlineStr">
        <is>
          <t>BLYP mobile application and supporting production services</t>
        </is>
      </c>
      <c r="N418" s="29" t="inlineStr">
        <is>
          <t>Accessibility release testing</t>
        </is>
      </c>
      <c r="O418" s="29" t="inlineStr">
        <is>
          <t>Not explicitly defined in the product source; requires accountable product approval before production sign-off.</t>
        </is>
      </c>
      <c r="P418" s="29" t="inlineStr"/>
      <c r="Q418" s="29" t="inlineStr">
        <is>
          <t>No evidence</t>
        </is>
      </c>
      <c r="R418" s="29" t="inlineStr"/>
      <c r="S418" s="29" t="inlineStr">
        <is>
          <t>Not found</t>
        </is>
      </c>
      <c r="T418" s="29" t="inlineStr">
        <is>
          <t>Unknown</t>
        </is>
      </c>
      <c r="U418" s="29" t="inlineStr">
        <is>
          <t>Unknown</t>
        </is>
      </c>
      <c r="V418" s="29" t="inlineStr">
        <is>
          <t>Unknown</t>
        </is>
      </c>
      <c r="W418" s="29" t="inlineStr">
        <is>
          <t>Unknown</t>
        </is>
      </c>
      <c r="X418" s="29" t="inlineStr">
        <is>
          <t>Unknown</t>
        </is>
      </c>
      <c r="Y418" s="29" t="inlineStr">
        <is>
          <t>Unknown</t>
        </is>
      </c>
      <c r="Z418" s="29" t="inlineStr">
        <is>
          <t>Unknown</t>
        </is>
      </c>
      <c r="AA418" s="29" t="inlineStr">
        <is>
          <t>Unknown</t>
        </is>
      </c>
      <c r="AB418" s="29" t="inlineStr">
        <is>
          <t>Unknown</t>
        </is>
      </c>
      <c r="AC418" s="29" t="inlineStr"/>
      <c r="AD418" s="29" t="inlineStr">
        <is>
          <t>Unknown</t>
        </is>
      </c>
      <c r="AE418" s="29" t="inlineStr">
        <is>
          <t>Unknown</t>
        </is>
      </c>
      <c r="AF418" s="29" t="inlineStr"/>
      <c r="AG418" s="29" t="inlineStr">
        <is>
          <t>Unknown</t>
        </is>
      </c>
      <c r="AH418" s="29" t="inlineStr">
        <is>
          <t>Unknown</t>
        </is>
      </c>
      <c r="AI418" s="29" t="inlineStr">
        <is>
          <t>Searched for accessibility testing in __tests__</t>
        </is>
      </c>
      <c r="AJ418" s="29" t="inlineStr">
        <is>
          <t>Not verified</t>
        </is>
      </c>
      <c r="AK418" s="29" t="inlineStr"/>
      <c r="AL418" s="29" t="inlineStr"/>
      <c r="AM418" s="29" t="inlineStr"/>
      <c r="AN418" s="29" t="inlineStr"/>
      <c r="AO418" s="29" t="inlineStr">
        <is>
          <t>8bc0dcb2a1da1b21368c5536aaeef829d587f316</t>
        </is>
      </c>
      <c r="AP418" s="29" t="inlineStr">
        <is>
          <t>High</t>
        </is>
      </c>
      <c r="AQ418" s="29" t="inlineStr">
        <is>
          <t>Not assessed</t>
        </is>
      </c>
      <c r="AR418" s="29" t="inlineStr">
        <is>
          <t>Not assessed</t>
        </is>
      </c>
      <c r="AS418" s="29" t="inlineStr">
        <is>
          <t>Not assessed</t>
        </is>
      </c>
      <c r="AT418" s="29" t="inlineStr">
        <is>
          <t>Not assessed</t>
        </is>
      </c>
      <c r="AU418" s="29" t="inlineStr">
        <is>
          <t>Not assessed</t>
        </is>
      </c>
      <c r="AV418" s="29" t="inlineStr">
        <is>
          <t>Not assessed</t>
        </is>
      </c>
      <c r="AW418" s="29" t="inlineStr">
        <is>
          <t>Not assessed</t>
        </is>
      </c>
      <c r="AX418" s="29" t="inlineStr">
        <is>
          <t>Not assessed</t>
        </is>
      </c>
      <c r="AY418" s="29" t="inlineStr">
        <is>
          <t>Not assessed</t>
        </is>
      </c>
      <c r="AZ418" s="29" t="inlineStr">
        <is>
          <t>Not assessed</t>
        </is>
      </c>
      <c r="BA418" s="29" t="inlineStr">
        <is>
          <t>Not assessed</t>
        </is>
      </c>
      <c r="BB418" s="29" t="inlineStr">
        <is>
          <t>Not assessed</t>
        </is>
      </c>
      <c r="BC418" s="29" t="inlineStr">
        <is>
          <t>Not assessed</t>
        </is>
      </c>
      <c r="BD418" s="29" t="inlineStr">
        <is>
          <t>Not assessed</t>
        </is>
      </c>
      <c r="BE418" s="29" t="inlineStr">
        <is>
          <t>Development required</t>
        </is>
      </c>
      <c r="BF418" s="29" t="inlineStr">
        <is>
          <t>Not assessed; Physical implementation is not complete against the stated requirement.; Searched for accessibility testing in __tests__</t>
        </is>
      </c>
      <c r="BG418" s="29" t="inlineStr">
        <is>
          <t>Not assessed</t>
        </is>
      </c>
      <c r="BH418" s="29" t="inlineStr"/>
      <c r="BI418" s="29" t="inlineStr"/>
      <c r="BJ418" s="29" t="inlineStr"/>
      <c r="BK418" s="29" t="inlineStr">
        <is>
          <t>Evidence reconciled against the reviewed source revision. No production approval is inferred from implementation or file presence.</t>
        </is>
      </c>
      <c r="BL418" s="29" t="inlineStr">
        <is>
          <t>2026-08-02</t>
        </is>
      </c>
    </row>
    <row r="419" ht="42" customHeight="1">
      <c r="A419" s="29" t="inlineStr">
        <is>
          <t>BLYP-21-001</t>
        </is>
      </c>
      <c r="B419" s="29" t="inlineStr"/>
      <c r="C419" s="29" t="inlineStr">
        <is>
          <t>Performance, reliability, and recovery</t>
        </is>
      </c>
      <c r="D419" s="29" t="n">
        <v>21</v>
      </c>
      <c r="E419" s="29" t="n">
        <v>1</v>
      </c>
      <c r="F419" s="29" t="inlineStr">
        <is>
          <t>Non-functional requirement</t>
        </is>
      </c>
      <c r="G419" s="29" t="inlineStr">
        <is>
          <t>Fast-startup foundations</t>
        </is>
      </c>
      <c r="H419" s="29" t="inlineStr">
        <is>
          <t>Fast-startup foundations</t>
        </is>
      </c>
      <c r="I419" s="29" t="inlineStr">
        <is>
          <t>/home/ubuntu/blyp_product_requirements.md :: Section 21 — Performance, reliability, and recovery</t>
        </is>
      </c>
      <c r="J419" s="29" t="inlineStr">
        <is>
          <t>/home/ubuntu/BLYP_COMPLETE_FEATURE_LIST.md:533</t>
        </is>
      </c>
      <c r="K419" s="29" t="inlineStr">
        <is>
          <t>Required</t>
        </is>
      </c>
      <c r="L419" s="29" t="inlineStr">
        <is>
          <t>Applicable BLYP member</t>
        </is>
      </c>
      <c r="M419" s="29" t="inlineStr">
        <is>
          <t>Production platform and operations</t>
        </is>
      </c>
      <c r="N419" s="29" t="inlineStr">
        <is>
          <t>Fast-startup foundations</t>
        </is>
      </c>
      <c r="O419" s="29" t="inlineStr">
        <is>
          <t>Not explicitly defined in the product source; requires accountable product approval before production sign-off.</t>
        </is>
      </c>
      <c r="P419" s="29" t="inlineStr"/>
      <c r="Q419" s="29" t="inlineStr">
        <is>
          <t>Yes</t>
        </is>
      </c>
      <c r="R419" s="29" t="inlineStr"/>
      <c r="S419" s="29" t="inlineStr">
        <is>
          <t>Unknown</t>
        </is>
      </c>
      <c r="T419" s="29" t="inlineStr"/>
      <c r="U419" s="29" t="inlineStr"/>
      <c r="V419" s="29" t="inlineStr"/>
      <c r="W419" s="29" t="inlineStr"/>
      <c r="X419" s="29" t="inlineStr"/>
      <c r="Y419" s="29" t="inlineStr"/>
      <c r="Z419" s="29" t="inlineStr"/>
      <c r="AA419" s="29" t="inlineStr"/>
      <c r="AB419" s="29" t="inlineStr"/>
      <c r="AC419" s="29" t="inlineStr"/>
      <c r="AD419" s="29" t="inlineStr"/>
      <c r="AE419" s="29" t="inlineStr">
        <is>
          <t>Unknown</t>
        </is>
      </c>
      <c r="AF419" s="29" t="inlineStr">
        <is>
          <t>No exact feature-level physical path was resolved from the reviewed evidence.</t>
        </is>
      </c>
      <c r="AG419" s="29" t="inlineStr">
        <is>
          <t>Unknown</t>
        </is>
      </c>
      <c r="AH419" s="29" t="inlineStr">
        <is>
          <t>Unknown</t>
        </is>
      </c>
      <c r="AI419" s="29" t="inlineStr">
        <is>
          <t>A prior area review labelled this 'Partial', but did not supply a feature-level physical mapping; the authoritative state is therefore Unknown.</t>
        </is>
      </c>
      <c r="AJ419" s="29" t="inlineStr">
        <is>
          <t>Unknown</t>
        </is>
      </c>
      <c r="AK419" s="29" t="inlineStr">
        <is>
          <t>EV-21-0001</t>
        </is>
      </c>
      <c r="AL419" s="29" t="inlineStr"/>
      <c r="AM419" s="29" t="inlineStr"/>
      <c r="AN419" s="29" t="inlineStr"/>
      <c r="AO419" s="29" t="inlineStr">
        <is>
          <t>8bc0dcb2a1da1b21368c5536aaeef829d587f316</t>
        </is>
      </c>
      <c r="AP419" s="29" t="inlineStr">
        <is>
          <t>Low</t>
        </is>
      </c>
      <c r="AQ419" s="29" t="inlineStr">
        <is>
          <t>Not assessed</t>
        </is>
      </c>
      <c r="AR419" s="29" t="inlineStr">
        <is>
          <t>Not assessed</t>
        </is>
      </c>
      <c r="AS419" s="29" t="inlineStr">
        <is>
          <t>Fail</t>
        </is>
      </c>
      <c r="AT419" s="29" t="inlineStr">
        <is>
          <t>Not assessed</t>
        </is>
      </c>
      <c r="AU419" s="29" t="inlineStr">
        <is>
          <t>Not assessed</t>
        </is>
      </c>
      <c r="AV419" s="29" t="inlineStr">
        <is>
          <t>Not assessed</t>
        </is>
      </c>
      <c r="AW419" s="29" t="inlineStr">
        <is>
          <t>Not assessed</t>
        </is>
      </c>
      <c r="AX419" s="29" t="inlineStr">
        <is>
          <t>Not assessed</t>
        </is>
      </c>
      <c r="AY419" s="29" t="inlineStr">
        <is>
          <t>Not assessed</t>
        </is>
      </c>
      <c r="AZ419" s="29" t="inlineStr">
        <is>
          <t>Not assessed</t>
        </is>
      </c>
      <c r="BA419" s="29" t="inlineStr">
        <is>
          <t>Not assessed</t>
        </is>
      </c>
      <c r="BB419" s="29" t="inlineStr">
        <is>
          <t>Not assessed</t>
        </is>
      </c>
      <c r="BC419" s="29" t="inlineStr">
        <is>
          <t>Not assessed</t>
        </is>
      </c>
      <c r="BD419" s="29" t="inlineStr">
        <is>
          <t>Not assessed</t>
        </is>
      </c>
      <c r="BE419" s="29" t="inlineStr">
        <is>
          <t>Not assessed</t>
        </is>
      </c>
      <c r="BF419" s="29" t="inlineStr">
        <is>
          <t>Production readiness cannot be assessed until the exact physical implementation and runtime path are traced.</t>
        </is>
      </c>
      <c r="BG419" s="29" t="inlineStr">
        <is>
          <t>Map the feature to exact client, server, data, worker and configuration locations, then verify its runtime path.</t>
        </is>
      </c>
      <c r="BH419" s="29" t="inlineStr"/>
      <c r="BI419" s="29" t="inlineStr"/>
      <c r="BJ419" s="29" t="inlineStr"/>
      <c r="BK419" s="29" t="inlineStr">
        <is>
          <t>Evidence reconciled against the reviewed source revision. No production approval is inferred from implementation or file presence.</t>
        </is>
      </c>
      <c r="BL419" s="29" t="inlineStr">
        <is>
          <t>2026-08-02</t>
        </is>
      </c>
    </row>
    <row r="420" ht="42" customHeight="1">
      <c r="A420" s="29" t="inlineStr">
        <is>
          <t>BLYP-21-002</t>
        </is>
      </c>
      <c r="B420" s="29" t="inlineStr"/>
      <c r="C420" s="29" t="inlineStr">
        <is>
          <t>Performance, reliability, and recovery</t>
        </is>
      </c>
      <c r="D420" s="29" t="n">
        <v>21</v>
      </c>
      <c r="E420" s="29" t="n">
        <v>2</v>
      </c>
      <c r="F420" s="29" t="inlineStr">
        <is>
          <t>Non-functional requirement</t>
        </is>
      </c>
      <c r="G420" s="29" t="inlineStr">
        <is>
          <t>Smooth scrolling foundations</t>
        </is>
      </c>
      <c r="H420" s="29" t="inlineStr">
        <is>
          <t>Smooth scrolling foundations</t>
        </is>
      </c>
      <c r="I420" s="29" t="inlineStr">
        <is>
          <t>/home/ubuntu/blyp_product_requirements.md :: Section 21 — Performance, reliability, and recovery</t>
        </is>
      </c>
      <c r="J420" s="29" t="inlineStr">
        <is>
          <t>/home/ubuntu/BLYP_COMPLETE_FEATURE_LIST.md:534</t>
        </is>
      </c>
      <c r="K420" s="29" t="inlineStr">
        <is>
          <t>Required</t>
        </is>
      </c>
      <c r="L420" s="29" t="inlineStr">
        <is>
          <t>Applicable BLYP member</t>
        </is>
      </c>
      <c r="M420" s="29" t="inlineStr">
        <is>
          <t>Production platform and operations</t>
        </is>
      </c>
      <c r="N420" s="29" t="inlineStr">
        <is>
          <t>Smooth scrolling foundations</t>
        </is>
      </c>
      <c r="O420" s="29" t="inlineStr">
        <is>
          <t>Not explicitly defined in the product source; requires accountable product approval before production sign-off.</t>
        </is>
      </c>
      <c r="P420" s="29" t="inlineStr"/>
      <c r="Q420" s="29" t="inlineStr">
        <is>
          <t>Yes</t>
        </is>
      </c>
      <c r="R420" s="29" t="inlineStr"/>
      <c r="S420" s="29" t="inlineStr">
        <is>
          <t>Not found</t>
        </is>
      </c>
      <c r="T420" s="29" t="inlineStr"/>
      <c r="U420" s="29" t="inlineStr"/>
      <c r="V420" s="29" t="inlineStr"/>
      <c r="W420" s="29" t="inlineStr"/>
      <c r="X420" s="29" t="inlineStr"/>
      <c r="Y420" s="29" t="inlineStr"/>
      <c r="Z420" s="29" t="inlineStr"/>
      <c r="AA420" s="29" t="inlineStr"/>
      <c r="AB420" s="29" t="inlineStr"/>
      <c r="AC420" s="29" t="inlineStr"/>
      <c r="AD420" s="29" t="inlineStr"/>
      <c r="AE420" s="29" t="inlineStr">
        <is>
          <t>Unknown</t>
        </is>
      </c>
      <c r="AF420" s="29" t="inlineStr"/>
      <c r="AG420" s="29" t="inlineStr">
        <is>
          <t>Unknown</t>
        </is>
      </c>
      <c r="AH420" s="29" t="inlineStr">
        <is>
          <t>Unknown</t>
        </is>
      </c>
      <c r="AI420" s="29" t="inlineStr">
        <is>
          <t>Searched for Smooth scrolling foundations but found no evidence.</t>
        </is>
      </c>
      <c r="AJ420" s="29" t="inlineStr">
        <is>
          <t>Not verified</t>
        </is>
      </c>
      <c r="AK420" s="29" t="inlineStr"/>
      <c r="AL420" s="29" t="inlineStr"/>
      <c r="AM420" s="29" t="inlineStr"/>
      <c r="AN420" s="29" t="inlineStr"/>
      <c r="AO420" s="29" t="inlineStr">
        <is>
          <t>8bc0dcb2a1da1b21368c5536aaeef829d587f316</t>
        </is>
      </c>
      <c r="AP420" s="29" t="inlineStr">
        <is>
          <t>Low</t>
        </is>
      </c>
      <c r="AQ420" s="29" t="inlineStr">
        <is>
          <t>Not assessed</t>
        </is>
      </c>
      <c r="AR420" s="29" t="inlineStr">
        <is>
          <t>Not assessed</t>
        </is>
      </c>
      <c r="AS420" s="29" t="inlineStr">
        <is>
          <t>Not assessed</t>
        </is>
      </c>
      <c r="AT420" s="29" t="inlineStr">
        <is>
          <t>Not assessed</t>
        </is>
      </c>
      <c r="AU420" s="29" t="inlineStr">
        <is>
          <t>Not assessed</t>
        </is>
      </c>
      <c r="AV420" s="29" t="inlineStr">
        <is>
          <t>Not assessed</t>
        </is>
      </c>
      <c r="AW420" s="29" t="inlineStr">
        <is>
          <t>Not assessed</t>
        </is>
      </c>
      <c r="AX420" s="29" t="inlineStr">
        <is>
          <t>Not assessed</t>
        </is>
      </c>
      <c r="AY420" s="29" t="inlineStr">
        <is>
          <t>Not assessed</t>
        </is>
      </c>
      <c r="AZ420" s="29" t="inlineStr">
        <is>
          <t>Not assessed</t>
        </is>
      </c>
      <c r="BA420" s="29" t="inlineStr">
        <is>
          <t>Not assessed</t>
        </is>
      </c>
      <c r="BB420" s="29" t="inlineStr">
        <is>
          <t>Not assessed</t>
        </is>
      </c>
      <c r="BC420" s="29" t="inlineStr">
        <is>
          <t>Not assessed</t>
        </is>
      </c>
      <c r="BD420" s="29" t="inlineStr">
        <is>
          <t>Not assessed</t>
        </is>
      </c>
      <c r="BE420" s="29" t="inlineStr">
        <is>
          <t>Development required</t>
        </is>
      </c>
      <c r="BF420" s="29" t="inlineStr">
        <is>
          <t>Physical implementation is not complete against the stated requirement.; Searched for Smooth scrolling foundations but found no evidence.</t>
        </is>
      </c>
      <c r="BG420" s="29" t="inlineStr"/>
      <c r="BH420" s="29" t="inlineStr"/>
      <c r="BI420" s="29" t="inlineStr"/>
      <c r="BJ420" s="29" t="inlineStr"/>
      <c r="BK420" s="29" t="inlineStr">
        <is>
          <t>Evidence reconciled against the reviewed source revision. No production approval is inferred from implementation or file presence.</t>
        </is>
      </c>
      <c r="BL420" s="29" t="inlineStr">
        <is>
          <t>2026-08-02</t>
        </is>
      </c>
    </row>
    <row r="421" ht="42" customHeight="1">
      <c r="A421" s="29" t="inlineStr">
        <is>
          <t>BLYP-21-003</t>
        </is>
      </c>
      <c r="B421" s="29" t="inlineStr"/>
      <c r="C421" s="29" t="inlineStr">
        <is>
          <t>Performance, reliability, and recovery</t>
        </is>
      </c>
      <c r="D421" s="29" t="n">
        <v>21</v>
      </c>
      <c r="E421" s="29" t="n">
        <v>3</v>
      </c>
      <c r="F421" s="29" t="inlineStr">
        <is>
          <t>Feature</t>
        </is>
      </c>
      <c r="G421" s="29" t="inlineStr">
        <is>
          <t>Media prefetching</t>
        </is>
      </c>
      <c r="H421" s="29" t="inlineStr">
        <is>
          <t>Media prefetching</t>
        </is>
      </c>
      <c r="I421" s="29" t="inlineStr">
        <is>
          <t>/home/ubuntu/blyp_product_requirements.md :: Section 21 — Performance, reliability, and recovery</t>
        </is>
      </c>
      <c r="J421" s="29" t="inlineStr">
        <is>
          <t>/home/ubuntu/BLYP_COMPLETE_FEATURE_LIST.md:535</t>
        </is>
      </c>
      <c r="K421" s="29" t="inlineStr">
        <is>
          <t>Required</t>
        </is>
      </c>
      <c r="L421" s="29" t="inlineStr">
        <is>
          <t>Applicable BLYP member</t>
        </is>
      </c>
      <c r="M421" s="29" t="inlineStr">
        <is>
          <t>BLYP mobile application and supporting production services</t>
        </is>
      </c>
      <c r="N421" s="29" t="inlineStr">
        <is>
          <t>Media prefetching</t>
        </is>
      </c>
      <c r="O421" s="29" t="inlineStr">
        <is>
          <t>Not explicitly defined in the product source; requires accountable product approval before production sign-off.</t>
        </is>
      </c>
      <c r="P421" s="29" t="inlineStr"/>
      <c r="Q421" s="29" t="inlineStr">
        <is>
          <t>Yes</t>
        </is>
      </c>
      <c r="R421" s="29" t="inlineStr"/>
      <c r="S421" s="29" t="inlineStr">
        <is>
          <t>Not found</t>
        </is>
      </c>
      <c r="T421" s="29" t="inlineStr"/>
      <c r="U421" s="29" t="inlineStr"/>
      <c r="V421" s="29" t="inlineStr"/>
      <c r="W421" s="29" t="inlineStr"/>
      <c r="X421" s="29" t="inlineStr"/>
      <c r="Y421" s="29" t="inlineStr"/>
      <c r="Z421" s="29" t="inlineStr"/>
      <c r="AA421" s="29" t="inlineStr"/>
      <c r="AB421" s="29" t="inlineStr"/>
      <c r="AC421" s="29" t="inlineStr"/>
      <c r="AD421" s="29" t="inlineStr"/>
      <c r="AE421" s="29" t="inlineStr">
        <is>
          <t>Unknown</t>
        </is>
      </c>
      <c r="AF421" s="29" t="inlineStr"/>
      <c r="AG421" s="29" t="inlineStr">
        <is>
          <t>Unknown</t>
        </is>
      </c>
      <c r="AH421" s="29" t="inlineStr">
        <is>
          <t>Unknown</t>
        </is>
      </c>
      <c r="AI421" s="29" t="inlineStr">
        <is>
          <t>Searched for Media prefetching but found no evidence.</t>
        </is>
      </c>
      <c r="AJ421" s="29" t="inlineStr">
        <is>
          <t>Not verified</t>
        </is>
      </c>
      <c r="AK421" s="29" t="inlineStr"/>
      <c r="AL421" s="29" t="inlineStr"/>
      <c r="AM421" s="29" t="inlineStr"/>
      <c r="AN421" s="29" t="inlineStr"/>
      <c r="AO421" s="29" t="inlineStr">
        <is>
          <t>8bc0dcb2a1da1b21368c5536aaeef829d587f316</t>
        </is>
      </c>
      <c r="AP421" s="29" t="inlineStr">
        <is>
          <t>Low</t>
        </is>
      </c>
      <c r="AQ421" s="29" t="inlineStr">
        <is>
          <t>Not assessed</t>
        </is>
      </c>
      <c r="AR421" s="29" t="inlineStr">
        <is>
          <t>Not assessed</t>
        </is>
      </c>
      <c r="AS421" s="29" t="inlineStr">
        <is>
          <t>Not assessed</t>
        </is>
      </c>
      <c r="AT421" s="29" t="inlineStr">
        <is>
          <t>Not assessed</t>
        </is>
      </c>
      <c r="AU421" s="29" t="inlineStr">
        <is>
          <t>Not assessed</t>
        </is>
      </c>
      <c r="AV421" s="29" t="inlineStr">
        <is>
          <t>Not assessed</t>
        </is>
      </c>
      <c r="AW421" s="29" t="inlineStr">
        <is>
          <t>Not assessed</t>
        </is>
      </c>
      <c r="AX421" s="29" t="inlineStr">
        <is>
          <t>Not assessed</t>
        </is>
      </c>
      <c r="AY421" s="29" t="inlineStr">
        <is>
          <t>Not assessed</t>
        </is>
      </c>
      <c r="AZ421" s="29" t="inlineStr">
        <is>
          <t>Not assessed</t>
        </is>
      </c>
      <c r="BA421" s="29" t="inlineStr">
        <is>
          <t>Not assessed</t>
        </is>
      </c>
      <c r="BB421" s="29" t="inlineStr">
        <is>
          <t>Not assessed</t>
        </is>
      </c>
      <c r="BC421" s="29" t="inlineStr">
        <is>
          <t>Not assessed</t>
        </is>
      </c>
      <c r="BD421" s="29" t="inlineStr">
        <is>
          <t>Not assessed</t>
        </is>
      </c>
      <c r="BE421" s="29" t="inlineStr">
        <is>
          <t>Development required</t>
        </is>
      </c>
      <c r="BF421" s="29" t="inlineStr">
        <is>
          <t>Physical implementation is not complete against the stated requirement.; Searched for Media prefetching but found no evidence.</t>
        </is>
      </c>
      <c r="BG421" s="29" t="inlineStr"/>
      <c r="BH421" s="29" t="inlineStr"/>
      <c r="BI421" s="29" t="inlineStr"/>
      <c r="BJ421" s="29" t="inlineStr"/>
      <c r="BK421" s="29" t="inlineStr">
        <is>
          <t>Evidence reconciled against the reviewed source revision. No production approval is inferred from implementation or file presence.</t>
        </is>
      </c>
      <c r="BL421" s="29" t="inlineStr">
        <is>
          <t>2026-08-02</t>
        </is>
      </c>
    </row>
    <row r="422" ht="42" customHeight="1">
      <c r="A422" s="29" t="inlineStr">
        <is>
          <t>BLYP-21-004</t>
        </is>
      </c>
      <c r="B422" s="29" t="inlineStr"/>
      <c r="C422" s="29" t="inlineStr">
        <is>
          <t>Performance, reliability, and recovery</t>
        </is>
      </c>
      <c r="D422" s="29" t="n">
        <v>21</v>
      </c>
      <c r="E422" s="29" t="n">
        <v>4</v>
      </c>
      <c r="F422" s="29" t="inlineStr">
        <is>
          <t>Feature</t>
        </is>
      </c>
      <c r="G422" s="29" t="inlineStr">
        <is>
          <t>Connection warm-ups</t>
        </is>
      </c>
      <c r="H422" s="29" t="inlineStr">
        <is>
          <t>Connection warm-ups</t>
        </is>
      </c>
      <c r="I422" s="29" t="inlineStr">
        <is>
          <t>/home/ubuntu/blyp_product_requirements.md :: Section 21 — Performance, reliability, and recovery</t>
        </is>
      </c>
      <c r="J422" s="29" t="inlineStr">
        <is>
          <t>/home/ubuntu/BLYP_COMPLETE_FEATURE_LIST.md:536</t>
        </is>
      </c>
      <c r="K422" s="29" t="inlineStr">
        <is>
          <t>Required</t>
        </is>
      </c>
      <c r="L422" s="29" t="inlineStr">
        <is>
          <t>Applicable BLYP member</t>
        </is>
      </c>
      <c r="M422" s="29" t="inlineStr">
        <is>
          <t>BLYP mobile application and supporting production services</t>
        </is>
      </c>
      <c r="N422" s="29" t="inlineStr">
        <is>
          <t>Connection warm-ups</t>
        </is>
      </c>
      <c r="O422" s="29" t="inlineStr">
        <is>
          <t>Not explicitly defined in the product source; requires accountable product approval before production sign-off.</t>
        </is>
      </c>
      <c r="P422" s="29" t="inlineStr"/>
      <c r="Q422" s="29" t="inlineStr">
        <is>
          <t>Yes</t>
        </is>
      </c>
      <c r="R422" s="29" t="inlineStr"/>
      <c r="S422" s="29" t="inlineStr">
        <is>
          <t>Not found</t>
        </is>
      </c>
      <c r="T422" s="29" t="inlineStr"/>
      <c r="U422" s="29" t="inlineStr"/>
      <c r="V422" s="29" t="inlineStr"/>
      <c r="W422" s="29" t="inlineStr"/>
      <c r="X422" s="29" t="inlineStr"/>
      <c r="Y422" s="29" t="inlineStr"/>
      <c r="Z422" s="29" t="inlineStr"/>
      <c r="AA422" s="29" t="inlineStr"/>
      <c r="AB422" s="29" t="inlineStr"/>
      <c r="AC422" s="29" t="inlineStr"/>
      <c r="AD422" s="29" t="inlineStr"/>
      <c r="AE422" s="29" t="inlineStr">
        <is>
          <t>Unknown</t>
        </is>
      </c>
      <c r="AF422" s="29" t="inlineStr"/>
      <c r="AG422" s="29" t="inlineStr">
        <is>
          <t>Unknown</t>
        </is>
      </c>
      <c r="AH422" s="29" t="inlineStr">
        <is>
          <t>Unknown</t>
        </is>
      </c>
      <c r="AI422" s="29" t="inlineStr">
        <is>
          <t>Searched for Connection warm-ups but found no evidence.</t>
        </is>
      </c>
      <c r="AJ422" s="29" t="inlineStr">
        <is>
          <t>Not verified</t>
        </is>
      </c>
      <c r="AK422" s="29" t="inlineStr"/>
      <c r="AL422" s="29" t="inlineStr"/>
      <c r="AM422" s="29" t="inlineStr"/>
      <c r="AN422" s="29" t="inlineStr"/>
      <c r="AO422" s="29" t="inlineStr">
        <is>
          <t>8bc0dcb2a1da1b21368c5536aaeef829d587f316</t>
        </is>
      </c>
      <c r="AP422" s="29" t="inlineStr">
        <is>
          <t>Low</t>
        </is>
      </c>
      <c r="AQ422" s="29" t="inlineStr">
        <is>
          <t>Not assessed</t>
        </is>
      </c>
      <c r="AR422" s="29" t="inlineStr">
        <is>
          <t>Not assessed</t>
        </is>
      </c>
      <c r="AS422" s="29" t="inlineStr">
        <is>
          <t>Not assessed</t>
        </is>
      </c>
      <c r="AT422" s="29" t="inlineStr">
        <is>
          <t>Not assessed</t>
        </is>
      </c>
      <c r="AU422" s="29" t="inlineStr">
        <is>
          <t>Not assessed</t>
        </is>
      </c>
      <c r="AV422" s="29" t="inlineStr">
        <is>
          <t>Not assessed</t>
        </is>
      </c>
      <c r="AW422" s="29" t="inlineStr">
        <is>
          <t>Not assessed</t>
        </is>
      </c>
      <c r="AX422" s="29" t="inlineStr">
        <is>
          <t>Not assessed</t>
        </is>
      </c>
      <c r="AY422" s="29" t="inlineStr">
        <is>
          <t>Not assessed</t>
        </is>
      </c>
      <c r="AZ422" s="29" t="inlineStr">
        <is>
          <t>Not assessed</t>
        </is>
      </c>
      <c r="BA422" s="29" t="inlineStr">
        <is>
          <t>Not assessed</t>
        </is>
      </c>
      <c r="BB422" s="29" t="inlineStr">
        <is>
          <t>Not assessed</t>
        </is>
      </c>
      <c r="BC422" s="29" t="inlineStr">
        <is>
          <t>Not assessed</t>
        </is>
      </c>
      <c r="BD422" s="29" t="inlineStr">
        <is>
          <t>Not assessed</t>
        </is>
      </c>
      <c r="BE422" s="29" t="inlineStr">
        <is>
          <t>Development required</t>
        </is>
      </c>
      <c r="BF422" s="29" t="inlineStr">
        <is>
          <t>Physical implementation is not complete against the stated requirement.; Searched for Connection warm-ups but found no evidence.</t>
        </is>
      </c>
      <c r="BG422" s="29" t="inlineStr"/>
      <c r="BH422" s="29" t="inlineStr"/>
      <c r="BI422" s="29" t="inlineStr"/>
      <c r="BJ422" s="29" t="inlineStr"/>
      <c r="BK422" s="29" t="inlineStr">
        <is>
          <t>Evidence reconciled against the reviewed source revision. No production approval is inferred from implementation or file presence.</t>
        </is>
      </c>
      <c r="BL422" s="29" t="inlineStr">
        <is>
          <t>2026-08-02</t>
        </is>
      </c>
    </row>
    <row r="423" ht="42" customHeight="1">
      <c r="A423" s="29" t="inlineStr">
        <is>
          <t>BLYP-21-005</t>
        </is>
      </c>
      <c r="B423" s="29" t="inlineStr"/>
      <c r="C423" s="29" t="inlineStr">
        <is>
          <t>Performance, reliability, and recovery</t>
        </is>
      </c>
      <c r="D423" s="29" t="n">
        <v>21</v>
      </c>
      <c r="E423" s="29" t="n">
        <v>5</v>
      </c>
      <c r="F423" s="29" t="inlineStr">
        <is>
          <t>Feature</t>
        </is>
      </c>
      <c r="G423" s="29" t="inlineStr">
        <is>
          <t>Cache-aware media playback</t>
        </is>
      </c>
      <c r="H423" s="29" t="inlineStr">
        <is>
          <t>Cache-aware media playback</t>
        </is>
      </c>
      <c r="I423" s="29" t="inlineStr">
        <is>
          <t>/home/ubuntu/blyp_product_requirements.md :: Section 21 — Performance, reliability, and recovery</t>
        </is>
      </c>
      <c r="J423" s="29" t="inlineStr">
        <is>
          <t>/home/ubuntu/BLYP_COMPLETE_FEATURE_LIST.md:537</t>
        </is>
      </c>
      <c r="K423" s="29" t="inlineStr">
        <is>
          <t>Required</t>
        </is>
      </c>
      <c r="L423" s="29" t="inlineStr">
        <is>
          <t>Applicable BLYP member</t>
        </is>
      </c>
      <c r="M423" s="29" t="inlineStr">
        <is>
          <t>BLYP mobile application and supporting production services</t>
        </is>
      </c>
      <c r="N423" s="29" t="inlineStr">
        <is>
          <t>Cache-aware media playback</t>
        </is>
      </c>
      <c r="O423" s="29" t="inlineStr">
        <is>
          <t>Not explicitly defined in the product source; requires accountable product approval before production sign-off.</t>
        </is>
      </c>
      <c r="P423" s="29" t="inlineStr"/>
      <c r="Q423" s="29" t="inlineStr">
        <is>
          <t>Yes</t>
        </is>
      </c>
      <c r="R423" s="29" t="inlineStr"/>
      <c r="S423" s="29" t="inlineStr">
        <is>
          <t>Not found</t>
        </is>
      </c>
      <c r="T423" s="29" t="inlineStr"/>
      <c r="U423" s="29" t="inlineStr"/>
      <c r="V423" s="29" t="inlineStr"/>
      <c r="W423" s="29" t="inlineStr"/>
      <c r="X423" s="29" t="inlineStr"/>
      <c r="Y423" s="29" t="inlineStr"/>
      <c r="Z423" s="29" t="inlineStr"/>
      <c r="AA423" s="29" t="inlineStr"/>
      <c r="AB423" s="29" t="inlineStr"/>
      <c r="AC423" s="29" t="inlineStr"/>
      <c r="AD423" s="29" t="inlineStr"/>
      <c r="AE423" s="29" t="inlineStr">
        <is>
          <t>Unknown</t>
        </is>
      </c>
      <c r="AF423" s="29" t="inlineStr"/>
      <c r="AG423" s="29" t="inlineStr">
        <is>
          <t>Unknown</t>
        </is>
      </c>
      <c r="AH423" s="29" t="inlineStr">
        <is>
          <t>Unknown</t>
        </is>
      </c>
      <c r="AI423" s="29" t="inlineStr">
        <is>
          <t>Searched for Cache-aware media playback but found no evidence.</t>
        </is>
      </c>
      <c r="AJ423" s="29" t="inlineStr">
        <is>
          <t>Not verified</t>
        </is>
      </c>
      <c r="AK423" s="29" t="inlineStr"/>
      <c r="AL423" s="29" t="inlineStr"/>
      <c r="AM423" s="29" t="inlineStr"/>
      <c r="AN423" s="29" t="inlineStr"/>
      <c r="AO423" s="29" t="inlineStr">
        <is>
          <t>8bc0dcb2a1da1b21368c5536aaeef829d587f316</t>
        </is>
      </c>
      <c r="AP423" s="29" t="inlineStr">
        <is>
          <t>Low</t>
        </is>
      </c>
      <c r="AQ423" s="29" t="inlineStr">
        <is>
          <t>Not assessed</t>
        </is>
      </c>
      <c r="AR423" s="29" t="inlineStr">
        <is>
          <t>Not assessed</t>
        </is>
      </c>
      <c r="AS423" s="29" t="inlineStr">
        <is>
          <t>Not assessed</t>
        </is>
      </c>
      <c r="AT423" s="29" t="inlineStr">
        <is>
          <t>Not assessed</t>
        </is>
      </c>
      <c r="AU423" s="29" t="inlineStr">
        <is>
          <t>Not assessed</t>
        </is>
      </c>
      <c r="AV423" s="29" t="inlineStr">
        <is>
          <t>Not assessed</t>
        </is>
      </c>
      <c r="AW423" s="29" t="inlineStr">
        <is>
          <t>Not assessed</t>
        </is>
      </c>
      <c r="AX423" s="29" t="inlineStr">
        <is>
          <t>Not assessed</t>
        </is>
      </c>
      <c r="AY423" s="29" t="inlineStr">
        <is>
          <t>Not assessed</t>
        </is>
      </c>
      <c r="AZ423" s="29" t="inlineStr">
        <is>
          <t>Not assessed</t>
        </is>
      </c>
      <c r="BA423" s="29" t="inlineStr">
        <is>
          <t>Not assessed</t>
        </is>
      </c>
      <c r="BB423" s="29" t="inlineStr">
        <is>
          <t>Not assessed</t>
        </is>
      </c>
      <c r="BC423" s="29" t="inlineStr">
        <is>
          <t>Not assessed</t>
        </is>
      </c>
      <c r="BD423" s="29" t="inlineStr">
        <is>
          <t>Not assessed</t>
        </is>
      </c>
      <c r="BE423" s="29" t="inlineStr">
        <is>
          <t>Development required</t>
        </is>
      </c>
      <c r="BF423" s="29" t="inlineStr">
        <is>
          <t>Physical implementation is not complete against the stated requirement.; Searched for Cache-aware media playback but found no evidence.</t>
        </is>
      </c>
      <c r="BG423" s="29" t="inlineStr"/>
      <c r="BH423" s="29" t="inlineStr"/>
      <c r="BI423" s="29" t="inlineStr"/>
      <c r="BJ423" s="29" t="inlineStr"/>
      <c r="BK423" s="29" t="inlineStr">
        <is>
          <t>Evidence reconciled against the reviewed source revision. No production approval is inferred from implementation or file presence.</t>
        </is>
      </c>
      <c r="BL423" s="29" t="inlineStr">
        <is>
          <t>2026-08-02</t>
        </is>
      </c>
    </row>
    <row r="424" ht="42" customHeight="1">
      <c r="A424" s="29" t="inlineStr">
        <is>
          <t>BLYP-21-006</t>
        </is>
      </c>
      <c r="B424" s="29" t="inlineStr"/>
      <c r="C424" s="29" t="inlineStr">
        <is>
          <t>Performance, reliability, and recovery</t>
        </is>
      </c>
      <c r="D424" s="29" t="n">
        <v>21</v>
      </c>
      <c r="E424" s="29" t="n">
        <v>6</v>
      </c>
      <c r="F424" s="29" t="inlineStr">
        <is>
          <t>Feature</t>
        </is>
      </c>
      <c r="G424" s="29" t="inlineStr">
        <is>
          <t>Focus-aware media playback</t>
        </is>
      </c>
      <c r="H424" s="29" t="inlineStr">
        <is>
          <t>Focus-aware media playback</t>
        </is>
      </c>
      <c r="I424" s="29" t="inlineStr">
        <is>
          <t>/home/ubuntu/blyp_product_requirements.md :: Section 21 — Performance, reliability, and recovery</t>
        </is>
      </c>
      <c r="J424" s="29" t="inlineStr">
        <is>
          <t>/home/ubuntu/BLYP_COMPLETE_FEATURE_LIST.md:538</t>
        </is>
      </c>
      <c r="K424" s="29" t="inlineStr">
        <is>
          <t>Required</t>
        </is>
      </c>
      <c r="L424" s="29" t="inlineStr">
        <is>
          <t>Applicable BLYP member</t>
        </is>
      </c>
      <c r="M424" s="29" t="inlineStr">
        <is>
          <t>BLYP mobile application and supporting production services</t>
        </is>
      </c>
      <c r="N424" s="29" t="inlineStr">
        <is>
          <t>Focus-aware media playback</t>
        </is>
      </c>
      <c r="O424" s="29" t="inlineStr">
        <is>
          <t>Not explicitly defined in the product source; requires accountable product approval before production sign-off.</t>
        </is>
      </c>
      <c r="P424" s="29" t="inlineStr"/>
      <c r="Q424" s="29" t="inlineStr">
        <is>
          <t>Yes</t>
        </is>
      </c>
      <c r="R424" s="29" t="inlineStr"/>
      <c r="S424" s="29" t="inlineStr">
        <is>
          <t>Not found</t>
        </is>
      </c>
      <c r="T424" s="29" t="inlineStr"/>
      <c r="U424" s="29" t="inlineStr"/>
      <c r="V424" s="29" t="inlineStr"/>
      <c r="W424" s="29" t="inlineStr"/>
      <c r="X424" s="29" t="inlineStr"/>
      <c r="Y424" s="29" t="inlineStr"/>
      <c r="Z424" s="29" t="inlineStr"/>
      <c r="AA424" s="29" t="inlineStr"/>
      <c r="AB424" s="29" t="inlineStr"/>
      <c r="AC424" s="29" t="inlineStr"/>
      <c r="AD424" s="29" t="inlineStr"/>
      <c r="AE424" s="29" t="inlineStr">
        <is>
          <t>Unknown</t>
        </is>
      </c>
      <c r="AF424" s="29" t="inlineStr"/>
      <c r="AG424" s="29" t="inlineStr">
        <is>
          <t>Unknown</t>
        </is>
      </c>
      <c r="AH424" s="29" t="inlineStr">
        <is>
          <t>Unknown</t>
        </is>
      </c>
      <c r="AI424" s="29" t="inlineStr">
        <is>
          <t>Searched for Focus-aware media playback but found no evidence.</t>
        </is>
      </c>
      <c r="AJ424" s="29" t="inlineStr">
        <is>
          <t>Not verified</t>
        </is>
      </c>
      <c r="AK424" s="29" t="inlineStr"/>
      <c r="AL424" s="29" t="inlineStr"/>
      <c r="AM424" s="29" t="inlineStr"/>
      <c r="AN424" s="29" t="inlineStr"/>
      <c r="AO424" s="29" t="inlineStr">
        <is>
          <t>8bc0dcb2a1da1b21368c5536aaeef829d587f316</t>
        </is>
      </c>
      <c r="AP424" s="29" t="inlineStr">
        <is>
          <t>Low</t>
        </is>
      </c>
      <c r="AQ424" s="29" t="inlineStr">
        <is>
          <t>Not assessed</t>
        </is>
      </c>
      <c r="AR424" s="29" t="inlineStr">
        <is>
          <t>Not assessed</t>
        </is>
      </c>
      <c r="AS424" s="29" t="inlineStr">
        <is>
          <t>Not assessed</t>
        </is>
      </c>
      <c r="AT424" s="29" t="inlineStr">
        <is>
          <t>Not assessed</t>
        </is>
      </c>
      <c r="AU424" s="29" t="inlineStr">
        <is>
          <t>Not assessed</t>
        </is>
      </c>
      <c r="AV424" s="29" t="inlineStr">
        <is>
          <t>Not assessed</t>
        </is>
      </c>
      <c r="AW424" s="29" t="inlineStr">
        <is>
          <t>Not assessed</t>
        </is>
      </c>
      <c r="AX424" s="29" t="inlineStr">
        <is>
          <t>Not assessed</t>
        </is>
      </c>
      <c r="AY424" s="29" t="inlineStr">
        <is>
          <t>Not assessed</t>
        </is>
      </c>
      <c r="AZ424" s="29" t="inlineStr">
        <is>
          <t>Not assessed</t>
        </is>
      </c>
      <c r="BA424" s="29" t="inlineStr">
        <is>
          <t>Not assessed</t>
        </is>
      </c>
      <c r="BB424" s="29" t="inlineStr">
        <is>
          <t>Not assessed</t>
        </is>
      </c>
      <c r="BC424" s="29" t="inlineStr">
        <is>
          <t>Not assessed</t>
        </is>
      </c>
      <c r="BD424" s="29" t="inlineStr">
        <is>
          <t>Not assessed</t>
        </is>
      </c>
      <c r="BE424" s="29" t="inlineStr">
        <is>
          <t>Development required</t>
        </is>
      </c>
      <c r="BF424" s="29" t="inlineStr">
        <is>
          <t>Physical implementation is not complete against the stated requirement.; Searched for Focus-aware media playback but found no evidence.</t>
        </is>
      </c>
      <c r="BG424" s="29" t="inlineStr"/>
      <c r="BH424" s="29" t="inlineStr"/>
      <c r="BI424" s="29" t="inlineStr"/>
      <c r="BJ424" s="29" t="inlineStr"/>
      <c r="BK424" s="29" t="inlineStr">
        <is>
          <t>Evidence reconciled against the reviewed source revision. No production approval is inferred from implementation or file presence.</t>
        </is>
      </c>
      <c r="BL424" s="29" t="inlineStr">
        <is>
          <t>2026-08-02</t>
        </is>
      </c>
    </row>
    <row r="425" ht="42" customHeight="1">
      <c r="A425" s="29" t="inlineStr">
        <is>
          <t>BLYP-21-007</t>
        </is>
      </c>
      <c r="B425" s="29" t="inlineStr"/>
      <c r="C425" s="29" t="inlineStr">
        <is>
          <t>Performance, reliability, and recovery</t>
        </is>
      </c>
      <c r="D425" s="29" t="n">
        <v>21</v>
      </c>
      <c r="E425" s="29" t="n">
        <v>7</v>
      </c>
      <c r="F425" s="29" t="inlineStr">
        <is>
          <t>Feature</t>
        </is>
      </c>
      <c r="G425" s="29" t="inlineStr">
        <is>
          <t>Lifecycle-safe media loading/unloading</t>
        </is>
      </c>
      <c r="H425" s="29" t="inlineStr">
        <is>
          <t>Lifecycle-safe media loading/unloading</t>
        </is>
      </c>
      <c r="I425" s="29" t="inlineStr">
        <is>
          <t>/home/ubuntu/blyp_product_requirements.md :: Section 21 — Performance, reliability, and recovery</t>
        </is>
      </c>
      <c r="J425" s="29" t="inlineStr">
        <is>
          <t>/home/ubuntu/BLYP_COMPLETE_FEATURE_LIST.md:539</t>
        </is>
      </c>
      <c r="K425" s="29" t="inlineStr">
        <is>
          <t>Required</t>
        </is>
      </c>
      <c r="L425" s="29" t="inlineStr">
        <is>
          <t>Applicable BLYP member</t>
        </is>
      </c>
      <c r="M425" s="29" t="inlineStr">
        <is>
          <t>BLYP mobile application and supporting production services</t>
        </is>
      </c>
      <c r="N425" s="29" t="inlineStr">
        <is>
          <t>Lifecycle-safe media loading/unloading</t>
        </is>
      </c>
      <c r="O425" s="29" t="inlineStr">
        <is>
          <t>Not explicitly defined in the product source; requires accountable product approval before production sign-off.</t>
        </is>
      </c>
      <c r="P425" s="29" t="inlineStr"/>
      <c r="Q425" s="29" t="inlineStr">
        <is>
          <t>Yes</t>
        </is>
      </c>
      <c r="R425" s="29" t="inlineStr"/>
      <c r="S425" s="29" t="inlineStr">
        <is>
          <t>Not found</t>
        </is>
      </c>
      <c r="T425" s="29" t="inlineStr"/>
      <c r="U425" s="29" t="inlineStr"/>
      <c r="V425" s="29" t="inlineStr"/>
      <c r="W425" s="29" t="inlineStr"/>
      <c r="X425" s="29" t="inlineStr"/>
      <c r="Y425" s="29" t="inlineStr"/>
      <c r="Z425" s="29" t="inlineStr"/>
      <c r="AA425" s="29" t="inlineStr"/>
      <c r="AB425" s="29" t="inlineStr"/>
      <c r="AC425" s="29" t="inlineStr"/>
      <c r="AD425" s="29" t="inlineStr"/>
      <c r="AE425" s="29" t="inlineStr">
        <is>
          <t>Unknown</t>
        </is>
      </c>
      <c r="AF425" s="29" t="inlineStr"/>
      <c r="AG425" s="29" t="inlineStr">
        <is>
          <t>Unknown</t>
        </is>
      </c>
      <c r="AH425" s="29" t="inlineStr">
        <is>
          <t>Unknown</t>
        </is>
      </c>
      <c r="AI425" s="29" t="inlineStr">
        <is>
          <t>Searched for Lifecycle-safe media loading/unloading but found no evidence.</t>
        </is>
      </c>
      <c r="AJ425" s="29" t="inlineStr">
        <is>
          <t>Not verified</t>
        </is>
      </c>
      <c r="AK425" s="29" t="inlineStr"/>
      <c r="AL425" s="29" t="inlineStr"/>
      <c r="AM425" s="29" t="inlineStr"/>
      <c r="AN425" s="29" t="inlineStr"/>
      <c r="AO425" s="29" t="inlineStr">
        <is>
          <t>8bc0dcb2a1da1b21368c5536aaeef829d587f316</t>
        </is>
      </c>
      <c r="AP425" s="29" t="inlineStr">
        <is>
          <t>Low</t>
        </is>
      </c>
      <c r="AQ425" s="29" t="inlineStr">
        <is>
          <t>Not assessed</t>
        </is>
      </c>
      <c r="AR425" s="29" t="inlineStr">
        <is>
          <t>Not assessed</t>
        </is>
      </c>
      <c r="AS425" s="29" t="inlineStr">
        <is>
          <t>Not assessed</t>
        </is>
      </c>
      <c r="AT425" s="29" t="inlineStr">
        <is>
          <t>Not assessed</t>
        </is>
      </c>
      <c r="AU425" s="29" t="inlineStr">
        <is>
          <t>Not assessed</t>
        </is>
      </c>
      <c r="AV425" s="29" t="inlineStr">
        <is>
          <t>Not assessed</t>
        </is>
      </c>
      <c r="AW425" s="29" t="inlineStr">
        <is>
          <t>Not assessed</t>
        </is>
      </c>
      <c r="AX425" s="29" t="inlineStr">
        <is>
          <t>Not assessed</t>
        </is>
      </c>
      <c r="AY425" s="29" t="inlineStr">
        <is>
          <t>Not assessed</t>
        </is>
      </c>
      <c r="AZ425" s="29" t="inlineStr">
        <is>
          <t>Not assessed</t>
        </is>
      </c>
      <c r="BA425" s="29" t="inlineStr">
        <is>
          <t>Not assessed</t>
        </is>
      </c>
      <c r="BB425" s="29" t="inlineStr">
        <is>
          <t>Not assessed</t>
        </is>
      </c>
      <c r="BC425" s="29" t="inlineStr">
        <is>
          <t>Not assessed</t>
        </is>
      </c>
      <c r="BD425" s="29" t="inlineStr">
        <is>
          <t>Not assessed</t>
        </is>
      </c>
      <c r="BE425" s="29" t="inlineStr">
        <is>
          <t>Development required</t>
        </is>
      </c>
      <c r="BF425" s="29" t="inlineStr">
        <is>
          <t>Physical implementation is not complete against the stated requirement.; Searched for Lifecycle-safe media loading/unloading but found no evidence.</t>
        </is>
      </c>
      <c r="BG425" s="29" t="inlineStr"/>
      <c r="BH425" s="29" t="inlineStr"/>
      <c r="BI425" s="29" t="inlineStr"/>
      <c r="BJ425" s="29" t="inlineStr"/>
      <c r="BK425" s="29" t="inlineStr">
        <is>
          <t>Evidence reconciled against the reviewed source revision. No production approval is inferred from implementation or file presence.</t>
        </is>
      </c>
      <c r="BL425" s="29" t="inlineStr">
        <is>
          <t>2026-08-02</t>
        </is>
      </c>
    </row>
    <row r="426" ht="42" customHeight="1">
      <c r="A426" s="29" t="inlineStr">
        <is>
          <t>BLYP-21-008</t>
        </is>
      </c>
      <c r="B426" s="29" t="inlineStr"/>
      <c r="C426" s="29" t="inlineStr">
        <is>
          <t>Performance, reliability, and recovery</t>
        </is>
      </c>
      <c r="D426" s="29" t="n">
        <v>21</v>
      </c>
      <c r="E426" s="29" t="n">
        <v>8</v>
      </c>
      <c r="F426" s="29" t="inlineStr">
        <is>
          <t>Feature</t>
        </is>
      </c>
      <c r="G426" s="29" t="inlineStr">
        <is>
          <t>Live-stream reconnection</t>
        </is>
      </c>
      <c r="H426" s="29" t="inlineStr">
        <is>
          <t>Live-stream reconnection</t>
        </is>
      </c>
      <c r="I426" s="29" t="inlineStr">
        <is>
          <t>/home/ubuntu/blyp_product_requirements.md :: Section 21 — Performance, reliability, and recovery</t>
        </is>
      </c>
      <c r="J426" s="29" t="inlineStr">
        <is>
          <t>/home/ubuntu/BLYP_COMPLETE_FEATURE_LIST.md:540</t>
        </is>
      </c>
      <c r="K426" s="29" t="inlineStr">
        <is>
          <t>Required</t>
        </is>
      </c>
      <c r="L426" s="29" t="inlineStr">
        <is>
          <t>Applicable BLYP member</t>
        </is>
      </c>
      <c r="M426" s="29" t="inlineStr">
        <is>
          <t>BLYP mobile application and supporting production services</t>
        </is>
      </c>
      <c r="N426" s="29" t="inlineStr">
        <is>
          <t>Live-stream reconnection</t>
        </is>
      </c>
      <c r="O426" s="29" t="inlineStr">
        <is>
          <t>Not explicitly defined in the product source; requires accountable product approval before production sign-off.</t>
        </is>
      </c>
      <c r="P426" s="29" t="inlineStr"/>
      <c r="Q426" s="29" t="inlineStr">
        <is>
          <t>Partial</t>
        </is>
      </c>
      <c r="R426" s="29" t="inlineStr"/>
      <c r="S426" s="29" t="inlineStr">
        <is>
          <t>Not found</t>
        </is>
      </c>
      <c r="T426" s="29" t="inlineStr"/>
      <c r="U426" s="29" t="inlineStr"/>
      <c r="V426" s="29" t="inlineStr"/>
      <c r="W426" s="29" t="inlineStr"/>
      <c r="X426" s="29" t="inlineStr"/>
      <c r="Y426" s="29" t="inlineStr"/>
      <c r="Z426" s="29" t="inlineStr"/>
      <c r="AA426" s="29" t="inlineStr"/>
      <c r="AB426" s="29" t="inlineStr"/>
      <c r="AC426" s="29" t="inlineStr"/>
      <c r="AD426" s="29" t="inlineStr"/>
      <c r="AE426" s="29" t="inlineStr">
        <is>
          <t>Unknown</t>
        </is>
      </c>
      <c r="AF426" s="29" t="inlineStr"/>
      <c r="AG426" s="29" t="inlineStr">
        <is>
          <t>Unknown</t>
        </is>
      </c>
      <c r="AH426" s="29" t="inlineStr">
        <is>
          <t>Unknown</t>
        </is>
      </c>
      <c r="AI426" s="29" t="inlineStr">
        <is>
          <t>Searched for Live-stream reconnection but found no evidence.</t>
        </is>
      </c>
      <c r="AJ426" s="29" t="inlineStr">
        <is>
          <t>Not verified</t>
        </is>
      </c>
      <c r="AK426" s="29" t="inlineStr"/>
      <c r="AL426" s="29" t="inlineStr"/>
      <c r="AM426" s="29" t="inlineStr"/>
      <c r="AN426" s="29" t="inlineStr"/>
      <c r="AO426" s="29" t="inlineStr">
        <is>
          <t>8bc0dcb2a1da1b21368c5536aaeef829d587f316</t>
        </is>
      </c>
      <c r="AP426" s="29" t="inlineStr">
        <is>
          <t>Low</t>
        </is>
      </c>
      <c r="AQ426" s="29" t="inlineStr">
        <is>
          <t>Not assessed</t>
        </is>
      </c>
      <c r="AR426" s="29" t="inlineStr">
        <is>
          <t>Not assessed</t>
        </is>
      </c>
      <c r="AS426" s="29" t="inlineStr">
        <is>
          <t>Not assessed</t>
        </is>
      </c>
      <c r="AT426" s="29" t="inlineStr">
        <is>
          <t>Not assessed</t>
        </is>
      </c>
      <c r="AU426" s="29" t="inlineStr">
        <is>
          <t>Not assessed</t>
        </is>
      </c>
      <c r="AV426" s="29" t="inlineStr">
        <is>
          <t>Not assessed</t>
        </is>
      </c>
      <c r="AW426" s="29" t="inlineStr">
        <is>
          <t>Not assessed</t>
        </is>
      </c>
      <c r="AX426" s="29" t="inlineStr">
        <is>
          <t>Not assessed</t>
        </is>
      </c>
      <c r="AY426" s="29" t="inlineStr">
        <is>
          <t>Not assessed</t>
        </is>
      </c>
      <c r="AZ426" s="29" t="inlineStr">
        <is>
          <t>Not assessed</t>
        </is>
      </c>
      <c r="BA426" s="29" t="inlineStr">
        <is>
          <t>Not assessed</t>
        </is>
      </c>
      <c r="BB426" s="29" t="inlineStr">
        <is>
          <t>Not assessed</t>
        </is>
      </c>
      <c r="BC426" s="29" t="inlineStr">
        <is>
          <t>Not assessed</t>
        </is>
      </c>
      <c r="BD426" s="29" t="inlineStr">
        <is>
          <t>Not assessed</t>
        </is>
      </c>
      <c r="BE426" s="29" t="inlineStr">
        <is>
          <t>Development required</t>
        </is>
      </c>
      <c r="BF426" s="29" t="inlineStr">
        <is>
          <t>Physical implementation is not complete against the stated requirement.; Searched for Live-stream reconnection but found no evidence.</t>
        </is>
      </c>
      <c r="BG426" s="29" t="inlineStr"/>
      <c r="BH426" s="29" t="inlineStr"/>
      <c r="BI426" s="29" t="inlineStr"/>
      <c r="BJ426" s="29" t="inlineStr"/>
      <c r="BK426" s="29" t="inlineStr">
        <is>
          <t>Evidence reconciled against the reviewed source revision. No production approval is inferred from implementation or file presence.</t>
        </is>
      </c>
      <c r="BL426" s="29" t="inlineStr">
        <is>
          <t>2026-08-02</t>
        </is>
      </c>
    </row>
    <row r="427" ht="42" customHeight="1">
      <c r="A427" s="29" t="inlineStr">
        <is>
          <t>BLYP-21-009</t>
        </is>
      </c>
      <c r="B427" s="29" t="inlineStr"/>
      <c r="C427" s="29" t="inlineStr">
        <is>
          <t>Performance, reliability, and recovery</t>
        </is>
      </c>
      <c r="D427" s="29" t="n">
        <v>21</v>
      </c>
      <c r="E427" s="29" t="n">
        <v>9</v>
      </c>
      <c r="F427" s="29" t="inlineStr">
        <is>
          <t>Feature</t>
        </is>
      </c>
      <c r="G427" s="29" t="inlineStr">
        <is>
          <t>Resumable uploads</t>
        </is>
      </c>
      <c r="H427" s="29" t="inlineStr">
        <is>
          <t>Resumable uploads</t>
        </is>
      </c>
      <c r="I427" s="29" t="inlineStr">
        <is>
          <t>/home/ubuntu/blyp_product_requirements.md :: Section 21 — Performance, reliability, and recovery</t>
        </is>
      </c>
      <c r="J427" s="29" t="inlineStr">
        <is>
          <t>/home/ubuntu/BLYP_COMPLETE_FEATURE_LIST.md:541</t>
        </is>
      </c>
      <c r="K427" s="29" t="inlineStr">
        <is>
          <t>Required</t>
        </is>
      </c>
      <c r="L427" s="29" t="inlineStr">
        <is>
          <t>Applicable BLYP member</t>
        </is>
      </c>
      <c r="M427" s="29" t="inlineStr">
        <is>
          <t>BLYP mobile application and supporting production services</t>
        </is>
      </c>
      <c r="N427" s="29" t="inlineStr">
        <is>
          <t>Resumable uploads</t>
        </is>
      </c>
      <c r="O427" s="29" t="inlineStr">
        <is>
          <t>Not explicitly defined in the product source; requires accountable product approval before production sign-off.</t>
        </is>
      </c>
      <c r="P427" s="29" t="inlineStr"/>
      <c r="Q427" s="29" t="inlineStr">
        <is>
          <t>Partial</t>
        </is>
      </c>
      <c r="R427" s="29" t="inlineStr"/>
      <c r="S427" s="29" t="inlineStr">
        <is>
          <t>Not found</t>
        </is>
      </c>
      <c r="T427" s="29" t="inlineStr"/>
      <c r="U427" s="29" t="inlineStr"/>
      <c r="V427" s="29" t="inlineStr"/>
      <c r="W427" s="29" t="inlineStr"/>
      <c r="X427" s="29" t="inlineStr"/>
      <c r="Y427" s="29" t="inlineStr"/>
      <c r="Z427" s="29" t="inlineStr"/>
      <c r="AA427" s="29" t="inlineStr"/>
      <c r="AB427" s="29" t="inlineStr"/>
      <c r="AC427" s="29" t="inlineStr"/>
      <c r="AD427" s="29" t="inlineStr"/>
      <c r="AE427" s="29" t="inlineStr">
        <is>
          <t>Unknown</t>
        </is>
      </c>
      <c r="AF427" s="29" t="inlineStr"/>
      <c r="AG427" s="29" t="inlineStr">
        <is>
          <t>Unknown</t>
        </is>
      </c>
      <c r="AH427" s="29" t="inlineStr">
        <is>
          <t>Unknown</t>
        </is>
      </c>
      <c r="AI427" s="29" t="inlineStr">
        <is>
          <t>Searched for Resumable uploads but found no evidence.</t>
        </is>
      </c>
      <c r="AJ427" s="29" t="inlineStr">
        <is>
          <t>Not verified</t>
        </is>
      </c>
      <c r="AK427" s="29" t="inlineStr"/>
      <c r="AL427" s="29" t="inlineStr"/>
      <c r="AM427" s="29" t="inlineStr"/>
      <c r="AN427" s="29" t="inlineStr"/>
      <c r="AO427" s="29" t="inlineStr">
        <is>
          <t>8bc0dcb2a1da1b21368c5536aaeef829d587f316</t>
        </is>
      </c>
      <c r="AP427" s="29" t="inlineStr">
        <is>
          <t>Low</t>
        </is>
      </c>
      <c r="AQ427" s="29" t="inlineStr">
        <is>
          <t>Not assessed</t>
        </is>
      </c>
      <c r="AR427" s="29" t="inlineStr">
        <is>
          <t>Not assessed</t>
        </is>
      </c>
      <c r="AS427" s="29" t="inlineStr">
        <is>
          <t>Not assessed</t>
        </is>
      </c>
      <c r="AT427" s="29" t="inlineStr">
        <is>
          <t>Not assessed</t>
        </is>
      </c>
      <c r="AU427" s="29" t="inlineStr">
        <is>
          <t>Not assessed</t>
        </is>
      </c>
      <c r="AV427" s="29" t="inlineStr">
        <is>
          <t>Not assessed</t>
        </is>
      </c>
      <c r="AW427" s="29" t="inlineStr">
        <is>
          <t>Not assessed</t>
        </is>
      </c>
      <c r="AX427" s="29" t="inlineStr">
        <is>
          <t>Not assessed</t>
        </is>
      </c>
      <c r="AY427" s="29" t="inlineStr">
        <is>
          <t>Not assessed</t>
        </is>
      </c>
      <c r="AZ427" s="29" t="inlineStr">
        <is>
          <t>Not assessed</t>
        </is>
      </c>
      <c r="BA427" s="29" t="inlineStr">
        <is>
          <t>Not assessed</t>
        </is>
      </c>
      <c r="BB427" s="29" t="inlineStr">
        <is>
          <t>Not assessed</t>
        </is>
      </c>
      <c r="BC427" s="29" t="inlineStr">
        <is>
          <t>Not assessed</t>
        </is>
      </c>
      <c r="BD427" s="29" t="inlineStr">
        <is>
          <t>Not assessed</t>
        </is>
      </c>
      <c r="BE427" s="29" t="inlineStr">
        <is>
          <t>Development required</t>
        </is>
      </c>
      <c r="BF427" s="29" t="inlineStr">
        <is>
          <t>Physical implementation is not complete against the stated requirement.; Searched for Resumable uploads but found no evidence.</t>
        </is>
      </c>
      <c r="BG427" s="29" t="inlineStr"/>
      <c r="BH427" s="29" t="inlineStr"/>
      <c r="BI427" s="29" t="inlineStr"/>
      <c r="BJ427" s="29" t="inlineStr"/>
      <c r="BK427" s="29" t="inlineStr">
        <is>
          <t>Evidence reconciled against the reviewed source revision. No production approval is inferred from implementation or file presence.</t>
        </is>
      </c>
      <c r="BL427" s="29" t="inlineStr">
        <is>
          <t>2026-08-02</t>
        </is>
      </c>
    </row>
    <row r="428" ht="42" customHeight="1">
      <c r="A428" s="29" t="inlineStr">
        <is>
          <t>BLYP-21-010</t>
        </is>
      </c>
      <c r="B428" s="29" t="inlineStr"/>
      <c r="C428" s="29" t="inlineStr">
        <is>
          <t>Performance, reliability, and recovery</t>
        </is>
      </c>
      <c r="D428" s="29" t="n">
        <v>21</v>
      </c>
      <c r="E428" s="29" t="n">
        <v>10</v>
      </c>
      <c r="F428" s="29" t="inlineStr">
        <is>
          <t>Feature</t>
        </is>
      </c>
      <c r="G428" s="29" t="inlineStr">
        <is>
          <t>Preserved drafts</t>
        </is>
      </c>
      <c r="H428" s="29" t="inlineStr">
        <is>
          <t>Preserved drafts</t>
        </is>
      </c>
      <c r="I428" s="29" t="inlineStr">
        <is>
          <t>/home/ubuntu/blyp_product_requirements.md :: Section 21 — Performance, reliability, and recovery</t>
        </is>
      </c>
      <c r="J428" s="29" t="inlineStr">
        <is>
          <t>/home/ubuntu/BLYP_COMPLETE_FEATURE_LIST.md:542</t>
        </is>
      </c>
      <c r="K428" s="29" t="inlineStr">
        <is>
          <t>Required</t>
        </is>
      </c>
      <c r="L428" s="29" t="inlineStr">
        <is>
          <t>Applicable BLYP member</t>
        </is>
      </c>
      <c r="M428" s="29" t="inlineStr">
        <is>
          <t>BLYP mobile application and supporting production services</t>
        </is>
      </c>
      <c r="N428" s="29" t="inlineStr">
        <is>
          <t>Preserved drafts</t>
        </is>
      </c>
      <c r="O428" s="29" t="inlineStr">
        <is>
          <t>Not explicitly defined in the product source; requires accountable product approval before production sign-off.</t>
        </is>
      </c>
      <c r="P428" s="29" t="inlineStr"/>
      <c r="Q428" s="29" t="inlineStr">
        <is>
          <t>Yes</t>
        </is>
      </c>
      <c r="R428" s="29" t="inlineStr"/>
      <c r="S428" s="29" t="inlineStr">
        <is>
          <t>Not found</t>
        </is>
      </c>
      <c r="T428" s="29" t="inlineStr"/>
      <c r="U428" s="29" t="inlineStr"/>
      <c r="V428" s="29" t="inlineStr"/>
      <c r="W428" s="29" t="inlineStr"/>
      <c r="X428" s="29" t="inlineStr"/>
      <c r="Y428" s="29" t="inlineStr"/>
      <c r="Z428" s="29" t="inlineStr"/>
      <c r="AA428" s="29" t="inlineStr"/>
      <c r="AB428" s="29" t="inlineStr"/>
      <c r="AC428" s="29" t="inlineStr"/>
      <c r="AD428" s="29" t="inlineStr"/>
      <c r="AE428" s="29" t="inlineStr">
        <is>
          <t>Unknown</t>
        </is>
      </c>
      <c r="AF428" s="29" t="inlineStr"/>
      <c r="AG428" s="29" t="inlineStr">
        <is>
          <t>Unknown</t>
        </is>
      </c>
      <c r="AH428" s="29" t="inlineStr">
        <is>
          <t>Unknown</t>
        </is>
      </c>
      <c r="AI428" s="29" t="inlineStr">
        <is>
          <t>Searched for Preserved drafts but found no evidence.</t>
        </is>
      </c>
      <c r="AJ428" s="29" t="inlineStr">
        <is>
          <t>Not verified</t>
        </is>
      </c>
      <c r="AK428" s="29" t="inlineStr"/>
      <c r="AL428" s="29" t="inlineStr"/>
      <c r="AM428" s="29" t="inlineStr"/>
      <c r="AN428" s="29" t="inlineStr"/>
      <c r="AO428" s="29" t="inlineStr">
        <is>
          <t>8bc0dcb2a1da1b21368c5536aaeef829d587f316</t>
        </is>
      </c>
      <c r="AP428" s="29" t="inlineStr">
        <is>
          <t>Low</t>
        </is>
      </c>
      <c r="AQ428" s="29" t="inlineStr">
        <is>
          <t>Not assessed</t>
        </is>
      </c>
      <c r="AR428" s="29" t="inlineStr">
        <is>
          <t>Not assessed</t>
        </is>
      </c>
      <c r="AS428" s="29" t="inlineStr">
        <is>
          <t>Not assessed</t>
        </is>
      </c>
      <c r="AT428" s="29" t="inlineStr">
        <is>
          <t>Not assessed</t>
        </is>
      </c>
      <c r="AU428" s="29" t="inlineStr">
        <is>
          <t>Not assessed</t>
        </is>
      </c>
      <c r="AV428" s="29" t="inlineStr">
        <is>
          <t>Not assessed</t>
        </is>
      </c>
      <c r="AW428" s="29" t="inlineStr">
        <is>
          <t>Not assessed</t>
        </is>
      </c>
      <c r="AX428" s="29" t="inlineStr">
        <is>
          <t>Not assessed</t>
        </is>
      </c>
      <c r="AY428" s="29" t="inlineStr">
        <is>
          <t>Not assessed</t>
        </is>
      </c>
      <c r="AZ428" s="29" t="inlineStr">
        <is>
          <t>Not assessed</t>
        </is>
      </c>
      <c r="BA428" s="29" t="inlineStr">
        <is>
          <t>Not assessed</t>
        </is>
      </c>
      <c r="BB428" s="29" t="inlineStr">
        <is>
          <t>Not assessed</t>
        </is>
      </c>
      <c r="BC428" s="29" t="inlineStr">
        <is>
          <t>Not assessed</t>
        </is>
      </c>
      <c r="BD428" s="29" t="inlineStr">
        <is>
          <t>Not assessed</t>
        </is>
      </c>
      <c r="BE428" s="29" t="inlineStr">
        <is>
          <t>Development required</t>
        </is>
      </c>
      <c r="BF428" s="29" t="inlineStr">
        <is>
          <t>Physical implementation is not complete against the stated requirement.; Searched for Preserved drafts but found no evidence.</t>
        </is>
      </c>
      <c r="BG428" s="29" t="inlineStr"/>
      <c r="BH428" s="29" t="inlineStr"/>
      <c r="BI428" s="29" t="inlineStr"/>
      <c r="BJ428" s="29" t="inlineStr"/>
      <c r="BK428" s="29" t="inlineStr">
        <is>
          <t>Evidence reconciled against the reviewed source revision. No production approval is inferred from implementation or file presence.</t>
        </is>
      </c>
      <c r="BL428" s="29" t="inlineStr">
        <is>
          <t>2026-08-02</t>
        </is>
      </c>
    </row>
    <row r="429" ht="42" customHeight="1">
      <c r="A429" s="29" t="inlineStr">
        <is>
          <t>BLYP-21-011</t>
        </is>
      </c>
      <c r="B429" s="29" t="inlineStr"/>
      <c r="C429" s="29" t="inlineStr">
        <is>
          <t>Performance, reliability, and recovery</t>
        </is>
      </c>
      <c r="D429" s="29" t="n">
        <v>21</v>
      </c>
      <c r="E429" s="29" t="n">
        <v>11</v>
      </c>
      <c r="F429" s="29" t="inlineStr">
        <is>
          <t>Feature</t>
        </is>
      </c>
      <c r="G429" s="29" t="inlineStr">
        <is>
          <t>Clear degraded-service states</t>
        </is>
      </c>
      <c r="H429" s="29" t="inlineStr">
        <is>
          <t>Clear degraded-service states</t>
        </is>
      </c>
      <c r="I429" s="29" t="inlineStr">
        <is>
          <t>/home/ubuntu/blyp_product_requirements.md :: Section 21 — Performance, reliability, and recovery</t>
        </is>
      </c>
      <c r="J429" s="29" t="inlineStr">
        <is>
          <t>/home/ubuntu/BLYP_COMPLETE_FEATURE_LIST.md:543</t>
        </is>
      </c>
      <c r="K429" s="29" t="inlineStr">
        <is>
          <t>Required</t>
        </is>
      </c>
      <c r="L429" s="29" t="inlineStr">
        <is>
          <t>Applicable BLYP member</t>
        </is>
      </c>
      <c r="M429" s="29" t="inlineStr">
        <is>
          <t>BLYP mobile application and supporting production services</t>
        </is>
      </c>
      <c r="N429" s="29" t="inlineStr">
        <is>
          <t>Clear degraded-service states</t>
        </is>
      </c>
      <c r="O429" s="29" t="inlineStr">
        <is>
          <t>Not explicitly defined in the product source; requires accountable product approval before production sign-off.</t>
        </is>
      </c>
      <c r="P429" s="29" t="inlineStr"/>
      <c r="Q429" s="29" t="inlineStr">
        <is>
          <t>Partial</t>
        </is>
      </c>
      <c r="R429" s="29" t="inlineStr"/>
      <c r="S429" s="29" t="inlineStr">
        <is>
          <t>Not found</t>
        </is>
      </c>
      <c r="T429" s="29" t="inlineStr"/>
      <c r="U429" s="29" t="inlineStr"/>
      <c r="V429" s="29" t="inlineStr"/>
      <c r="W429" s="29" t="inlineStr"/>
      <c r="X429" s="29" t="inlineStr"/>
      <c r="Y429" s="29" t="inlineStr"/>
      <c r="Z429" s="29" t="inlineStr"/>
      <c r="AA429" s="29" t="inlineStr"/>
      <c r="AB429" s="29" t="inlineStr"/>
      <c r="AC429" s="29" t="inlineStr"/>
      <c r="AD429" s="29" t="inlineStr"/>
      <c r="AE429" s="29" t="inlineStr">
        <is>
          <t>Unknown</t>
        </is>
      </c>
      <c r="AF429" s="29" t="inlineStr"/>
      <c r="AG429" s="29" t="inlineStr">
        <is>
          <t>Unknown</t>
        </is>
      </c>
      <c r="AH429" s="29" t="inlineStr">
        <is>
          <t>Unknown</t>
        </is>
      </c>
      <c r="AI429" s="29" t="inlineStr">
        <is>
          <t>Searched for Clear degraded-service states but found no evidence.</t>
        </is>
      </c>
      <c r="AJ429" s="29" t="inlineStr">
        <is>
          <t>Not verified</t>
        </is>
      </c>
      <c r="AK429" s="29" t="inlineStr"/>
      <c r="AL429" s="29" t="inlineStr"/>
      <c r="AM429" s="29" t="inlineStr"/>
      <c r="AN429" s="29" t="inlineStr"/>
      <c r="AO429" s="29" t="inlineStr">
        <is>
          <t>8bc0dcb2a1da1b21368c5536aaeef829d587f316</t>
        </is>
      </c>
      <c r="AP429" s="29" t="inlineStr">
        <is>
          <t>Low</t>
        </is>
      </c>
      <c r="AQ429" s="29" t="inlineStr">
        <is>
          <t>Not assessed</t>
        </is>
      </c>
      <c r="AR429" s="29" t="inlineStr">
        <is>
          <t>Not assessed</t>
        </is>
      </c>
      <c r="AS429" s="29" t="inlineStr">
        <is>
          <t>Not assessed</t>
        </is>
      </c>
      <c r="AT429" s="29" t="inlineStr">
        <is>
          <t>Not assessed</t>
        </is>
      </c>
      <c r="AU429" s="29" t="inlineStr">
        <is>
          <t>Not assessed</t>
        </is>
      </c>
      <c r="AV429" s="29" t="inlineStr">
        <is>
          <t>Not assessed</t>
        </is>
      </c>
      <c r="AW429" s="29" t="inlineStr">
        <is>
          <t>Not assessed</t>
        </is>
      </c>
      <c r="AX429" s="29" t="inlineStr">
        <is>
          <t>Not assessed</t>
        </is>
      </c>
      <c r="AY429" s="29" t="inlineStr">
        <is>
          <t>Not assessed</t>
        </is>
      </c>
      <c r="AZ429" s="29" t="inlineStr">
        <is>
          <t>Not assessed</t>
        </is>
      </c>
      <c r="BA429" s="29" t="inlineStr">
        <is>
          <t>Not assessed</t>
        </is>
      </c>
      <c r="BB429" s="29" t="inlineStr">
        <is>
          <t>Not assessed</t>
        </is>
      </c>
      <c r="BC429" s="29" t="inlineStr">
        <is>
          <t>Not assessed</t>
        </is>
      </c>
      <c r="BD429" s="29" t="inlineStr">
        <is>
          <t>Not assessed</t>
        </is>
      </c>
      <c r="BE429" s="29" t="inlineStr">
        <is>
          <t>Development required</t>
        </is>
      </c>
      <c r="BF429" s="29" t="inlineStr">
        <is>
          <t>Physical implementation is not complete against the stated requirement.; Searched for Clear degraded-service states but found no evidence.</t>
        </is>
      </c>
      <c r="BG429" s="29" t="inlineStr"/>
      <c r="BH429" s="29" t="inlineStr"/>
      <c r="BI429" s="29" t="inlineStr"/>
      <c r="BJ429" s="29" t="inlineStr"/>
      <c r="BK429" s="29" t="inlineStr">
        <is>
          <t>Evidence reconciled against the reviewed source revision. No production approval is inferred from implementation or file presence.</t>
        </is>
      </c>
      <c r="BL429" s="29" t="inlineStr">
        <is>
          <t>2026-08-02</t>
        </is>
      </c>
    </row>
    <row r="430" ht="42" customHeight="1">
      <c r="A430" s="29" t="inlineStr">
        <is>
          <t>BLYP-21-012</t>
        </is>
      </c>
      <c r="B430" s="29" t="inlineStr"/>
      <c r="C430" s="29" t="inlineStr">
        <is>
          <t>Performance, reliability, and recovery</t>
        </is>
      </c>
      <c r="D430" s="29" t="n">
        <v>21</v>
      </c>
      <c r="E430" s="29" t="n">
        <v>12</v>
      </c>
      <c r="F430" s="29" t="inlineStr">
        <is>
          <t>Feature</t>
        </is>
      </c>
      <c r="G430" s="29" t="inlineStr">
        <is>
          <t>Safe retry controls</t>
        </is>
      </c>
      <c r="H430" s="29" t="inlineStr">
        <is>
          <t>Safe retry controls</t>
        </is>
      </c>
      <c r="I430" s="29" t="inlineStr">
        <is>
          <t>/home/ubuntu/blyp_product_requirements.md :: Section 21 — Performance, reliability, and recovery</t>
        </is>
      </c>
      <c r="J430" s="29" t="inlineStr">
        <is>
          <t>/home/ubuntu/BLYP_COMPLETE_FEATURE_LIST.md:544</t>
        </is>
      </c>
      <c r="K430" s="29" t="inlineStr">
        <is>
          <t>Required</t>
        </is>
      </c>
      <c r="L430" s="29" t="inlineStr">
        <is>
          <t>Applicable BLYP member</t>
        </is>
      </c>
      <c r="M430" s="29" t="inlineStr">
        <is>
          <t>BLYP mobile application and supporting production services</t>
        </is>
      </c>
      <c r="N430" s="29" t="inlineStr">
        <is>
          <t>Safe retry controls</t>
        </is>
      </c>
      <c r="O430" s="29" t="inlineStr">
        <is>
          <t>Not explicitly defined in the product source; requires accountable product approval before production sign-off.</t>
        </is>
      </c>
      <c r="P430" s="29" t="inlineStr"/>
      <c r="Q430" s="29" t="inlineStr">
        <is>
          <t>Partial</t>
        </is>
      </c>
      <c r="R430" s="29" t="inlineStr"/>
      <c r="S430" s="29" t="inlineStr">
        <is>
          <t>Not found</t>
        </is>
      </c>
      <c r="T430" s="29" t="inlineStr"/>
      <c r="U430" s="29" t="inlineStr"/>
      <c r="V430" s="29" t="inlineStr"/>
      <c r="W430" s="29" t="inlineStr"/>
      <c r="X430" s="29" t="inlineStr"/>
      <c r="Y430" s="29" t="inlineStr"/>
      <c r="Z430" s="29" t="inlineStr"/>
      <c r="AA430" s="29" t="inlineStr"/>
      <c r="AB430" s="29" t="inlineStr"/>
      <c r="AC430" s="29" t="inlineStr"/>
      <c r="AD430" s="29" t="inlineStr"/>
      <c r="AE430" s="29" t="inlineStr">
        <is>
          <t>Unknown</t>
        </is>
      </c>
      <c r="AF430" s="29" t="inlineStr"/>
      <c r="AG430" s="29" t="inlineStr">
        <is>
          <t>Unknown</t>
        </is>
      </c>
      <c r="AH430" s="29" t="inlineStr">
        <is>
          <t>Unknown</t>
        </is>
      </c>
      <c r="AI430" s="29" t="inlineStr">
        <is>
          <t>Searched for Safe retry controls but found no evidence.</t>
        </is>
      </c>
      <c r="AJ430" s="29" t="inlineStr">
        <is>
          <t>Not verified</t>
        </is>
      </c>
      <c r="AK430" s="29" t="inlineStr"/>
      <c r="AL430" s="29" t="inlineStr"/>
      <c r="AM430" s="29" t="inlineStr"/>
      <c r="AN430" s="29" t="inlineStr"/>
      <c r="AO430" s="29" t="inlineStr">
        <is>
          <t>8bc0dcb2a1da1b21368c5536aaeef829d587f316</t>
        </is>
      </c>
      <c r="AP430" s="29" t="inlineStr">
        <is>
          <t>Low</t>
        </is>
      </c>
      <c r="AQ430" s="29" t="inlineStr">
        <is>
          <t>Not assessed</t>
        </is>
      </c>
      <c r="AR430" s="29" t="inlineStr">
        <is>
          <t>Not assessed</t>
        </is>
      </c>
      <c r="AS430" s="29" t="inlineStr">
        <is>
          <t>Not assessed</t>
        </is>
      </c>
      <c r="AT430" s="29" t="inlineStr">
        <is>
          <t>Not assessed</t>
        </is>
      </c>
      <c r="AU430" s="29" t="inlineStr">
        <is>
          <t>Not assessed</t>
        </is>
      </c>
      <c r="AV430" s="29" t="inlineStr">
        <is>
          <t>Not assessed</t>
        </is>
      </c>
      <c r="AW430" s="29" t="inlineStr">
        <is>
          <t>Not assessed</t>
        </is>
      </c>
      <c r="AX430" s="29" t="inlineStr">
        <is>
          <t>Not assessed</t>
        </is>
      </c>
      <c r="AY430" s="29" t="inlineStr">
        <is>
          <t>Not assessed</t>
        </is>
      </c>
      <c r="AZ430" s="29" t="inlineStr">
        <is>
          <t>Not assessed</t>
        </is>
      </c>
      <c r="BA430" s="29" t="inlineStr">
        <is>
          <t>Not assessed</t>
        </is>
      </c>
      <c r="BB430" s="29" t="inlineStr">
        <is>
          <t>Not assessed</t>
        </is>
      </c>
      <c r="BC430" s="29" t="inlineStr">
        <is>
          <t>Not assessed</t>
        </is>
      </c>
      <c r="BD430" s="29" t="inlineStr">
        <is>
          <t>Not assessed</t>
        </is>
      </c>
      <c r="BE430" s="29" t="inlineStr">
        <is>
          <t>Development required</t>
        </is>
      </c>
      <c r="BF430" s="29" t="inlineStr">
        <is>
          <t>Physical implementation is not complete against the stated requirement.; Searched for Safe retry controls but found no evidence.</t>
        </is>
      </c>
      <c r="BG430" s="29" t="inlineStr"/>
      <c r="BH430" s="29" t="inlineStr"/>
      <c r="BI430" s="29" t="inlineStr"/>
      <c r="BJ430" s="29" t="inlineStr"/>
      <c r="BK430" s="29" t="inlineStr">
        <is>
          <t>Evidence reconciled against the reviewed source revision. No production approval is inferred from implementation or file presence.</t>
        </is>
      </c>
      <c r="BL430" s="29" t="inlineStr">
        <is>
          <t>2026-08-02</t>
        </is>
      </c>
    </row>
    <row r="431" ht="42" customHeight="1">
      <c r="A431" s="29" t="inlineStr">
        <is>
          <t>BLYP-21-013</t>
        </is>
      </c>
      <c r="B431" s="29" t="inlineStr"/>
      <c r="C431" s="29" t="inlineStr">
        <is>
          <t>Performance, reliability, and recovery</t>
        </is>
      </c>
      <c r="D431" s="29" t="n">
        <v>21</v>
      </c>
      <c r="E431" s="29" t="n">
        <v>13</v>
      </c>
      <c r="F431" s="29" t="inlineStr">
        <is>
          <t>Feature</t>
        </is>
      </c>
      <c r="G431" s="29" t="inlineStr">
        <is>
          <t>Duplicate-action prevention</t>
        </is>
      </c>
      <c r="H431" s="29" t="inlineStr">
        <is>
          <t>Duplicate-action prevention</t>
        </is>
      </c>
      <c r="I431" s="29" t="inlineStr">
        <is>
          <t>/home/ubuntu/blyp_product_requirements.md :: Section 21 — Performance, reliability, and recovery</t>
        </is>
      </c>
      <c r="J431" s="29" t="inlineStr">
        <is>
          <t>/home/ubuntu/BLYP_COMPLETE_FEATURE_LIST.md:545</t>
        </is>
      </c>
      <c r="K431" s="29" t="inlineStr">
        <is>
          <t>Required</t>
        </is>
      </c>
      <c r="L431" s="29" t="inlineStr">
        <is>
          <t>Applicable BLYP member</t>
        </is>
      </c>
      <c r="M431" s="29" t="inlineStr">
        <is>
          <t>BLYP mobile application and supporting production services</t>
        </is>
      </c>
      <c r="N431" s="29" t="inlineStr">
        <is>
          <t>Duplicate-action prevention</t>
        </is>
      </c>
      <c r="O431" s="29" t="inlineStr">
        <is>
          <t>Not explicitly defined in the product source; requires accountable product approval before production sign-off.</t>
        </is>
      </c>
      <c r="P431" s="29" t="inlineStr"/>
      <c r="Q431" s="29" t="inlineStr">
        <is>
          <t>Partial</t>
        </is>
      </c>
      <c r="R431" s="29" t="inlineStr"/>
      <c r="S431" s="29" t="inlineStr">
        <is>
          <t>Not found</t>
        </is>
      </c>
      <c r="T431" s="29" t="inlineStr"/>
      <c r="U431" s="29" t="inlineStr"/>
      <c r="V431" s="29" t="inlineStr"/>
      <c r="W431" s="29" t="inlineStr"/>
      <c r="X431" s="29" t="inlineStr"/>
      <c r="Y431" s="29" t="inlineStr"/>
      <c r="Z431" s="29" t="inlineStr"/>
      <c r="AA431" s="29" t="inlineStr"/>
      <c r="AB431" s="29" t="inlineStr"/>
      <c r="AC431" s="29" t="inlineStr"/>
      <c r="AD431" s="29" t="inlineStr"/>
      <c r="AE431" s="29" t="inlineStr">
        <is>
          <t>Unknown</t>
        </is>
      </c>
      <c r="AF431" s="29" t="inlineStr"/>
      <c r="AG431" s="29" t="inlineStr">
        <is>
          <t>Unknown</t>
        </is>
      </c>
      <c r="AH431" s="29" t="inlineStr">
        <is>
          <t>Unknown</t>
        </is>
      </c>
      <c r="AI431" s="29" t="inlineStr">
        <is>
          <t>Searched for Duplicate-action prevention but found no evidence.</t>
        </is>
      </c>
      <c r="AJ431" s="29" t="inlineStr">
        <is>
          <t>Not verified</t>
        </is>
      </c>
      <c r="AK431" s="29" t="inlineStr"/>
      <c r="AL431" s="29" t="inlineStr"/>
      <c r="AM431" s="29" t="inlineStr"/>
      <c r="AN431" s="29" t="inlineStr"/>
      <c r="AO431" s="29" t="inlineStr">
        <is>
          <t>8bc0dcb2a1da1b21368c5536aaeef829d587f316</t>
        </is>
      </c>
      <c r="AP431" s="29" t="inlineStr">
        <is>
          <t>Low</t>
        </is>
      </c>
      <c r="AQ431" s="29" t="inlineStr">
        <is>
          <t>Not assessed</t>
        </is>
      </c>
      <c r="AR431" s="29" t="inlineStr">
        <is>
          <t>Not assessed</t>
        </is>
      </c>
      <c r="AS431" s="29" t="inlineStr">
        <is>
          <t>Not assessed</t>
        </is>
      </c>
      <c r="AT431" s="29" t="inlineStr">
        <is>
          <t>Not assessed</t>
        </is>
      </c>
      <c r="AU431" s="29" t="inlineStr">
        <is>
          <t>Not assessed</t>
        </is>
      </c>
      <c r="AV431" s="29" t="inlineStr">
        <is>
          <t>Not assessed</t>
        </is>
      </c>
      <c r="AW431" s="29" t="inlineStr">
        <is>
          <t>Not assessed</t>
        </is>
      </c>
      <c r="AX431" s="29" t="inlineStr">
        <is>
          <t>Not assessed</t>
        </is>
      </c>
      <c r="AY431" s="29" t="inlineStr">
        <is>
          <t>Not assessed</t>
        </is>
      </c>
      <c r="AZ431" s="29" t="inlineStr">
        <is>
          <t>Not assessed</t>
        </is>
      </c>
      <c r="BA431" s="29" t="inlineStr">
        <is>
          <t>Not assessed</t>
        </is>
      </c>
      <c r="BB431" s="29" t="inlineStr">
        <is>
          <t>Not assessed</t>
        </is>
      </c>
      <c r="BC431" s="29" t="inlineStr">
        <is>
          <t>Not assessed</t>
        </is>
      </c>
      <c r="BD431" s="29" t="inlineStr">
        <is>
          <t>Not assessed</t>
        </is>
      </c>
      <c r="BE431" s="29" t="inlineStr">
        <is>
          <t>Development required</t>
        </is>
      </c>
      <c r="BF431" s="29" t="inlineStr">
        <is>
          <t>Physical implementation is not complete against the stated requirement.; Searched for Duplicate-action prevention but found no evidence.</t>
        </is>
      </c>
      <c r="BG431" s="29" t="inlineStr"/>
      <c r="BH431" s="29" t="inlineStr"/>
      <c r="BI431" s="29" t="inlineStr"/>
      <c r="BJ431" s="29" t="inlineStr"/>
      <c r="BK431" s="29" t="inlineStr">
        <is>
          <t>Evidence reconciled against the reviewed source revision. No production approval is inferred from implementation or file presence.</t>
        </is>
      </c>
      <c r="BL431" s="29" t="inlineStr">
        <is>
          <t>2026-08-02</t>
        </is>
      </c>
    </row>
    <row r="432" ht="42" customHeight="1">
      <c r="A432" s="29" t="inlineStr">
        <is>
          <t>BLYP-21-014</t>
        </is>
      </c>
      <c r="B432" s="29" t="inlineStr"/>
      <c r="C432" s="29" t="inlineStr">
        <is>
          <t>Performance, reliability, and recovery</t>
        </is>
      </c>
      <c r="D432" s="29" t="n">
        <v>21</v>
      </c>
      <c r="E432" s="29" t="n">
        <v>14</v>
      </c>
      <c r="F432" s="29" t="inlineStr">
        <is>
          <t>Non-functional requirement</t>
        </is>
      </c>
      <c r="G432" s="29" t="inlineStr">
        <is>
          <t>Poor-connection operation</t>
        </is>
      </c>
      <c r="H432" s="29" t="inlineStr">
        <is>
          <t>Poor-connection operation</t>
        </is>
      </c>
      <c r="I432" s="29" t="inlineStr">
        <is>
          <t>/home/ubuntu/blyp_product_requirements.md :: Section 21 — Performance, reliability, and recovery</t>
        </is>
      </c>
      <c r="J432" s="29" t="inlineStr">
        <is>
          <t>/home/ubuntu/BLYP_COMPLETE_FEATURE_LIST.md:546</t>
        </is>
      </c>
      <c r="K432" s="29" t="inlineStr">
        <is>
          <t>Required</t>
        </is>
      </c>
      <c r="L432" s="29" t="inlineStr">
        <is>
          <t>Applicable BLYP member</t>
        </is>
      </c>
      <c r="M432" s="29" t="inlineStr">
        <is>
          <t>Production platform and operations</t>
        </is>
      </c>
      <c r="N432" s="29" t="inlineStr">
        <is>
          <t>Poor-connection operation</t>
        </is>
      </c>
      <c r="O432" s="29" t="inlineStr">
        <is>
          <t>Not explicitly defined in the product source; requires accountable product approval before production sign-off.</t>
        </is>
      </c>
      <c r="P432" s="29" t="inlineStr"/>
      <c r="Q432" s="29" t="inlineStr">
        <is>
          <t>Partial</t>
        </is>
      </c>
      <c r="R432" s="29" t="inlineStr"/>
      <c r="S432" s="29" t="inlineStr">
        <is>
          <t>Not found</t>
        </is>
      </c>
      <c r="T432" s="29" t="inlineStr"/>
      <c r="U432" s="29" t="inlineStr"/>
      <c r="V432" s="29" t="inlineStr"/>
      <c r="W432" s="29" t="inlineStr"/>
      <c r="X432" s="29" t="inlineStr"/>
      <c r="Y432" s="29" t="inlineStr"/>
      <c r="Z432" s="29" t="inlineStr"/>
      <c r="AA432" s="29" t="inlineStr"/>
      <c r="AB432" s="29" t="inlineStr"/>
      <c r="AC432" s="29" t="inlineStr"/>
      <c r="AD432" s="29" t="inlineStr"/>
      <c r="AE432" s="29" t="inlineStr">
        <is>
          <t>Unknown</t>
        </is>
      </c>
      <c r="AF432" s="29" t="inlineStr"/>
      <c r="AG432" s="29" t="inlineStr">
        <is>
          <t>Unknown</t>
        </is>
      </c>
      <c r="AH432" s="29" t="inlineStr">
        <is>
          <t>Unknown</t>
        </is>
      </c>
      <c r="AI432" s="29" t="inlineStr">
        <is>
          <t>Searched for Poor-connection operation but found no evidence.</t>
        </is>
      </c>
      <c r="AJ432" s="29" t="inlineStr">
        <is>
          <t>Not verified</t>
        </is>
      </c>
      <c r="AK432" s="29" t="inlineStr"/>
      <c r="AL432" s="29" t="inlineStr"/>
      <c r="AM432" s="29" t="inlineStr"/>
      <c r="AN432" s="29" t="inlineStr"/>
      <c r="AO432" s="29" t="inlineStr">
        <is>
          <t>8bc0dcb2a1da1b21368c5536aaeef829d587f316</t>
        </is>
      </c>
      <c r="AP432" s="29" t="inlineStr">
        <is>
          <t>Low</t>
        </is>
      </c>
      <c r="AQ432" s="29" t="inlineStr">
        <is>
          <t>Not assessed</t>
        </is>
      </c>
      <c r="AR432" s="29" t="inlineStr">
        <is>
          <t>Not assessed</t>
        </is>
      </c>
      <c r="AS432" s="29" t="inlineStr">
        <is>
          <t>Not assessed</t>
        </is>
      </c>
      <c r="AT432" s="29" t="inlineStr">
        <is>
          <t>Not assessed</t>
        </is>
      </c>
      <c r="AU432" s="29" t="inlineStr">
        <is>
          <t>Not assessed</t>
        </is>
      </c>
      <c r="AV432" s="29" t="inlineStr">
        <is>
          <t>Not assessed</t>
        </is>
      </c>
      <c r="AW432" s="29" t="inlineStr">
        <is>
          <t>Not assessed</t>
        </is>
      </c>
      <c r="AX432" s="29" t="inlineStr">
        <is>
          <t>Not assessed</t>
        </is>
      </c>
      <c r="AY432" s="29" t="inlineStr">
        <is>
          <t>Not assessed</t>
        </is>
      </c>
      <c r="AZ432" s="29" t="inlineStr">
        <is>
          <t>Not assessed</t>
        </is>
      </c>
      <c r="BA432" s="29" t="inlineStr">
        <is>
          <t>Not assessed</t>
        </is>
      </c>
      <c r="BB432" s="29" t="inlineStr">
        <is>
          <t>Not assessed</t>
        </is>
      </c>
      <c r="BC432" s="29" t="inlineStr">
        <is>
          <t>Not assessed</t>
        </is>
      </c>
      <c r="BD432" s="29" t="inlineStr">
        <is>
          <t>Not assessed</t>
        </is>
      </c>
      <c r="BE432" s="29" t="inlineStr">
        <is>
          <t>Development required</t>
        </is>
      </c>
      <c r="BF432" s="29" t="inlineStr">
        <is>
          <t>Physical implementation is not complete against the stated requirement.; Searched for Poor-connection operation but found no evidence.</t>
        </is>
      </c>
      <c r="BG432" s="29" t="inlineStr"/>
      <c r="BH432" s="29" t="inlineStr"/>
      <c r="BI432" s="29" t="inlineStr"/>
      <c r="BJ432" s="29" t="inlineStr"/>
      <c r="BK432" s="29" t="inlineStr">
        <is>
          <t>Evidence reconciled against the reviewed source revision. No production approval is inferred from implementation or file presence.</t>
        </is>
      </c>
      <c r="BL432" s="29" t="inlineStr">
        <is>
          <t>2026-08-02</t>
        </is>
      </c>
    </row>
    <row r="433" ht="42" customHeight="1">
      <c r="A433" s="29" t="inlineStr">
        <is>
          <t>BLYP-21-015</t>
        </is>
      </c>
      <c r="B433" s="29" t="inlineStr"/>
      <c r="C433" s="29" t="inlineStr">
        <is>
          <t>Performance, reliability, and recovery</t>
        </is>
      </c>
      <c r="D433" s="29" t="n">
        <v>21</v>
      </c>
      <c r="E433" s="29" t="n">
        <v>15</v>
      </c>
      <c r="F433" s="29" t="inlineStr">
        <is>
          <t>Feature</t>
        </is>
      </c>
      <c r="G433" s="29" t="inlineStr">
        <is>
          <t>Bounded real-time listeners and cleanup</t>
        </is>
      </c>
      <c r="H433" s="29" t="inlineStr">
        <is>
          <t>Bounded real-time listeners and cleanup</t>
        </is>
      </c>
      <c r="I433" s="29" t="inlineStr">
        <is>
          <t>/home/ubuntu/blyp_product_requirements.md :: Section 21 — Performance, reliability, and recovery</t>
        </is>
      </c>
      <c r="J433" s="29" t="inlineStr">
        <is>
          <t>/home/ubuntu/BLYP_COMPLETE_FEATURE_LIST.md:547</t>
        </is>
      </c>
      <c r="K433" s="29" t="inlineStr">
        <is>
          <t>Required</t>
        </is>
      </c>
      <c r="L433" s="29" t="inlineStr">
        <is>
          <t>Applicable BLYP member</t>
        </is>
      </c>
      <c r="M433" s="29" t="inlineStr">
        <is>
          <t>BLYP mobile application and supporting production services</t>
        </is>
      </c>
      <c r="N433" s="29" t="inlineStr">
        <is>
          <t>Bounded real-time listeners and cleanup</t>
        </is>
      </c>
      <c r="O433" s="29" t="inlineStr">
        <is>
          <t>Not explicitly defined in the product source; requires accountable product approval before production sign-off.</t>
        </is>
      </c>
      <c r="P433" s="29" t="inlineStr"/>
      <c r="Q433" s="29" t="inlineStr">
        <is>
          <t>Yes</t>
        </is>
      </c>
      <c r="R433" s="29" t="inlineStr"/>
      <c r="S433" s="29" t="inlineStr">
        <is>
          <t>Not found</t>
        </is>
      </c>
      <c r="T433" s="29" t="inlineStr"/>
      <c r="U433" s="29" t="inlineStr"/>
      <c r="V433" s="29" t="inlineStr"/>
      <c r="W433" s="29" t="inlineStr"/>
      <c r="X433" s="29" t="inlineStr"/>
      <c r="Y433" s="29" t="inlineStr"/>
      <c r="Z433" s="29" t="inlineStr"/>
      <c r="AA433" s="29" t="inlineStr"/>
      <c r="AB433" s="29" t="inlineStr"/>
      <c r="AC433" s="29" t="inlineStr"/>
      <c r="AD433" s="29" t="inlineStr"/>
      <c r="AE433" s="29" t="inlineStr">
        <is>
          <t>Unknown</t>
        </is>
      </c>
      <c r="AF433" s="29" t="inlineStr"/>
      <c r="AG433" s="29" t="inlineStr">
        <is>
          <t>Unknown</t>
        </is>
      </c>
      <c r="AH433" s="29" t="inlineStr">
        <is>
          <t>Unknown</t>
        </is>
      </c>
      <c r="AI433" s="29" t="inlineStr">
        <is>
          <t>Searched for Bounded real-time listeners and cleanup but found no evidence.</t>
        </is>
      </c>
      <c r="AJ433" s="29" t="inlineStr">
        <is>
          <t>Not verified</t>
        </is>
      </c>
      <c r="AK433" s="29" t="inlineStr"/>
      <c r="AL433" s="29" t="inlineStr"/>
      <c r="AM433" s="29" t="inlineStr"/>
      <c r="AN433" s="29" t="inlineStr"/>
      <c r="AO433" s="29" t="inlineStr">
        <is>
          <t>8bc0dcb2a1da1b21368c5536aaeef829d587f316</t>
        </is>
      </c>
      <c r="AP433" s="29" t="inlineStr">
        <is>
          <t>Low</t>
        </is>
      </c>
      <c r="AQ433" s="29" t="inlineStr">
        <is>
          <t>Not assessed</t>
        </is>
      </c>
      <c r="AR433" s="29" t="inlineStr">
        <is>
          <t>Not assessed</t>
        </is>
      </c>
      <c r="AS433" s="29" t="inlineStr">
        <is>
          <t>Not assessed</t>
        </is>
      </c>
      <c r="AT433" s="29" t="inlineStr">
        <is>
          <t>Not assessed</t>
        </is>
      </c>
      <c r="AU433" s="29" t="inlineStr">
        <is>
          <t>Not assessed</t>
        </is>
      </c>
      <c r="AV433" s="29" t="inlineStr">
        <is>
          <t>Not assessed</t>
        </is>
      </c>
      <c r="AW433" s="29" t="inlineStr">
        <is>
          <t>Not assessed</t>
        </is>
      </c>
      <c r="AX433" s="29" t="inlineStr">
        <is>
          <t>Not assessed</t>
        </is>
      </c>
      <c r="AY433" s="29" t="inlineStr">
        <is>
          <t>Not assessed</t>
        </is>
      </c>
      <c r="AZ433" s="29" t="inlineStr">
        <is>
          <t>Not assessed</t>
        </is>
      </c>
      <c r="BA433" s="29" t="inlineStr">
        <is>
          <t>Not assessed</t>
        </is>
      </c>
      <c r="BB433" s="29" t="inlineStr">
        <is>
          <t>Not assessed</t>
        </is>
      </c>
      <c r="BC433" s="29" t="inlineStr">
        <is>
          <t>Not assessed</t>
        </is>
      </c>
      <c r="BD433" s="29" t="inlineStr">
        <is>
          <t>Not assessed</t>
        </is>
      </c>
      <c r="BE433" s="29" t="inlineStr">
        <is>
          <t>Development required</t>
        </is>
      </c>
      <c r="BF433" s="29" t="inlineStr">
        <is>
          <t>Physical implementation is not complete against the stated requirement.; Searched for Bounded real-time listeners and cleanup but found no evidence.</t>
        </is>
      </c>
      <c r="BG433" s="29" t="inlineStr"/>
      <c r="BH433" s="29" t="inlineStr"/>
      <c r="BI433" s="29" t="inlineStr"/>
      <c r="BJ433" s="29" t="inlineStr"/>
      <c r="BK433" s="29" t="inlineStr">
        <is>
          <t>Evidence reconciled against the reviewed source revision. No production approval is inferred from implementation or file presence.</t>
        </is>
      </c>
      <c r="BL433" s="29" t="inlineStr">
        <is>
          <t>2026-08-02</t>
        </is>
      </c>
    </row>
    <row r="434" ht="42" customHeight="1">
      <c r="A434" s="29" t="inlineStr">
        <is>
          <t>BLYP-21-016</t>
        </is>
      </c>
      <c r="B434" s="29" t="inlineStr"/>
      <c r="C434" s="29" t="inlineStr">
        <is>
          <t>Performance, reliability, and recovery</t>
        </is>
      </c>
      <c r="D434" s="29" t="n">
        <v>21</v>
      </c>
      <c r="E434" s="29" t="n">
        <v>16</v>
      </c>
      <c r="F434" s="29" t="inlineStr">
        <is>
          <t>Operational requirement</t>
        </is>
      </c>
      <c r="G434" s="29" t="inlineStr">
        <is>
          <t>Batch writes for bulk operations</t>
        </is>
      </c>
      <c r="H434" s="29" t="inlineStr">
        <is>
          <t>Batch writes for bulk operations</t>
        </is>
      </c>
      <c r="I434" s="29" t="inlineStr">
        <is>
          <t>/home/ubuntu/blyp_product_requirements.md :: Section 21 — Performance, reliability, and recovery</t>
        </is>
      </c>
      <c r="J434" s="29" t="inlineStr">
        <is>
          <t>/home/ubuntu/BLYP_COMPLETE_FEATURE_LIST.md:548</t>
        </is>
      </c>
      <c r="K434" s="29" t="inlineStr">
        <is>
          <t>Required</t>
        </is>
      </c>
      <c r="L434" s="29" t="inlineStr">
        <is>
          <t>Authorized operator or accountable service owner</t>
        </is>
      </c>
      <c r="M434" s="29" t="inlineStr">
        <is>
          <t>Production platform and operations</t>
        </is>
      </c>
      <c r="N434" s="29" t="inlineStr">
        <is>
          <t>Batch writes for bulk operations</t>
        </is>
      </c>
      <c r="O434" s="29" t="inlineStr">
        <is>
          <t>Not explicitly defined in the product source; requires accountable product approval before production sign-off.</t>
        </is>
      </c>
      <c r="P434" s="29" t="inlineStr"/>
      <c r="Q434" s="29" t="inlineStr">
        <is>
          <t>Yes</t>
        </is>
      </c>
      <c r="R434" s="29" t="inlineStr"/>
      <c r="S434" s="29" t="inlineStr">
        <is>
          <t>Not found</t>
        </is>
      </c>
      <c r="T434" s="29" t="inlineStr"/>
      <c r="U434" s="29" t="inlineStr"/>
      <c r="V434" s="29" t="inlineStr"/>
      <c r="W434" s="29" t="inlineStr"/>
      <c r="X434" s="29" t="inlineStr"/>
      <c r="Y434" s="29" t="inlineStr"/>
      <c r="Z434" s="29" t="inlineStr"/>
      <c r="AA434" s="29" t="inlineStr"/>
      <c r="AB434" s="29" t="inlineStr"/>
      <c r="AC434" s="29" t="inlineStr"/>
      <c r="AD434" s="29" t="inlineStr"/>
      <c r="AE434" s="29" t="inlineStr">
        <is>
          <t>Unknown</t>
        </is>
      </c>
      <c r="AF434" s="29" t="inlineStr"/>
      <c r="AG434" s="29" t="inlineStr">
        <is>
          <t>Unknown</t>
        </is>
      </c>
      <c r="AH434" s="29" t="inlineStr">
        <is>
          <t>Unknown</t>
        </is>
      </c>
      <c r="AI434" s="29" t="inlineStr">
        <is>
          <t>Searched for Batch writes for bulk operations but found no evidence.</t>
        </is>
      </c>
      <c r="AJ434" s="29" t="inlineStr">
        <is>
          <t>Not verified</t>
        </is>
      </c>
      <c r="AK434" s="29" t="inlineStr"/>
      <c r="AL434" s="29" t="inlineStr"/>
      <c r="AM434" s="29" t="inlineStr"/>
      <c r="AN434" s="29" t="inlineStr"/>
      <c r="AO434" s="29" t="inlineStr">
        <is>
          <t>8bc0dcb2a1da1b21368c5536aaeef829d587f316</t>
        </is>
      </c>
      <c r="AP434" s="29" t="inlineStr">
        <is>
          <t>Low</t>
        </is>
      </c>
      <c r="AQ434" s="29" t="inlineStr">
        <is>
          <t>Not assessed</t>
        </is>
      </c>
      <c r="AR434" s="29" t="inlineStr">
        <is>
          <t>Not assessed</t>
        </is>
      </c>
      <c r="AS434" s="29" t="inlineStr">
        <is>
          <t>Not assessed</t>
        </is>
      </c>
      <c r="AT434" s="29" t="inlineStr">
        <is>
          <t>Not assessed</t>
        </is>
      </c>
      <c r="AU434" s="29" t="inlineStr">
        <is>
          <t>Not assessed</t>
        </is>
      </c>
      <c r="AV434" s="29" t="inlineStr">
        <is>
          <t>Not assessed</t>
        </is>
      </c>
      <c r="AW434" s="29" t="inlineStr">
        <is>
          <t>Not assessed</t>
        </is>
      </c>
      <c r="AX434" s="29" t="inlineStr">
        <is>
          <t>Not assessed</t>
        </is>
      </c>
      <c r="AY434" s="29" t="inlineStr">
        <is>
          <t>Not assessed</t>
        </is>
      </c>
      <c r="AZ434" s="29" t="inlineStr">
        <is>
          <t>Not assessed</t>
        </is>
      </c>
      <c r="BA434" s="29" t="inlineStr">
        <is>
          <t>Not assessed</t>
        </is>
      </c>
      <c r="BB434" s="29" t="inlineStr">
        <is>
          <t>Not assessed</t>
        </is>
      </c>
      <c r="BC434" s="29" t="inlineStr">
        <is>
          <t>Not assessed</t>
        </is>
      </c>
      <c r="BD434" s="29" t="inlineStr">
        <is>
          <t>Not assessed</t>
        </is>
      </c>
      <c r="BE434" s="29" t="inlineStr">
        <is>
          <t>Development required</t>
        </is>
      </c>
      <c r="BF434" s="29" t="inlineStr">
        <is>
          <t>Physical implementation is not complete against the stated requirement.; Searched for Batch writes for bulk operations but found no evidence.</t>
        </is>
      </c>
      <c r="BG434" s="29" t="inlineStr"/>
      <c r="BH434" s="29" t="inlineStr"/>
      <c r="BI434" s="29" t="inlineStr"/>
      <c r="BJ434" s="29" t="inlineStr"/>
      <c r="BK434" s="29" t="inlineStr">
        <is>
          <t>Evidence reconciled against the reviewed source revision. No production approval is inferred from implementation or file presence.</t>
        </is>
      </c>
      <c r="BL434" s="29" t="inlineStr">
        <is>
          <t>2026-08-02</t>
        </is>
      </c>
    </row>
    <row r="435" ht="42" customHeight="1">
      <c r="A435" s="29" t="inlineStr">
        <is>
          <t>BLYP-21-017</t>
        </is>
      </c>
      <c r="B435" s="29" t="inlineStr"/>
      <c r="C435" s="29" t="inlineStr">
        <is>
          <t>Performance, reliability, and recovery</t>
        </is>
      </c>
      <c r="D435" s="29" t="n">
        <v>21</v>
      </c>
      <c r="E435" s="29" t="n">
        <v>17</v>
      </c>
      <c r="F435" s="29" t="inlineStr">
        <is>
          <t>Operational requirement</t>
        </is>
      </c>
      <c r="G435" s="29" t="inlineStr">
        <is>
          <t>Critical-flow monitoring</t>
        </is>
      </c>
      <c r="H435" s="29" t="inlineStr">
        <is>
          <t>Critical-flow monitoring</t>
        </is>
      </c>
      <c r="I435" s="29" t="inlineStr">
        <is>
          <t>/home/ubuntu/blyp_product_requirements.md :: Section 21 — Performance, reliability, and recovery</t>
        </is>
      </c>
      <c r="J435" s="29" t="inlineStr">
        <is>
          <t>/home/ubuntu/BLYP_COMPLETE_FEATURE_LIST.md:549</t>
        </is>
      </c>
      <c r="K435" s="29" t="inlineStr">
        <is>
          <t>Required</t>
        </is>
      </c>
      <c r="L435" s="29" t="inlineStr">
        <is>
          <t>Authorized operator or accountable service owner</t>
        </is>
      </c>
      <c r="M435" s="29" t="inlineStr">
        <is>
          <t>Production platform and operations</t>
        </is>
      </c>
      <c r="N435" s="29" t="inlineStr">
        <is>
          <t>Critical-flow monitoring</t>
        </is>
      </c>
      <c r="O435" s="29" t="inlineStr">
        <is>
          <t>Not explicitly defined in the product source; requires accountable product approval before production sign-off.</t>
        </is>
      </c>
      <c r="P435" s="29" t="inlineStr"/>
      <c r="Q435" s="29" t="inlineStr">
        <is>
          <t>Partial</t>
        </is>
      </c>
      <c r="R435" s="29" t="inlineStr"/>
      <c r="S435" s="29" t="inlineStr">
        <is>
          <t>Not found</t>
        </is>
      </c>
      <c r="T435" s="29" t="inlineStr"/>
      <c r="U435" s="29" t="inlineStr"/>
      <c r="V435" s="29" t="inlineStr"/>
      <c r="W435" s="29" t="inlineStr"/>
      <c r="X435" s="29" t="inlineStr"/>
      <c r="Y435" s="29" t="inlineStr"/>
      <c r="Z435" s="29" t="inlineStr"/>
      <c r="AA435" s="29" t="inlineStr"/>
      <c r="AB435" s="29" t="inlineStr"/>
      <c r="AC435" s="29" t="inlineStr"/>
      <c r="AD435" s="29" t="inlineStr"/>
      <c r="AE435" s="29" t="inlineStr">
        <is>
          <t>Unknown</t>
        </is>
      </c>
      <c r="AF435" s="29" t="inlineStr"/>
      <c r="AG435" s="29" t="inlineStr">
        <is>
          <t>Unknown</t>
        </is>
      </c>
      <c r="AH435" s="29" t="inlineStr">
        <is>
          <t>Unknown</t>
        </is>
      </c>
      <c r="AI435" s="29" t="inlineStr">
        <is>
          <t>Searched for Critical-flow monitoring but found no evidence.</t>
        </is>
      </c>
      <c r="AJ435" s="29" t="inlineStr">
        <is>
          <t>Not verified</t>
        </is>
      </c>
      <c r="AK435" s="29" t="inlineStr"/>
      <c r="AL435" s="29" t="inlineStr"/>
      <c r="AM435" s="29" t="inlineStr"/>
      <c r="AN435" s="29" t="inlineStr"/>
      <c r="AO435" s="29" t="inlineStr">
        <is>
          <t>8bc0dcb2a1da1b21368c5536aaeef829d587f316</t>
        </is>
      </c>
      <c r="AP435" s="29" t="inlineStr">
        <is>
          <t>Low</t>
        </is>
      </c>
      <c r="AQ435" s="29" t="inlineStr">
        <is>
          <t>Not assessed</t>
        </is>
      </c>
      <c r="AR435" s="29" t="inlineStr">
        <is>
          <t>Not assessed</t>
        </is>
      </c>
      <c r="AS435" s="29" t="inlineStr">
        <is>
          <t>Not assessed</t>
        </is>
      </c>
      <c r="AT435" s="29" t="inlineStr">
        <is>
          <t>Not assessed</t>
        </is>
      </c>
      <c r="AU435" s="29" t="inlineStr">
        <is>
          <t>Not assessed</t>
        </is>
      </c>
      <c r="AV435" s="29" t="inlineStr">
        <is>
          <t>Not assessed</t>
        </is>
      </c>
      <c r="AW435" s="29" t="inlineStr">
        <is>
          <t>Not assessed</t>
        </is>
      </c>
      <c r="AX435" s="29" t="inlineStr">
        <is>
          <t>Not assessed</t>
        </is>
      </c>
      <c r="AY435" s="29" t="inlineStr">
        <is>
          <t>Not assessed</t>
        </is>
      </c>
      <c r="AZ435" s="29" t="inlineStr">
        <is>
          <t>Not assessed</t>
        </is>
      </c>
      <c r="BA435" s="29" t="inlineStr">
        <is>
          <t>Not assessed</t>
        </is>
      </c>
      <c r="BB435" s="29" t="inlineStr">
        <is>
          <t>Not assessed</t>
        </is>
      </c>
      <c r="BC435" s="29" t="inlineStr">
        <is>
          <t>Not assessed</t>
        </is>
      </c>
      <c r="BD435" s="29" t="inlineStr">
        <is>
          <t>Not assessed</t>
        </is>
      </c>
      <c r="BE435" s="29" t="inlineStr">
        <is>
          <t>Development required</t>
        </is>
      </c>
      <c r="BF435" s="29" t="inlineStr">
        <is>
          <t>Physical implementation is not complete against the stated requirement.; Searched for Critical-flow monitoring but found no evidence.</t>
        </is>
      </c>
      <c r="BG435" s="29" t="inlineStr"/>
      <c r="BH435" s="29" t="inlineStr"/>
      <c r="BI435" s="29" t="inlineStr"/>
      <c r="BJ435" s="29" t="inlineStr"/>
      <c r="BK435" s="29" t="inlineStr">
        <is>
          <t>Evidence reconciled against the reviewed source revision. No production approval is inferred from implementation or file presence.</t>
        </is>
      </c>
      <c r="BL435" s="29" t="inlineStr">
        <is>
          <t>2026-08-02</t>
        </is>
      </c>
    </row>
    <row r="436" ht="42" customHeight="1">
      <c r="A436" s="29" t="inlineStr">
        <is>
          <t>BLYP-21-018</t>
        </is>
      </c>
      <c r="B436" s="29" t="inlineStr"/>
      <c r="C436" s="29" t="inlineStr">
        <is>
          <t>Performance, reliability, and recovery</t>
        </is>
      </c>
      <c r="D436" s="29" t="n">
        <v>21</v>
      </c>
      <c r="E436" s="29" t="n">
        <v>18</v>
      </c>
      <c r="F436" s="29" t="inlineStr">
        <is>
          <t>Operational requirement</t>
        </is>
      </c>
      <c r="G436" s="29" t="inlineStr">
        <is>
          <t>Backups</t>
        </is>
      </c>
      <c r="H436" s="29" t="inlineStr">
        <is>
          <t>Backups</t>
        </is>
      </c>
      <c r="I436" s="29" t="inlineStr">
        <is>
          <t>/home/ubuntu/blyp_product_requirements.md :: Section 21 — Performance, reliability, and recovery</t>
        </is>
      </c>
      <c r="J436" s="29" t="inlineStr">
        <is>
          <t>/home/ubuntu/BLYP_COMPLETE_FEATURE_LIST.md:550</t>
        </is>
      </c>
      <c r="K436" s="29" t="inlineStr">
        <is>
          <t>Required</t>
        </is>
      </c>
      <c r="L436" s="29" t="inlineStr">
        <is>
          <t>Authorized operator or accountable service owner</t>
        </is>
      </c>
      <c r="M436" s="29" t="inlineStr">
        <is>
          <t>Production platform and operations</t>
        </is>
      </c>
      <c r="N436" s="29" t="inlineStr">
        <is>
          <t>Backups</t>
        </is>
      </c>
      <c r="O436" s="29" t="inlineStr">
        <is>
          <t>Not explicitly defined in the product source; requires accountable product approval before production sign-off.</t>
        </is>
      </c>
      <c r="P436" s="29" t="inlineStr"/>
      <c r="Q436" s="29" t="inlineStr">
        <is>
          <t>Partial</t>
        </is>
      </c>
      <c r="R436" s="29" t="inlineStr"/>
      <c r="S436" s="29" t="inlineStr">
        <is>
          <t>Not found</t>
        </is>
      </c>
      <c r="T436" s="29" t="inlineStr"/>
      <c r="U436" s="29" t="inlineStr"/>
      <c r="V436" s="29" t="inlineStr"/>
      <c r="W436" s="29" t="inlineStr"/>
      <c r="X436" s="29" t="inlineStr"/>
      <c r="Y436" s="29" t="inlineStr"/>
      <c r="Z436" s="29" t="inlineStr"/>
      <c r="AA436" s="29" t="inlineStr"/>
      <c r="AB436" s="29" t="inlineStr"/>
      <c r="AC436" s="29" t="inlineStr"/>
      <c r="AD436" s="29" t="inlineStr"/>
      <c r="AE436" s="29" t="inlineStr">
        <is>
          <t>Unknown</t>
        </is>
      </c>
      <c r="AF436" s="29" t="inlineStr"/>
      <c r="AG436" s="29" t="inlineStr">
        <is>
          <t>Unknown</t>
        </is>
      </c>
      <c r="AH436" s="29" t="inlineStr">
        <is>
          <t>Unknown</t>
        </is>
      </c>
      <c r="AI436" s="29" t="inlineStr">
        <is>
          <t>Searched for Backups but found no evidence.</t>
        </is>
      </c>
      <c r="AJ436" s="29" t="inlineStr">
        <is>
          <t>Not verified</t>
        </is>
      </c>
      <c r="AK436" s="29" t="inlineStr"/>
      <c r="AL436" s="29" t="inlineStr"/>
      <c r="AM436" s="29" t="inlineStr"/>
      <c r="AN436" s="29" t="inlineStr"/>
      <c r="AO436" s="29" t="inlineStr">
        <is>
          <t>8bc0dcb2a1da1b21368c5536aaeef829d587f316</t>
        </is>
      </c>
      <c r="AP436" s="29" t="inlineStr">
        <is>
          <t>Low</t>
        </is>
      </c>
      <c r="AQ436" s="29" t="inlineStr">
        <is>
          <t>Not assessed</t>
        </is>
      </c>
      <c r="AR436" s="29" t="inlineStr">
        <is>
          <t>Not assessed</t>
        </is>
      </c>
      <c r="AS436" s="29" t="inlineStr">
        <is>
          <t>Not assessed</t>
        </is>
      </c>
      <c r="AT436" s="29" t="inlineStr">
        <is>
          <t>Not assessed</t>
        </is>
      </c>
      <c r="AU436" s="29" t="inlineStr">
        <is>
          <t>Not assessed</t>
        </is>
      </c>
      <c r="AV436" s="29" t="inlineStr">
        <is>
          <t>Not assessed</t>
        </is>
      </c>
      <c r="AW436" s="29" t="inlineStr">
        <is>
          <t>Not assessed</t>
        </is>
      </c>
      <c r="AX436" s="29" t="inlineStr">
        <is>
          <t>Not assessed</t>
        </is>
      </c>
      <c r="AY436" s="29" t="inlineStr">
        <is>
          <t>Not assessed</t>
        </is>
      </c>
      <c r="AZ436" s="29" t="inlineStr">
        <is>
          <t>Not assessed</t>
        </is>
      </c>
      <c r="BA436" s="29" t="inlineStr">
        <is>
          <t>Not assessed</t>
        </is>
      </c>
      <c r="BB436" s="29" t="inlineStr">
        <is>
          <t>Not assessed</t>
        </is>
      </c>
      <c r="BC436" s="29" t="inlineStr">
        <is>
          <t>Not assessed</t>
        </is>
      </c>
      <c r="BD436" s="29" t="inlineStr">
        <is>
          <t>Not assessed</t>
        </is>
      </c>
      <c r="BE436" s="29" t="inlineStr">
        <is>
          <t>Development required</t>
        </is>
      </c>
      <c r="BF436" s="29" t="inlineStr">
        <is>
          <t>Physical implementation is not complete against the stated requirement.; Searched for Backups but found no evidence.</t>
        </is>
      </c>
      <c r="BG436" s="29" t="inlineStr"/>
      <c r="BH436" s="29" t="inlineStr"/>
      <c r="BI436" s="29" t="inlineStr"/>
      <c r="BJ436" s="29" t="inlineStr"/>
      <c r="BK436" s="29" t="inlineStr">
        <is>
          <t>Evidence reconciled against the reviewed source revision. No production approval is inferred from implementation or file presence.</t>
        </is>
      </c>
      <c r="BL436" s="29" t="inlineStr">
        <is>
          <t>2026-08-02</t>
        </is>
      </c>
    </row>
    <row r="437" ht="42" customHeight="1">
      <c r="A437" s="29" t="inlineStr">
        <is>
          <t>BLYP-21-019</t>
        </is>
      </c>
      <c r="B437" s="29" t="inlineStr"/>
      <c r="C437" s="29" t="inlineStr">
        <is>
          <t>Performance, reliability, and recovery</t>
        </is>
      </c>
      <c r="D437" s="29" t="n">
        <v>21</v>
      </c>
      <c r="E437" s="29" t="n">
        <v>19</v>
      </c>
      <c r="F437" s="29" t="inlineStr">
        <is>
          <t>Acceptance criterion</t>
        </is>
      </c>
      <c r="G437" s="29" t="inlineStr">
        <is>
          <t>Restoration tests</t>
        </is>
      </c>
      <c r="H437" s="29" t="inlineStr">
        <is>
          <t>Restoration tests</t>
        </is>
      </c>
      <c r="I437" s="29" t="inlineStr">
        <is>
          <t>/home/ubuntu/blyp_product_requirements.md :: Section 21 — Performance, reliability, and recovery</t>
        </is>
      </c>
      <c r="J437" s="29" t="inlineStr">
        <is>
          <t>/home/ubuntu/BLYP_COMPLETE_FEATURE_LIST.md:551</t>
        </is>
      </c>
      <c r="K437" s="29" t="inlineStr">
        <is>
          <t>Required</t>
        </is>
      </c>
      <c r="L437" s="29" t="inlineStr">
        <is>
          <t>Applicable BLYP member</t>
        </is>
      </c>
      <c r="M437" s="29" t="inlineStr">
        <is>
          <t>BLYP mobile application and supporting production services</t>
        </is>
      </c>
      <c r="N437" s="29" t="inlineStr">
        <is>
          <t>Restoration tests</t>
        </is>
      </c>
      <c r="O437" s="29" t="inlineStr">
        <is>
          <t>Not explicitly defined in the product source; requires accountable product approval before production sign-off.</t>
        </is>
      </c>
      <c r="P437" s="29" t="inlineStr"/>
      <c r="Q437" s="29" t="inlineStr">
        <is>
          <t>Partial</t>
        </is>
      </c>
      <c r="R437" s="29" t="inlineStr"/>
      <c r="S437" s="29" t="inlineStr">
        <is>
          <t>Not found</t>
        </is>
      </c>
      <c r="T437" s="29" t="inlineStr"/>
      <c r="U437" s="29" t="inlineStr"/>
      <c r="V437" s="29" t="inlineStr"/>
      <c r="W437" s="29" t="inlineStr"/>
      <c r="X437" s="29" t="inlineStr"/>
      <c r="Y437" s="29" t="inlineStr"/>
      <c r="Z437" s="29" t="inlineStr"/>
      <c r="AA437" s="29" t="inlineStr"/>
      <c r="AB437" s="29" t="inlineStr"/>
      <c r="AC437" s="29" t="inlineStr"/>
      <c r="AD437" s="29" t="inlineStr"/>
      <c r="AE437" s="29" t="inlineStr">
        <is>
          <t>Unknown</t>
        </is>
      </c>
      <c r="AF437" s="29" t="inlineStr"/>
      <c r="AG437" s="29" t="inlineStr">
        <is>
          <t>Unknown</t>
        </is>
      </c>
      <c r="AH437" s="29" t="inlineStr">
        <is>
          <t>Unknown</t>
        </is>
      </c>
      <c r="AI437" s="29" t="inlineStr">
        <is>
          <t>Searched for Restoration tests but found no evidence.</t>
        </is>
      </c>
      <c r="AJ437" s="29" t="inlineStr">
        <is>
          <t>Not verified</t>
        </is>
      </c>
      <c r="AK437" s="29" t="inlineStr"/>
      <c r="AL437" s="29" t="inlineStr"/>
      <c r="AM437" s="29" t="inlineStr"/>
      <c r="AN437" s="29" t="inlineStr"/>
      <c r="AO437" s="29" t="inlineStr">
        <is>
          <t>8bc0dcb2a1da1b21368c5536aaeef829d587f316</t>
        </is>
      </c>
      <c r="AP437" s="29" t="inlineStr">
        <is>
          <t>Low</t>
        </is>
      </c>
      <c r="AQ437" s="29" t="inlineStr">
        <is>
          <t>Not assessed</t>
        </is>
      </c>
      <c r="AR437" s="29" t="inlineStr">
        <is>
          <t>Not assessed</t>
        </is>
      </c>
      <c r="AS437" s="29" t="inlineStr">
        <is>
          <t>Not assessed</t>
        </is>
      </c>
      <c r="AT437" s="29" t="inlineStr">
        <is>
          <t>Not assessed</t>
        </is>
      </c>
      <c r="AU437" s="29" t="inlineStr">
        <is>
          <t>Not assessed</t>
        </is>
      </c>
      <c r="AV437" s="29" t="inlineStr">
        <is>
          <t>Not assessed</t>
        </is>
      </c>
      <c r="AW437" s="29" t="inlineStr">
        <is>
          <t>Not assessed</t>
        </is>
      </c>
      <c r="AX437" s="29" t="inlineStr">
        <is>
          <t>Not assessed</t>
        </is>
      </c>
      <c r="AY437" s="29" t="inlineStr">
        <is>
          <t>Not assessed</t>
        </is>
      </c>
      <c r="AZ437" s="29" t="inlineStr">
        <is>
          <t>Not assessed</t>
        </is>
      </c>
      <c r="BA437" s="29" t="inlineStr">
        <is>
          <t>Not assessed</t>
        </is>
      </c>
      <c r="BB437" s="29" t="inlineStr">
        <is>
          <t>Not assessed</t>
        </is>
      </c>
      <c r="BC437" s="29" t="inlineStr">
        <is>
          <t>Not assessed</t>
        </is>
      </c>
      <c r="BD437" s="29" t="inlineStr">
        <is>
          <t>Not assessed</t>
        </is>
      </c>
      <c r="BE437" s="29" t="inlineStr">
        <is>
          <t>Development required</t>
        </is>
      </c>
      <c r="BF437" s="29" t="inlineStr">
        <is>
          <t>Physical implementation is not complete against the stated requirement.; Searched for Restoration tests but found no evidence.</t>
        </is>
      </c>
      <c r="BG437" s="29" t="inlineStr"/>
      <c r="BH437" s="29" t="inlineStr"/>
      <c r="BI437" s="29" t="inlineStr"/>
      <c r="BJ437" s="29" t="inlineStr"/>
      <c r="BK437" s="29" t="inlineStr">
        <is>
          <t>Evidence reconciled against the reviewed source revision. No production approval is inferred from implementation or file presence.</t>
        </is>
      </c>
      <c r="BL437" s="29" t="inlineStr">
        <is>
          <t>2026-08-02</t>
        </is>
      </c>
    </row>
    <row r="438" ht="42" customHeight="1">
      <c r="A438" s="29" t="inlineStr">
        <is>
          <t>BLYP-21-020</t>
        </is>
      </c>
      <c r="B438" s="29" t="inlineStr"/>
      <c r="C438" s="29" t="inlineStr">
        <is>
          <t>Performance, reliability, and recovery</t>
        </is>
      </c>
      <c r="D438" s="29" t="n">
        <v>21</v>
      </c>
      <c r="E438" s="29" t="n">
        <v>20</v>
      </c>
      <c r="F438" s="29" t="inlineStr">
        <is>
          <t>Feature</t>
        </is>
      </c>
      <c r="G438" s="29" t="inlineStr">
        <is>
          <t>Staged releases</t>
        </is>
      </c>
      <c r="H438" s="29" t="inlineStr">
        <is>
          <t>Staged releases</t>
        </is>
      </c>
      <c r="I438" s="29" t="inlineStr">
        <is>
          <t>/home/ubuntu/blyp_product_requirements.md :: Section 21 — Performance, reliability, and recovery</t>
        </is>
      </c>
      <c r="J438" s="29" t="inlineStr">
        <is>
          <t>/home/ubuntu/BLYP_COMPLETE_FEATURE_LIST.md:552</t>
        </is>
      </c>
      <c r="K438" s="29" t="inlineStr">
        <is>
          <t>Required</t>
        </is>
      </c>
      <c r="L438" s="29" t="inlineStr">
        <is>
          <t>Applicable BLYP member</t>
        </is>
      </c>
      <c r="M438" s="29" t="inlineStr">
        <is>
          <t>BLYP mobile application and supporting production services</t>
        </is>
      </c>
      <c r="N438" s="29" t="inlineStr">
        <is>
          <t>Staged releases</t>
        </is>
      </c>
      <c r="O438" s="29" t="inlineStr">
        <is>
          <t>Not explicitly defined in the product source; requires accountable product approval before production sign-off.</t>
        </is>
      </c>
      <c r="P438" s="29" t="inlineStr"/>
      <c r="Q438" s="29" t="inlineStr">
        <is>
          <t>Yes</t>
        </is>
      </c>
      <c r="R438" s="29" t="inlineStr"/>
      <c r="S438" s="29" t="inlineStr">
        <is>
          <t>Not found</t>
        </is>
      </c>
      <c r="T438" s="29" t="inlineStr"/>
      <c r="U438" s="29" t="inlineStr"/>
      <c r="V438" s="29" t="inlineStr"/>
      <c r="W438" s="29" t="inlineStr"/>
      <c r="X438" s="29" t="inlineStr"/>
      <c r="Y438" s="29" t="inlineStr"/>
      <c r="Z438" s="29" t="inlineStr"/>
      <c r="AA438" s="29" t="inlineStr"/>
      <c r="AB438" s="29" t="inlineStr"/>
      <c r="AC438" s="29" t="inlineStr"/>
      <c r="AD438" s="29" t="inlineStr"/>
      <c r="AE438" s="29" t="inlineStr">
        <is>
          <t>Unknown</t>
        </is>
      </c>
      <c r="AF438" s="29" t="inlineStr"/>
      <c r="AG438" s="29" t="inlineStr">
        <is>
          <t>Unknown</t>
        </is>
      </c>
      <c r="AH438" s="29" t="inlineStr">
        <is>
          <t>Unknown</t>
        </is>
      </c>
      <c r="AI438" s="29" t="inlineStr">
        <is>
          <t>Searched for Staged releases but found no evidence.</t>
        </is>
      </c>
      <c r="AJ438" s="29" t="inlineStr">
        <is>
          <t>Not verified</t>
        </is>
      </c>
      <c r="AK438" s="29" t="inlineStr"/>
      <c r="AL438" s="29" t="inlineStr"/>
      <c r="AM438" s="29" t="inlineStr"/>
      <c r="AN438" s="29" t="inlineStr"/>
      <c r="AO438" s="29" t="inlineStr">
        <is>
          <t>8bc0dcb2a1da1b21368c5536aaeef829d587f316</t>
        </is>
      </c>
      <c r="AP438" s="29" t="inlineStr">
        <is>
          <t>Low</t>
        </is>
      </c>
      <c r="AQ438" s="29" t="inlineStr">
        <is>
          <t>Not assessed</t>
        </is>
      </c>
      <c r="AR438" s="29" t="inlineStr">
        <is>
          <t>Not assessed</t>
        </is>
      </c>
      <c r="AS438" s="29" t="inlineStr">
        <is>
          <t>Not assessed</t>
        </is>
      </c>
      <c r="AT438" s="29" t="inlineStr">
        <is>
          <t>Not assessed</t>
        </is>
      </c>
      <c r="AU438" s="29" t="inlineStr">
        <is>
          <t>Not assessed</t>
        </is>
      </c>
      <c r="AV438" s="29" t="inlineStr">
        <is>
          <t>Not assessed</t>
        </is>
      </c>
      <c r="AW438" s="29" t="inlineStr">
        <is>
          <t>Not assessed</t>
        </is>
      </c>
      <c r="AX438" s="29" t="inlineStr">
        <is>
          <t>Not assessed</t>
        </is>
      </c>
      <c r="AY438" s="29" t="inlineStr">
        <is>
          <t>Not assessed</t>
        </is>
      </c>
      <c r="AZ438" s="29" t="inlineStr">
        <is>
          <t>Not assessed</t>
        </is>
      </c>
      <c r="BA438" s="29" t="inlineStr">
        <is>
          <t>Not assessed</t>
        </is>
      </c>
      <c r="BB438" s="29" t="inlineStr">
        <is>
          <t>Not assessed</t>
        </is>
      </c>
      <c r="BC438" s="29" t="inlineStr">
        <is>
          <t>Not assessed</t>
        </is>
      </c>
      <c r="BD438" s="29" t="inlineStr">
        <is>
          <t>Not assessed</t>
        </is>
      </c>
      <c r="BE438" s="29" t="inlineStr">
        <is>
          <t>Development required</t>
        </is>
      </c>
      <c r="BF438" s="29" t="inlineStr">
        <is>
          <t>Physical implementation is not complete against the stated requirement.; Searched for Staged releases but found no evidence.</t>
        </is>
      </c>
      <c r="BG438" s="29" t="inlineStr"/>
      <c r="BH438" s="29" t="inlineStr"/>
      <c r="BI438" s="29" t="inlineStr"/>
      <c r="BJ438" s="29" t="inlineStr"/>
      <c r="BK438" s="29" t="inlineStr">
        <is>
          <t>Evidence reconciled against the reviewed source revision. No production approval is inferred from implementation or file presence.</t>
        </is>
      </c>
      <c r="BL438" s="29" t="inlineStr">
        <is>
          <t>2026-08-02</t>
        </is>
      </c>
    </row>
    <row r="439" ht="42" customHeight="1">
      <c r="A439" s="29" t="inlineStr">
        <is>
          <t>BLYP-21-021</t>
        </is>
      </c>
      <c r="B439" s="29" t="inlineStr"/>
      <c r="C439" s="29" t="inlineStr">
        <is>
          <t>Performance, reliability, and recovery</t>
        </is>
      </c>
      <c r="D439" s="29" t="n">
        <v>21</v>
      </c>
      <c r="E439" s="29" t="n">
        <v>21</v>
      </c>
      <c r="F439" s="29" t="inlineStr">
        <is>
          <t>Operational requirement</t>
        </is>
      </c>
      <c r="G439" s="29" t="inlineStr">
        <is>
          <t>Feature flags and stop controls</t>
        </is>
      </c>
      <c r="H439" s="29" t="inlineStr">
        <is>
          <t>Feature flags and stop controls</t>
        </is>
      </c>
      <c r="I439" s="29" t="inlineStr">
        <is>
          <t>/home/ubuntu/blyp_product_requirements.md :: Section 21 — Performance, reliability, and recovery</t>
        </is>
      </c>
      <c r="J439" s="29" t="inlineStr">
        <is>
          <t>/home/ubuntu/BLYP_COMPLETE_FEATURE_LIST.md:553</t>
        </is>
      </c>
      <c r="K439" s="29" t="inlineStr">
        <is>
          <t>Required</t>
        </is>
      </c>
      <c r="L439" s="29" t="inlineStr">
        <is>
          <t>Authorized operator or accountable service owner</t>
        </is>
      </c>
      <c r="M439" s="29" t="inlineStr">
        <is>
          <t>Production platform and operations</t>
        </is>
      </c>
      <c r="N439" s="29" t="inlineStr">
        <is>
          <t>Feature flags and stop controls</t>
        </is>
      </c>
      <c r="O439" s="29" t="inlineStr">
        <is>
          <t>Not explicitly defined in the product source; requires accountable product approval before production sign-off.</t>
        </is>
      </c>
      <c r="P439" s="29" t="inlineStr"/>
      <c r="Q439" s="29" t="inlineStr">
        <is>
          <t>Yes</t>
        </is>
      </c>
      <c r="R439" s="29" t="inlineStr"/>
      <c r="S439" s="29" t="inlineStr">
        <is>
          <t>Unknown</t>
        </is>
      </c>
      <c r="T439" s="29" t="inlineStr"/>
      <c r="U439" s="29" t="inlineStr"/>
      <c r="V439" s="29" t="inlineStr"/>
      <c r="W439" s="29" t="inlineStr"/>
      <c r="X439" s="29" t="inlineStr"/>
      <c r="Y439" s="29" t="inlineStr"/>
      <c r="Z439" s="29" t="inlineStr"/>
      <c r="AA439" s="29" t="inlineStr"/>
      <c r="AB439" s="29" t="inlineStr"/>
      <c r="AC439" s="29" t="inlineStr"/>
      <c r="AD439" s="29" t="inlineStr"/>
      <c r="AE439" s="29" t="inlineStr">
        <is>
          <t>Unknown</t>
        </is>
      </c>
      <c r="AF439" s="29" t="inlineStr">
        <is>
          <t>No exact feature-level physical path was resolved from the reviewed evidence.</t>
        </is>
      </c>
      <c r="AG439" s="29" t="inlineStr">
        <is>
          <t>Unknown</t>
        </is>
      </c>
      <c r="AH439" s="29" t="inlineStr">
        <is>
          <t>Unknown</t>
        </is>
      </c>
      <c r="AI439" s="29" t="inlineStr">
        <is>
          <t>A prior area review labelled this 'Partial', but did not supply a feature-level physical mapping; the authoritative state is therefore Unknown.</t>
        </is>
      </c>
      <c r="AJ439" s="29" t="inlineStr">
        <is>
          <t>Unknown</t>
        </is>
      </c>
      <c r="AK439" s="29" t="inlineStr">
        <is>
          <t>EV-21-0002</t>
        </is>
      </c>
      <c r="AL439" s="29" t="inlineStr"/>
      <c r="AM439" s="29" t="inlineStr"/>
      <c r="AN439" s="29" t="inlineStr"/>
      <c r="AO439" s="29" t="inlineStr">
        <is>
          <t>8bc0dcb2a1da1b21368c5536aaeef829d587f316</t>
        </is>
      </c>
      <c r="AP439" s="29" t="inlineStr">
        <is>
          <t>Low</t>
        </is>
      </c>
      <c r="AQ439" s="29" t="inlineStr">
        <is>
          <t>Not assessed</t>
        </is>
      </c>
      <c r="AR439" s="29" t="inlineStr">
        <is>
          <t>Not assessed</t>
        </is>
      </c>
      <c r="AS439" s="29" t="inlineStr">
        <is>
          <t>Fail</t>
        </is>
      </c>
      <c r="AT439" s="29" t="inlineStr">
        <is>
          <t>Not assessed</t>
        </is>
      </c>
      <c r="AU439" s="29" t="inlineStr">
        <is>
          <t>Not assessed</t>
        </is>
      </c>
      <c r="AV439" s="29" t="inlineStr">
        <is>
          <t>Not assessed</t>
        </is>
      </c>
      <c r="AW439" s="29" t="inlineStr">
        <is>
          <t>Not assessed</t>
        </is>
      </c>
      <c r="AX439" s="29" t="inlineStr">
        <is>
          <t>Not assessed</t>
        </is>
      </c>
      <c r="AY439" s="29" t="inlineStr">
        <is>
          <t>Not assessed</t>
        </is>
      </c>
      <c r="AZ439" s="29" t="inlineStr">
        <is>
          <t>Not assessed</t>
        </is>
      </c>
      <c r="BA439" s="29" t="inlineStr">
        <is>
          <t>Not assessed</t>
        </is>
      </c>
      <c r="BB439" s="29" t="inlineStr">
        <is>
          <t>Not assessed</t>
        </is>
      </c>
      <c r="BC439" s="29" t="inlineStr">
        <is>
          <t>Not assessed</t>
        </is>
      </c>
      <c r="BD439" s="29" t="inlineStr">
        <is>
          <t>Not assessed</t>
        </is>
      </c>
      <c r="BE439" s="29" t="inlineStr">
        <is>
          <t>Not assessed</t>
        </is>
      </c>
      <c r="BF439" s="29" t="inlineStr">
        <is>
          <t>Production readiness cannot be assessed until the exact physical implementation and runtime path are traced.</t>
        </is>
      </c>
      <c r="BG439" s="29" t="inlineStr">
        <is>
          <t>Map the feature to exact client, server, data, worker and configuration locations, then verify its runtime path.</t>
        </is>
      </c>
      <c r="BH439" s="29" t="inlineStr"/>
      <c r="BI439" s="29" t="inlineStr"/>
      <c r="BJ439" s="29" t="inlineStr"/>
      <c r="BK439" s="29" t="inlineStr">
        <is>
          <t>Evidence reconciled against the reviewed source revision. No production approval is inferred from implementation or file presence.</t>
        </is>
      </c>
      <c r="BL439" s="29" t="inlineStr">
        <is>
          <t>2026-08-02</t>
        </is>
      </c>
    </row>
    <row r="440" ht="42" customHeight="1">
      <c r="A440" s="29" t="inlineStr">
        <is>
          <t>BLYP-21-022</t>
        </is>
      </c>
      <c r="B440" s="29" t="inlineStr"/>
      <c r="C440" s="29" t="inlineStr">
        <is>
          <t>Performance, reliability, and recovery</t>
        </is>
      </c>
      <c r="D440" s="29" t="n">
        <v>21</v>
      </c>
      <c r="E440" s="29" t="n">
        <v>22</v>
      </c>
      <c r="F440" s="29" t="inlineStr">
        <is>
          <t>Operational requirement</t>
        </is>
      </c>
      <c r="G440" s="29" t="inlineStr">
        <is>
          <t>Crash monitoring</t>
        </is>
      </c>
      <c r="H440" s="29" t="inlineStr">
        <is>
          <t>Crash monitoring</t>
        </is>
      </c>
      <c r="I440" s="29" t="inlineStr">
        <is>
          <t>/home/ubuntu/blyp_product_requirements.md :: Section 21 — Performance, reliability, and recovery</t>
        </is>
      </c>
      <c r="J440" s="29" t="inlineStr">
        <is>
          <t>/home/ubuntu/BLYP_COMPLETE_FEATURE_LIST.md:554</t>
        </is>
      </c>
      <c r="K440" s="29" t="inlineStr">
        <is>
          <t>Required</t>
        </is>
      </c>
      <c r="L440" s="29" t="inlineStr">
        <is>
          <t>Authorized operator or accountable service owner</t>
        </is>
      </c>
      <c r="M440" s="29" t="inlineStr">
        <is>
          <t>Production platform and operations</t>
        </is>
      </c>
      <c r="N440" s="29" t="inlineStr">
        <is>
          <t>Crash monitoring</t>
        </is>
      </c>
      <c r="O440" s="29" t="inlineStr">
        <is>
          <t>Not explicitly defined in the product source; requires accountable product approval before production sign-off.</t>
        </is>
      </c>
      <c r="P440" s="29" t="inlineStr"/>
      <c r="Q440" s="29" t="inlineStr">
        <is>
          <t>Scaffold only</t>
        </is>
      </c>
      <c r="R440" s="29" t="inlineStr"/>
      <c r="S440" s="29" t="inlineStr">
        <is>
          <t>Unknown</t>
        </is>
      </c>
      <c r="T440" s="29" t="inlineStr"/>
      <c r="U440" s="29" t="inlineStr"/>
      <c r="V440" s="29" t="inlineStr"/>
      <c r="W440" s="29" t="inlineStr"/>
      <c r="X440" s="29" t="inlineStr"/>
      <c r="Y440" s="29" t="inlineStr"/>
      <c r="Z440" s="29" t="inlineStr"/>
      <c r="AA440" s="29" t="inlineStr"/>
      <c r="AB440" s="29" t="inlineStr"/>
      <c r="AC440" s="29" t="inlineStr"/>
      <c r="AD440" s="29" t="inlineStr"/>
      <c r="AE440" s="29" t="inlineStr">
        <is>
          <t>Unknown</t>
        </is>
      </c>
      <c r="AF440" s="29" t="inlineStr">
        <is>
          <t>No exact feature-level physical path was resolved from the reviewed evidence.</t>
        </is>
      </c>
      <c r="AG440" s="29" t="inlineStr">
        <is>
          <t>Unknown</t>
        </is>
      </c>
      <c r="AH440" s="29" t="inlineStr">
        <is>
          <t>Unknown</t>
        </is>
      </c>
      <c r="AI440" s="29" t="inlineStr">
        <is>
          <t>A prior area review labelled this 'Partial', but did not supply a feature-level physical mapping; the authoritative state is therefore Unknown.</t>
        </is>
      </c>
      <c r="AJ440" s="29" t="inlineStr">
        <is>
          <t>Unknown</t>
        </is>
      </c>
      <c r="AK440" s="29" t="inlineStr">
        <is>
          <t>EV-21-0003</t>
        </is>
      </c>
      <c r="AL440" s="29" t="inlineStr"/>
      <c r="AM440" s="29" t="inlineStr"/>
      <c r="AN440" s="29" t="inlineStr"/>
      <c r="AO440" s="29" t="inlineStr">
        <is>
          <t>8bc0dcb2a1da1b21368c5536aaeef829d587f316</t>
        </is>
      </c>
      <c r="AP440" s="29" t="inlineStr">
        <is>
          <t>Low</t>
        </is>
      </c>
      <c r="AQ440" s="29" t="inlineStr">
        <is>
          <t>Not assessed</t>
        </is>
      </c>
      <c r="AR440" s="29" t="inlineStr">
        <is>
          <t>Not assessed</t>
        </is>
      </c>
      <c r="AS440" s="29" t="inlineStr">
        <is>
          <t>Fail</t>
        </is>
      </c>
      <c r="AT440" s="29" t="inlineStr">
        <is>
          <t>Not assessed</t>
        </is>
      </c>
      <c r="AU440" s="29" t="inlineStr">
        <is>
          <t>Not assessed</t>
        </is>
      </c>
      <c r="AV440" s="29" t="inlineStr">
        <is>
          <t>Not assessed</t>
        </is>
      </c>
      <c r="AW440" s="29" t="inlineStr">
        <is>
          <t>Not assessed</t>
        </is>
      </c>
      <c r="AX440" s="29" t="inlineStr">
        <is>
          <t>Not assessed</t>
        </is>
      </c>
      <c r="AY440" s="29" t="inlineStr">
        <is>
          <t>Not assessed</t>
        </is>
      </c>
      <c r="AZ440" s="29" t="inlineStr">
        <is>
          <t>Not assessed</t>
        </is>
      </c>
      <c r="BA440" s="29" t="inlineStr">
        <is>
          <t>Not assessed</t>
        </is>
      </c>
      <c r="BB440" s="29" t="inlineStr">
        <is>
          <t>Not assessed</t>
        </is>
      </c>
      <c r="BC440" s="29" t="inlineStr">
        <is>
          <t>Not assessed</t>
        </is>
      </c>
      <c r="BD440" s="29" t="inlineStr">
        <is>
          <t>Not assessed</t>
        </is>
      </c>
      <c r="BE440" s="29" t="inlineStr">
        <is>
          <t>Not assessed</t>
        </is>
      </c>
      <c r="BF440" s="29" t="inlineStr">
        <is>
          <t>Production readiness cannot be assessed until the exact physical implementation and runtime path are traced.</t>
        </is>
      </c>
      <c r="BG440" s="29" t="inlineStr">
        <is>
          <t>Map the feature to exact client, server, data, worker and configuration locations, then verify its runtime path.</t>
        </is>
      </c>
      <c r="BH440" s="29" t="inlineStr"/>
      <c r="BI440" s="29" t="inlineStr"/>
      <c r="BJ440" s="29" t="inlineStr"/>
      <c r="BK440" s="29" t="inlineStr">
        <is>
          <t>Evidence reconciled against the reviewed source revision. No production approval is inferred from implementation or file presence.</t>
        </is>
      </c>
      <c r="BL440" s="29" t="inlineStr">
        <is>
          <t>2026-08-02</t>
        </is>
      </c>
    </row>
    <row r="441" ht="42" customHeight="1">
      <c r="A441" s="29" t="inlineStr">
        <is>
          <t>BLYP-21-023</t>
        </is>
      </c>
      <c r="B441" s="29" t="inlineStr"/>
      <c r="C441" s="29" t="inlineStr">
        <is>
          <t>Performance, reliability, and recovery</t>
        </is>
      </c>
      <c r="D441" s="29" t="n">
        <v>21</v>
      </c>
      <c r="E441" s="29" t="n">
        <v>23</v>
      </c>
      <c r="F441" s="29" t="inlineStr">
        <is>
          <t>Operational requirement</t>
        </is>
      </c>
      <c r="G441" s="29" t="inlineStr">
        <is>
          <t>Rollback controls</t>
        </is>
      </c>
      <c r="H441" s="29" t="inlineStr">
        <is>
          <t>Rollback controls</t>
        </is>
      </c>
      <c r="I441" s="29" t="inlineStr">
        <is>
          <t>/home/ubuntu/blyp_product_requirements.md :: Section 21 — Performance, reliability, and recovery</t>
        </is>
      </c>
      <c r="J441" s="29" t="inlineStr">
        <is>
          <t>/home/ubuntu/BLYP_COMPLETE_FEATURE_LIST.md:555</t>
        </is>
      </c>
      <c r="K441" s="29" t="inlineStr">
        <is>
          <t>Required</t>
        </is>
      </c>
      <c r="L441" s="29" t="inlineStr">
        <is>
          <t>Authorized operator or accountable service owner</t>
        </is>
      </c>
      <c r="M441" s="29" t="inlineStr">
        <is>
          <t>Production platform and operations</t>
        </is>
      </c>
      <c r="N441" s="29" t="inlineStr">
        <is>
          <t>Rollback controls</t>
        </is>
      </c>
      <c r="O441" s="29" t="inlineStr">
        <is>
          <t>Not explicitly defined in the product source; requires accountable product approval before production sign-off.</t>
        </is>
      </c>
      <c r="P441" s="29" t="inlineStr"/>
      <c r="Q441" s="29" t="inlineStr">
        <is>
          <t>Yes</t>
        </is>
      </c>
      <c r="R441" s="29" t="inlineStr"/>
      <c r="S441" s="29" t="inlineStr">
        <is>
          <t>Not found</t>
        </is>
      </c>
      <c r="T441" s="29" t="inlineStr"/>
      <c r="U441" s="29" t="inlineStr"/>
      <c r="V441" s="29" t="inlineStr"/>
      <c r="W441" s="29" t="inlineStr"/>
      <c r="X441" s="29" t="inlineStr"/>
      <c r="Y441" s="29" t="inlineStr"/>
      <c r="Z441" s="29" t="inlineStr"/>
      <c r="AA441" s="29" t="inlineStr"/>
      <c r="AB441" s="29" t="inlineStr"/>
      <c r="AC441" s="29" t="inlineStr"/>
      <c r="AD441" s="29" t="inlineStr"/>
      <c r="AE441" s="29" t="inlineStr">
        <is>
          <t>Unknown</t>
        </is>
      </c>
      <c r="AF441" s="29" t="inlineStr"/>
      <c r="AG441" s="29" t="inlineStr">
        <is>
          <t>Unknown</t>
        </is>
      </c>
      <c r="AH441" s="29" t="inlineStr">
        <is>
          <t>Unknown</t>
        </is>
      </c>
      <c r="AI441" s="29" t="inlineStr">
        <is>
          <t>Searched for Rollback controls but found no evidence.</t>
        </is>
      </c>
      <c r="AJ441" s="29" t="inlineStr">
        <is>
          <t>Not verified</t>
        </is>
      </c>
      <c r="AK441" s="29" t="inlineStr"/>
      <c r="AL441" s="29" t="inlineStr"/>
      <c r="AM441" s="29" t="inlineStr"/>
      <c r="AN441" s="29" t="inlineStr"/>
      <c r="AO441" s="29" t="inlineStr">
        <is>
          <t>8bc0dcb2a1da1b21368c5536aaeef829d587f316</t>
        </is>
      </c>
      <c r="AP441" s="29" t="inlineStr">
        <is>
          <t>Low</t>
        </is>
      </c>
      <c r="AQ441" s="29" t="inlineStr">
        <is>
          <t>Not assessed</t>
        </is>
      </c>
      <c r="AR441" s="29" t="inlineStr">
        <is>
          <t>Not assessed</t>
        </is>
      </c>
      <c r="AS441" s="29" t="inlineStr">
        <is>
          <t>Not assessed</t>
        </is>
      </c>
      <c r="AT441" s="29" t="inlineStr">
        <is>
          <t>Not assessed</t>
        </is>
      </c>
      <c r="AU441" s="29" t="inlineStr">
        <is>
          <t>Not assessed</t>
        </is>
      </c>
      <c r="AV441" s="29" t="inlineStr">
        <is>
          <t>Not assessed</t>
        </is>
      </c>
      <c r="AW441" s="29" t="inlineStr">
        <is>
          <t>Not assessed</t>
        </is>
      </c>
      <c r="AX441" s="29" t="inlineStr">
        <is>
          <t>Not assessed</t>
        </is>
      </c>
      <c r="AY441" s="29" t="inlineStr">
        <is>
          <t>Not assessed</t>
        </is>
      </c>
      <c r="AZ441" s="29" t="inlineStr">
        <is>
          <t>Not assessed</t>
        </is>
      </c>
      <c r="BA441" s="29" t="inlineStr">
        <is>
          <t>Not assessed</t>
        </is>
      </c>
      <c r="BB441" s="29" t="inlineStr">
        <is>
          <t>Not assessed</t>
        </is>
      </c>
      <c r="BC441" s="29" t="inlineStr">
        <is>
          <t>Not assessed</t>
        </is>
      </c>
      <c r="BD441" s="29" t="inlineStr">
        <is>
          <t>Not assessed</t>
        </is>
      </c>
      <c r="BE441" s="29" t="inlineStr">
        <is>
          <t>Development required</t>
        </is>
      </c>
      <c r="BF441" s="29" t="inlineStr">
        <is>
          <t>Physical implementation is not complete against the stated requirement.; Searched for Rollback controls but found no evidence.</t>
        </is>
      </c>
      <c r="BG441" s="29" t="inlineStr"/>
      <c r="BH441" s="29" t="inlineStr"/>
      <c r="BI441" s="29" t="inlineStr"/>
      <c r="BJ441" s="29" t="inlineStr"/>
      <c r="BK441" s="29" t="inlineStr">
        <is>
          <t>Evidence reconciled against the reviewed source revision. No production approval is inferred from implementation or file presence.</t>
        </is>
      </c>
      <c r="BL441" s="29" t="inlineStr">
        <is>
          <t>2026-08-02</t>
        </is>
      </c>
    </row>
    <row r="442" ht="42" customHeight="1">
      <c r="A442" s="29" t="inlineStr">
        <is>
          <t>BLYP-21-024</t>
        </is>
      </c>
      <c r="B442" s="29" t="inlineStr"/>
      <c r="C442" s="29" t="inlineStr">
        <is>
          <t>Performance, reliability, and recovery</t>
        </is>
      </c>
      <c r="D442" s="29" t="n">
        <v>21</v>
      </c>
      <c r="E442" s="29" t="n">
        <v>24</v>
      </c>
      <c r="F442" s="29" t="inlineStr">
        <is>
          <t>Feature</t>
        </is>
      </c>
      <c r="G442" s="29" t="inlineStr">
        <is>
          <t>Preserve member work after failure</t>
        </is>
      </c>
      <c r="H442" s="29" t="inlineStr">
        <is>
          <t>Preserve member work after failure</t>
        </is>
      </c>
      <c r="I442" s="29" t="inlineStr">
        <is>
          <t>/home/ubuntu/blyp_product_requirements.md :: Section 21 — Performance, reliability, and recovery</t>
        </is>
      </c>
      <c r="J442" s="29" t="inlineStr">
        <is>
          <t>/home/ubuntu/BLYP_COMPLETE_FEATURE_LIST.md:556</t>
        </is>
      </c>
      <c r="K442" s="29" t="inlineStr">
        <is>
          <t>Required</t>
        </is>
      </c>
      <c r="L442" s="29" t="inlineStr">
        <is>
          <t>Applicable BLYP member</t>
        </is>
      </c>
      <c r="M442" s="29" t="inlineStr">
        <is>
          <t>BLYP mobile application and supporting production services</t>
        </is>
      </c>
      <c r="N442" s="29" t="inlineStr">
        <is>
          <t>Preserve member work after failure</t>
        </is>
      </c>
      <c r="O442" s="29" t="inlineStr">
        <is>
          <t>Not explicitly defined in the product source; requires accountable product approval before production sign-off.</t>
        </is>
      </c>
      <c r="P442" s="29" t="inlineStr"/>
      <c r="Q442" s="29" t="inlineStr">
        <is>
          <t>Partial</t>
        </is>
      </c>
      <c r="R442" s="29" t="inlineStr"/>
      <c r="S442" s="29" t="inlineStr">
        <is>
          <t>Not found</t>
        </is>
      </c>
      <c r="T442" s="29" t="inlineStr"/>
      <c r="U442" s="29" t="inlineStr"/>
      <c r="V442" s="29" t="inlineStr"/>
      <c r="W442" s="29" t="inlineStr"/>
      <c r="X442" s="29" t="inlineStr"/>
      <c r="Y442" s="29" t="inlineStr"/>
      <c r="Z442" s="29" t="inlineStr"/>
      <c r="AA442" s="29" t="inlineStr"/>
      <c r="AB442" s="29" t="inlineStr"/>
      <c r="AC442" s="29" t="inlineStr"/>
      <c r="AD442" s="29" t="inlineStr"/>
      <c r="AE442" s="29" t="inlineStr">
        <is>
          <t>Unknown</t>
        </is>
      </c>
      <c r="AF442" s="29" t="inlineStr"/>
      <c r="AG442" s="29" t="inlineStr">
        <is>
          <t>Unknown</t>
        </is>
      </c>
      <c r="AH442" s="29" t="inlineStr">
        <is>
          <t>Unknown</t>
        </is>
      </c>
      <c r="AI442" s="29" t="inlineStr">
        <is>
          <t>Searched for Preserve member work after failure but found no evidence.</t>
        </is>
      </c>
      <c r="AJ442" s="29" t="inlineStr">
        <is>
          <t>Not verified</t>
        </is>
      </c>
      <c r="AK442" s="29" t="inlineStr"/>
      <c r="AL442" s="29" t="inlineStr"/>
      <c r="AM442" s="29" t="inlineStr"/>
      <c r="AN442" s="29" t="inlineStr"/>
      <c r="AO442" s="29" t="inlineStr">
        <is>
          <t>8bc0dcb2a1da1b21368c5536aaeef829d587f316</t>
        </is>
      </c>
      <c r="AP442" s="29" t="inlineStr">
        <is>
          <t>Low</t>
        </is>
      </c>
      <c r="AQ442" s="29" t="inlineStr">
        <is>
          <t>Not assessed</t>
        </is>
      </c>
      <c r="AR442" s="29" t="inlineStr">
        <is>
          <t>Not assessed</t>
        </is>
      </c>
      <c r="AS442" s="29" t="inlineStr">
        <is>
          <t>Not assessed</t>
        </is>
      </c>
      <c r="AT442" s="29" t="inlineStr">
        <is>
          <t>Not assessed</t>
        </is>
      </c>
      <c r="AU442" s="29" t="inlineStr">
        <is>
          <t>Not assessed</t>
        </is>
      </c>
      <c r="AV442" s="29" t="inlineStr">
        <is>
          <t>Not assessed</t>
        </is>
      </c>
      <c r="AW442" s="29" t="inlineStr">
        <is>
          <t>Not assessed</t>
        </is>
      </c>
      <c r="AX442" s="29" t="inlineStr">
        <is>
          <t>Not assessed</t>
        </is>
      </c>
      <c r="AY442" s="29" t="inlineStr">
        <is>
          <t>Not assessed</t>
        </is>
      </c>
      <c r="AZ442" s="29" t="inlineStr">
        <is>
          <t>Not assessed</t>
        </is>
      </c>
      <c r="BA442" s="29" t="inlineStr">
        <is>
          <t>Not assessed</t>
        </is>
      </c>
      <c r="BB442" s="29" t="inlineStr">
        <is>
          <t>Not assessed</t>
        </is>
      </c>
      <c r="BC442" s="29" t="inlineStr">
        <is>
          <t>Not assessed</t>
        </is>
      </c>
      <c r="BD442" s="29" t="inlineStr">
        <is>
          <t>Not assessed</t>
        </is>
      </c>
      <c r="BE442" s="29" t="inlineStr">
        <is>
          <t>Development required</t>
        </is>
      </c>
      <c r="BF442" s="29" t="inlineStr">
        <is>
          <t>Physical implementation is not complete against the stated requirement.; Searched for Preserve member work after failure but found no evidence.</t>
        </is>
      </c>
      <c r="BG442" s="29" t="inlineStr"/>
      <c r="BH442" s="29" t="inlineStr"/>
      <c r="BI442" s="29" t="inlineStr"/>
      <c r="BJ442" s="29" t="inlineStr"/>
      <c r="BK442" s="29" t="inlineStr">
        <is>
          <t>Evidence reconciled against the reviewed source revision. No production approval is inferred from implementation or file presence.</t>
        </is>
      </c>
      <c r="BL442" s="29" t="inlineStr">
        <is>
          <t>2026-08-02</t>
        </is>
      </c>
    </row>
    <row r="443" ht="42" customHeight="1">
      <c r="A443" s="29" t="inlineStr">
        <is>
          <t>BLYP-21-025</t>
        </is>
      </c>
      <c r="B443" s="29" t="inlineStr"/>
      <c r="C443" s="29" t="inlineStr">
        <is>
          <t>Performance, reliability, and recovery</t>
        </is>
      </c>
      <c r="D443" s="29" t="n">
        <v>21</v>
      </c>
      <c r="E443" s="29" t="n">
        <v>25</v>
      </c>
      <c r="F443" s="29" t="inlineStr">
        <is>
          <t>Feature</t>
        </is>
      </c>
      <c r="G443" s="29" t="inlineStr">
        <is>
          <t>Preserve member money after failure</t>
        </is>
      </c>
      <c r="H443" s="29" t="inlineStr">
        <is>
          <t>Preserve member money after failure</t>
        </is>
      </c>
      <c r="I443" s="29" t="inlineStr">
        <is>
          <t>/home/ubuntu/blyp_product_requirements.md :: Section 21 — Performance, reliability, and recovery</t>
        </is>
      </c>
      <c r="J443" s="29" t="inlineStr">
        <is>
          <t>/home/ubuntu/BLYP_COMPLETE_FEATURE_LIST.md:557</t>
        </is>
      </c>
      <c r="K443" s="29" t="inlineStr">
        <is>
          <t>Required</t>
        </is>
      </c>
      <c r="L443" s="29" t="inlineStr">
        <is>
          <t>Applicable BLYP member</t>
        </is>
      </c>
      <c r="M443" s="29" t="inlineStr">
        <is>
          <t>BLYP mobile application and supporting production services</t>
        </is>
      </c>
      <c r="N443" s="29" t="inlineStr">
        <is>
          <t>Preserve member money after failure</t>
        </is>
      </c>
      <c r="O443" s="29" t="inlineStr">
        <is>
          <t>Not explicitly defined in the product source; requires accountable product approval before production sign-off.</t>
        </is>
      </c>
      <c r="P443" s="29" t="inlineStr"/>
      <c r="Q443" s="29" t="inlineStr">
        <is>
          <t>Partial</t>
        </is>
      </c>
      <c r="R443" s="29" t="inlineStr"/>
      <c r="S443" s="29" t="inlineStr">
        <is>
          <t>Not found</t>
        </is>
      </c>
      <c r="T443" s="29" t="inlineStr"/>
      <c r="U443" s="29" t="inlineStr"/>
      <c r="V443" s="29" t="inlineStr"/>
      <c r="W443" s="29" t="inlineStr"/>
      <c r="X443" s="29" t="inlineStr"/>
      <c r="Y443" s="29" t="inlineStr"/>
      <c r="Z443" s="29" t="inlineStr"/>
      <c r="AA443" s="29" t="inlineStr"/>
      <c r="AB443" s="29" t="inlineStr"/>
      <c r="AC443" s="29" t="inlineStr"/>
      <c r="AD443" s="29" t="inlineStr"/>
      <c r="AE443" s="29" t="inlineStr">
        <is>
          <t>Unknown</t>
        </is>
      </c>
      <c r="AF443" s="29" t="inlineStr"/>
      <c r="AG443" s="29" t="inlineStr">
        <is>
          <t>Unknown</t>
        </is>
      </c>
      <c r="AH443" s="29" t="inlineStr">
        <is>
          <t>Unknown</t>
        </is>
      </c>
      <c r="AI443" s="29" t="inlineStr">
        <is>
          <t>Searched for Preserve member money after failure but found no evidence.</t>
        </is>
      </c>
      <c r="AJ443" s="29" t="inlineStr">
        <is>
          <t>Not verified</t>
        </is>
      </c>
      <c r="AK443" s="29" t="inlineStr"/>
      <c r="AL443" s="29" t="inlineStr"/>
      <c r="AM443" s="29" t="inlineStr"/>
      <c r="AN443" s="29" t="inlineStr"/>
      <c r="AO443" s="29" t="inlineStr">
        <is>
          <t>8bc0dcb2a1da1b21368c5536aaeef829d587f316</t>
        </is>
      </c>
      <c r="AP443" s="29" t="inlineStr">
        <is>
          <t>Low</t>
        </is>
      </c>
      <c r="AQ443" s="29" t="inlineStr">
        <is>
          <t>Not assessed</t>
        </is>
      </c>
      <c r="AR443" s="29" t="inlineStr">
        <is>
          <t>Not assessed</t>
        </is>
      </c>
      <c r="AS443" s="29" t="inlineStr">
        <is>
          <t>Not assessed</t>
        </is>
      </c>
      <c r="AT443" s="29" t="inlineStr">
        <is>
          <t>Not assessed</t>
        </is>
      </c>
      <c r="AU443" s="29" t="inlineStr">
        <is>
          <t>Not assessed</t>
        </is>
      </c>
      <c r="AV443" s="29" t="inlineStr">
        <is>
          <t>Not assessed</t>
        </is>
      </c>
      <c r="AW443" s="29" t="inlineStr">
        <is>
          <t>Not assessed</t>
        </is>
      </c>
      <c r="AX443" s="29" t="inlineStr">
        <is>
          <t>Not assessed</t>
        </is>
      </c>
      <c r="AY443" s="29" t="inlineStr">
        <is>
          <t>Not assessed</t>
        </is>
      </c>
      <c r="AZ443" s="29" t="inlineStr">
        <is>
          <t>Not assessed</t>
        </is>
      </c>
      <c r="BA443" s="29" t="inlineStr">
        <is>
          <t>Not assessed</t>
        </is>
      </c>
      <c r="BB443" s="29" t="inlineStr">
        <is>
          <t>Not assessed</t>
        </is>
      </c>
      <c r="BC443" s="29" t="inlineStr">
        <is>
          <t>Not assessed</t>
        </is>
      </c>
      <c r="BD443" s="29" t="inlineStr">
        <is>
          <t>Not assessed</t>
        </is>
      </c>
      <c r="BE443" s="29" t="inlineStr">
        <is>
          <t>Development required</t>
        </is>
      </c>
      <c r="BF443" s="29" t="inlineStr">
        <is>
          <t>Physical implementation is not complete against the stated requirement.; Searched for Preserve member money after failure but found no evidence.</t>
        </is>
      </c>
      <c r="BG443" s="29" t="inlineStr"/>
      <c r="BH443" s="29" t="inlineStr"/>
      <c r="BI443" s="29" t="inlineStr"/>
      <c r="BJ443" s="29" t="inlineStr"/>
      <c r="BK443" s="29" t="inlineStr">
        <is>
          <t>Evidence reconciled against the reviewed source revision. No production approval is inferred from implementation or file presence.</t>
        </is>
      </c>
      <c r="BL443" s="29" t="inlineStr">
        <is>
          <t>2026-08-02</t>
        </is>
      </c>
    </row>
    <row r="444" ht="42" customHeight="1">
      <c r="A444" s="29" t="inlineStr">
        <is>
          <t>BLYP-22-001</t>
        </is>
      </c>
      <c r="B444" s="29" t="inlineStr"/>
      <c r="C444" s="29" t="inlineStr">
        <is>
          <t>Creator Studio</t>
        </is>
      </c>
      <c r="D444" s="29" t="n">
        <v>22</v>
      </c>
      <c r="E444" s="29" t="n">
        <v>1</v>
      </c>
      <c r="F444" s="29" t="inlineStr">
        <is>
          <t>Feature</t>
        </is>
      </c>
      <c r="G444" s="29" t="inlineStr">
        <is>
          <t>Unified Creator Studio</t>
        </is>
      </c>
      <c r="H444" s="29" t="inlineStr">
        <is>
          <t>Unified Creator Studio</t>
        </is>
      </c>
      <c r="I444" s="29" t="inlineStr">
        <is>
          <t>/home/ubuntu/blyp_product_requirements.md :: Section 22 — Creator Studio</t>
        </is>
      </c>
      <c r="J444" s="29" t="inlineStr">
        <is>
          <t>/home/ubuntu/BLYP_COMPLETE_FEATURE_LIST.md:563</t>
        </is>
      </c>
      <c r="K444" s="29" t="inlineStr">
        <is>
          <t>Required</t>
        </is>
      </c>
      <c r="L444" s="29" t="inlineStr">
        <is>
          <t>Authenticated creator or host</t>
        </is>
      </c>
      <c r="M444" s="29" t="inlineStr">
        <is>
          <t>BLYP mobile application and supporting production services</t>
        </is>
      </c>
      <c r="N444" s="29" t="inlineStr">
        <is>
          <t>Unified Creator Studio</t>
        </is>
      </c>
      <c r="O444" s="29" t="inlineStr">
        <is>
          <t>Not explicitly defined in the product source; requires accountable product approval before production sign-off.</t>
        </is>
      </c>
      <c r="P444" s="29" t="inlineStr"/>
      <c r="Q444" s="29" t="inlineStr">
        <is>
          <t>No evidence</t>
        </is>
      </c>
      <c r="R444" s="29" t="inlineStr"/>
      <c r="S444" s="29" t="inlineStr">
        <is>
          <t>Not found</t>
        </is>
      </c>
      <c r="T444" s="29" t="inlineStr"/>
      <c r="U444" s="29" t="inlineStr"/>
      <c r="V444" s="29" t="inlineStr"/>
      <c r="W444" s="29" t="inlineStr"/>
      <c r="X444" s="29" t="inlineStr"/>
      <c r="Y444" s="29" t="inlineStr"/>
      <c r="Z444" s="29" t="inlineStr"/>
      <c r="AA444" s="29" t="inlineStr"/>
      <c r="AB444" s="29" t="inlineStr"/>
      <c r="AC444" s="29" t="inlineStr"/>
      <c r="AD444" s="29" t="inlineStr"/>
      <c r="AE444" s="29" t="inlineStr">
        <is>
          <t>Unknown</t>
        </is>
      </c>
      <c r="AF444" s="29" t="inlineStr"/>
      <c r="AG444" s="29" t="inlineStr">
        <is>
          <t>Not started</t>
        </is>
      </c>
      <c r="AH444" s="29" t="inlineStr">
        <is>
          <t>No</t>
        </is>
      </c>
      <c r="AI444" s="29" t="inlineStr">
        <is>
          <t>No unified Creator Studio navigator, screen or route was found. Underlying draft, analytics and economy primitives are distributed across unrelated surfaces and runtimes.</t>
        </is>
      </c>
      <c r="AJ444" s="29" t="inlineStr">
        <is>
          <t>Source traced</t>
        </is>
      </c>
      <c r="AK444" s="29" t="inlineStr">
        <is>
          <t>EV-22-0002</t>
        </is>
      </c>
      <c r="AL444" s="29" t="inlineStr"/>
      <c r="AM444" s="29" t="inlineStr"/>
      <c r="AN444" s="29" t="inlineStr"/>
      <c r="AO444" s="29" t="inlineStr">
        <is>
          <t>8bc0dcb2a1da1b21368c5536aaeef829d587f316</t>
        </is>
      </c>
      <c r="AP444" s="29" t="inlineStr">
        <is>
          <t>Medium</t>
        </is>
      </c>
      <c r="AQ444" s="29" t="inlineStr">
        <is>
          <t>Not assessed</t>
        </is>
      </c>
      <c r="AR444" s="29" t="inlineStr">
        <is>
          <t>Not assessed</t>
        </is>
      </c>
      <c r="AS444" s="29" t="inlineStr">
        <is>
          <t>Fail</t>
        </is>
      </c>
      <c r="AT444" s="29" t="inlineStr">
        <is>
          <t>Not assessed</t>
        </is>
      </c>
      <c r="AU444" s="29" t="inlineStr">
        <is>
          <t>Not assessed</t>
        </is>
      </c>
      <c r="AV444" s="29" t="inlineStr">
        <is>
          <t>Not assessed</t>
        </is>
      </c>
      <c r="AW444" s="29" t="inlineStr">
        <is>
          <t>Not assessed</t>
        </is>
      </c>
      <c r="AX444" s="29" t="inlineStr">
        <is>
          <t>Not assessed</t>
        </is>
      </c>
      <c r="AY444" s="29" t="inlineStr">
        <is>
          <t>Not assessed</t>
        </is>
      </c>
      <c r="AZ444" s="29" t="inlineStr">
        <is>
          <t>Not assessed</t>
        </is>
      </c>
      <c r="BA444" s="29" t="inlineStr">
        <is>
          <t>Not assessed</t>
        </is>
      </c>
      <c r="BB444" s="29" t="inlineStr">
        <is>
          <t>Not assessed</t>
        </is>
      </c>
      <c r="BC444" s="29" t="inlineStr">
        <is>
          <t>Not assessed</t>
        </is>
      </c>
      <c r="BD444" s="29" t="inlineStr">
        <is>
          <t>Not assessed</t>
        </is>
      </c>
      <c r="BE444" s="29" t="inlineStr">
        <is>
          <t>Development required</t>
        </is>
      </c>
      <c r="BF444" s="29" t="inlineStr">
        <is>
          <t>No verified end-to-end implementation or release-candidate evidence.; Physical implementation is not complete against the stated requirement.; No unified Creator Studio navigator, screen or route was found. Underlying draft, analytics and economy primitives are distributed across unrelated surfaces and runtimes.</t>
        </is>
      </c>
      <c r="BG444" s="29" t="inlineStr">
        <is>
          <t>Confirm product acceptance criteria, trace any implementation outside the reviewed repository, and verify the final production build and configuration.</t>
        </is>
      </c>
      <c r="BH444" s="29" t="inlineStr"/>
      <c r="BI444" s="29" t="inlineStr"/>
      <c r="BJ444" s="29" t="inlineStr"/>
      <c r="BK444" s="29" t="inlineStr">
        <is>
          <t>Evidence reconciled against the reviewed source revision. No production approval is inferred from implementation or file presence.</t>
        </is>
      </c>
      <c r="BL444" s="29" t="inlineStr">
        <is>
          <t>2026-08-02</t>
        </is>
      </c>
    </row>
    <row r="445" ht="42" customHeight="1">
      <c r="A445" s="29" t="inlineStr">
        <is>
          <t>BLYP-22-002</t>
        </is>
      </c>
      <c r="B445" s="29" t="inlineStr"/>
      <c r="C445" s="29" t="inlineStr">
        <is>
          <t>Creator Studio</t>
        </is>
      </c>
      <c r="D445" s="29" t="n">
        <v>22</v>
      </c>
      <c r="E445" s="29" t="n">
        <v>2</v>
      </c>
      <c r="F445" s="29" t="inlineStr">
        <is>
          <t>Feature</t>
        </is>
      </c>
      <c r="G445" s="29" t="inlineStr">
        <is>
          <t>Creator drafts</t>
        </is>
      </c>
      <c r="H445" s="29" t="inlineStr">
        <is>
          <t>Creator drafts</t>
        </is>
      </c>
      <c r="I445" s="29" t="inlineStr">
        <is>
          <t>/home/ubuntu/blyp_product_requirements.md :: Section 22 — Creator Studio</t>
        </is>
      </c>
      <c r="J445" s="29" t="inlineStr">
        <is>
          <t>/home/ubuntu/BLYP_COMPLETE_FEATURE_LIST.md:564</t>
        </is>
      </c>
      <c r="K445" s="29" t="inlineStr">
        <is>
          <t>Required</t>
        </is>
      </c>
      <c r="L445" s="29" t="inlineStr">
        <is>
          <t>Authenticated creator or host</t>
        </is>
      </c>
      <c r="M445" s="29" t="inlineStr">
        <is>
          <t>BLYP mobile application and supporting production services</t>
        </is>
      </c>
      <c r="N445" s="29" t="inlineStr">
        <is>
          <t>Creator drafts</t>
        </is>
      </c>
      <c r="O445" s="29" t="inlineStr">
        <is>
          <t>Not explicitly defined in the product source; requires accountable product approval before production sign-off.</t>
        </is>
      </c>
      <c r="P445" s="29" t="inlineStr">
        <is>
          <t>Firestore drafts collection</t>
        </is>
      </c>
      <c r="Q445" s="29" t="inlineStr">
        <is>
          <t>Yes</t>
        </is>
      </c>
      <c r="R445" s="29" t="inlineStr">
        <is>
          <t>scattered draft foundations exist.</t>
        </is>
      </c>
      <c r="S445" s="29" t="inlineStr">
        <is>
          <t>Partial</t>
        </is>
      </c>
      <c r="T445" s="29" t="inlineStr">
        <is>
          <t>Review flow can invoke handleSaveAsDraft; Profile tab 3 is labelled Drafts.</t>
        </is>
      </c>
      <c r="U445" s="29" t="inlineStr">
        <is>
          <t>src/screens/ReviewScreen.js; src/screens/ProfileScreen.js</t>
        </is>
      </c>
      <c r="V445" s="29" t="inlineStr">
        <is>
          <t>Firebase compatibility auth and Firestore client</t>
        </is>
      </c>
      <c r="W445" s="29" t="inlineStr"/>
      <c r="X445" s="29" t="inlineStr">
        <is>
          <t>Firestore drafts collection</t>
        </is>
      </c>
      <c r="Y445" s="29" t="inlineStr"/>
      <c r="Z445" s="29" t="inlineStr"/>
      <c r="AA445" s="29" t="inlineStr"/>
      <c r="AB445" s="29" t="inlineStr">
        <is>
          <t>Expo mobile application</t>
        </is>
      </c>
      <c r="AC445" s="29" t="inlineStr"/>
      <c r="AD445" s="29" t="inlineStr">
        <is>
          <t>Authenticated user saves a composed post from ReviewScreen; the client writes a drafts document. The visible Drafts tab does not retrieve or manage those documents.</t>
        </is>
      </c>
      <c r="AE445" s="29" t="inlineStr">
        <is>
          <t>User reachable</t>
        </is>
      </c>
      <c r="AF445" s="29" t="inlineStr">
        <is>
          <t>Review flow can invoke handleSaveAsDraft; Profile tab 3 is labelled Drafts.; Authenticated user saves a composed post from ReviewScreen; the client writes a drafts document. The visible Drafts tab does not retrieve or manage those documents.</t>
        </is>
      </c>
      <c r="AG445" s="29" t="inlineStr">
        <is>
          <t>Incomplete</t>
        </is>
      </c>
      <c r="AH445" s="29" t="inlineStr">
        <is>
          <t>No</t>
        </is>
      </c>
      <c r="AI445" s="29" t="inlineStr">
        <is>
          <t>Draft listing, reopening, editing, deletion, conflict handling and production-runtime verification are absent; the Drafts tab is a placeholder.</t>
        </is>
      </c>
      <c r="AJ445" s="29" t="inlineStr">
        <is>
          <t>Source traced</t>
        </is>
      </c>
      <c r="AK445" s="29" t="inlineStr">
        <is>
          <t>EV-22-0001;EV-22-0002</t>
        </is>
      </c>
      <c r="AL445" s="29" t="inlineStr"/>
      <c r="AM445" s="29" t="inlineStr"/>
      <c r="AN445" s="29" t="inlineStr"/>
      <c r="AO445" s="29" t="inlineStr">
        <is>
          <t>8bc0dcb2a1da1b21368c5536aaeef829d587f316</t>
        </is>
      </c>
      <c r="AP445" s="29" t="inlineStr">
        <is>
          <t>High</t>
        </is>
      </c>
      <c r="AQ445" s="29" t="inlineStr">
        <is>
          <t>Not assessed</t>
        </is>
      </c>
      <c r="AR445" s="29" t="inlineStr">
        <is>
          <t>Not assessed</t>
        </is>
      </c>
      <c r="AS445" s="29" t="inlineStr">
        <is>
          <t>Fail</t>
        </is>
      </c>
      <c r="AT445" s="29" t="inlineStr">
        <is>
          <t>Not assessed</t>
        </is>
      </c>
      <c r="AU445" s="29" t="inlineStr">
        <is>
          <t>Not assessed</t>
        </is>
      </c>
      <c r="AV445" s="29" t="inlineStr">
        <is>
          <t>Not assessed</t>
        </is>
      </c>
      <c r="AW445" s="29" t="inlineStr">
        <is>
          <t>Not assessed</t>
        </is>
      </c>
      <c r="AX445" s="29" t="inlineStr">
        <is>
          <t>Not assessed</t>
        </is>
      </c>
      <c r="AY445" s="29" t="inlineStr">
        <is>
          <t>Not assessed</t>
        </is>
      </c>
      <c r="AZ445" s="29" t="inlineStr">
        <is>
          <t>Not assessed</t>
        </is>
      </c>
      <c r="BA445" s="29" t="inlineStr">
        <is>
          <t>Not assessed</t>
        </is>
      </c>
      <c r="BB445" s="29" t="inlineStr">
        <is>
          <t>Not assessed</t>
        </is>
      </c>
      <c r="BC445" s="29" t="inlineStr">
        <is>
          <t>Not assessed</t>
        </is>
      </c>
      <c r="BD445" s="29" t="inlineStr">
        <is>
          <t>Not assessed</t>
        </is>
      </c>
      <c r="BE445" s="29" t="inlineStr">
        <is>
          <t>Development required</t>
        </is>
      </c>
      <c r="BF445" s="29" t="inlineStr">
        <is>
          <t>The saved data has no complete user-facing management path and has not been verified in a release candidate.; Physical implementation is not complete against the stated requirement.; Draft listing, reopening, editing, deletion, conflict handling and production-runtime verification are absent; the Drafts tab is a placeholder.</t>
        </is>
      </c>
      <c r="BG445" s="29" t="inlineStr">
        <is>
          <t>Implement and test authenticated draft retrieval/edit/delete against the authoritative production data path on the final binary.</t>
        </is>
      </c>
      <c r="BH445" s="29" t="inlineStr"/>
      <c r="BI445" s="29" t="inlineStr"/>
      <c r="BJ445" s="29" t="inlineStr"/>
      <c r="BK445" s="29" t="inlineStr">
        <is>
          <t>Evidence reconciled against the reviewed source revision. No production approval is inferred from implementation or file presence.</t>
        </is>
      </c>
      <c r="BL445" s="29" t="inlineStr">
        <is>
          <t>2026-08-02</t>
        </is>
      </c>
    </row>
    <row r="446" ht="42" customHeight="1">
      <c r="A446" s="29" t="inlineStr">
        <is>
          <t>BLYP-22-003</t>
        </is>
      </c>
      <c r="B446" s="29" t="inlineStr"/>
      <c r="C446" s="29" t="inlineStr">
        <is>
          <t>Creator Studio</t>
        </is>
      </c>
      <c r="D446" s="29" t="n">
        <v>22</v>
      </c>
      <c r="E446" s="29" t="n">
        <v>3</v>
      </c>
      <c r="F446" s="29" t="inlineStr">
        <is>
          <t>Feature</t>
        </is>
      </c>
      <c r="G446" s="29" t="inlineStr">
        <is>
          <t>Scheduled posts</t>
        </is>
      </c>
      <c r="H446" s="29" t="inlineStr">
        <is>
          <t>Scheduled posts</t>
        </is>
      </c>
      <c r="I446" s="29" t="inlineStr">
        <is>
          <t>/home/ubuntu/blyp_product_requirements.md :: Section 22 — Creator Studio</t>
        </is>
      </c>
      <c r="J446" s="29" t="inlineStr">
        <is>
          <t>/home/ubuntu/BLYP_COMPLETE_FEATURE_LIST.md:565</t>
        </is>
      </c>
      <c r="K446" s="29" t="inlineStr">
        <is>
          <t>Required</t>
        </is>
      </c>
      <c r="L446" s="29" t="inlineStr">
        <is>
          <t>Authenticated creator or host</t>
        </is>
      </c>
      <c r="M446" s="29" t="inlineStr">
        <is>
          <t>BLYP mobile application and supporting production services</t>
        </is>
      </c>
      <c r="N446" s="29" t="inlineStr">
        <is>
          <t>Scheduled posts</t>
        </is>
      </c>
      <c r="O446" s="29" t="inlineStr">
        <is>
          <t>Not explicitly defined in the product source; requires accountable product approval before production sign-off.</t>
        </is>
      </c>
      <c r="P446" s="29" t="inlineStr"/>
      <c r="Q446" s="29" t="inlineStr">
        <is>
          <t>No evidence</t>
        </is>
      </c>
      <c r="R446" s="29" t="inlineStr"/>
      <c r="S446" s="29" t="inlineStr">
        <is>
          <t>Not found</t>
        </is>
      </c>
      <c r="T446" s="29" t="inlineStr"/>
      <c r="U446" s="29" t="inlineStr"/>
      <c r="V446" s="29" t="inlineStr"/>
      <c r="W446" s="29" t="inlineStr"/>
      <c r="X446" s="29" t="inlineStr"/>
      <c r="Y446" s="29" t="inlineStr"/>
      <c r="Z446" s="29" t="inlineStr"/>
      <c r="AA446" s="29" t="inlineStr"/>
      <c r="AB446" s="29" t="inlineStr"/>
      <c r="AC446" s="29" t="inlineStr"/>
      <c r="AD446" s="29" t="inlineStr"/>
      <c r="AE446" s="29" t="inlineStr">
        <is>
          <t>Unknown</t>
        </is>
      </c>
      <c r="AF446" s="29" t="inlineStr"/>
      <c r="AG446" s="29" t="inlineStr">
        <is>
          <t>Not started</t>
        </is>
      </c>
      <c r="AH446" s="29" t="inlineStr">
        <is>
          <t>No</t>
        </is>
      </c>
      <c r="AI446" s="29" t="inlineStr">
        <is>
          <t>No implementation matching “Scheduled posts” was found in the reviewed source snapshot; absence has not been verified against a deployed runtime.</t>
        </is>
      </c>
      <c r="AJ446" s="29" t="inlineStr">
        <is>
          <t>Not verified</t>
        </is>
      </c>
      <c r="AK446" s="29" t="inlineStr"/>
      <c r="AL446" s="29" t="inlineStr"/>
      <c r="AM446" s="29" t="inlineStr"/>
      <c r="AN446" s="29" t="inlineStr"/>
      <c r="AO446" s="29" t="inlineStr">
        <is>
          <t>8bc0dcb2a1da1b21368c5536aaeef829d587f316</t>
        </is>
      </c>
      <c r="AP446" s="29" t="inlineStr">
        <is>
          <t>Low</t>
        </is>
      </c>
      <c r="AQ446" s="29" t="inlineStr">
        <is>
          <t>Not assessed</t>
        </is>
      </c>
      <c r="AR446" s="29" t="inlineStr">
        <is>
          <t>Not assessed</t>
        </is>
      </c>
      <c r="AS446" s="29" t="inlineStr">
        <is>
          <t>Fail</t>
        </is>
      </c>
      <c r="AT446" s="29" t="inlineStr">
        <is>
          <t>Not assessed</t>
        </is>
      </c>
      <c r="AU446" s="29" t="inlineStr">
        <is>
          <t>Not assessed</t>
        </is>
      </c>
      <c r="AV446" s="29" t="inlineStr">
        <is>
          <t>Not assessed</t>
        </is>
      </c>
      <c r="AW446" s="29" t="inlineStr">
        <is>
          <t>Not assessed</t>
        </is>
      </c>
      <c r="AX446" s="29" t="inlineStr">
        <is>
          <t>Not assessed</t>
        </is>
      </c>
      <c r="AY446" s="29" t="inlineStr">
        <is>
          <t>Not assessed</t>
        </is>
      </c>
      <c r="AZ446" s="29" t="inlineStr">
        <is>
          <t>Not assessed</t>
        </is>
      </c>
      <c r="BA446" s="29" t="inlineStr">
        <is>
          <t>Not assessed</t>
        </is>
      </c>
      <c r="BB446" s="29" t="inlineStr">
        <is>
          <t>Not assessed</t>
        </is>
      </c>
      <c r="BC446" s="29" t="inlineStr">
        <is>
          <t>Not assessed</t>
        </is>
      </c>
      <c r="BD446" s="29" t="inlineStr">
        <is>
          <t>Not assessed</t>
        </is>
      </c>
      <c r="BE446" s="29" t="inlineStr">
        <is>
          <t>Development required</t>
        </is>
      </c>
      <c r="BF446" s="29" t="inlineStr">
        <is>
          <t>No verified end-to-end implementation or release-candidate evidence.; Physical implementation is not complete against the stated requirement.; No implementation matching “Scheduled posts” was found in the reviewed source snapshot; absence has not been verified against a deployed runtime.</t>
        </is>
      </c>
      <c r="BG446" s="29" t="inlineStr">
        <is>
          <t>Confirm product acceptance criteria, trace any implementation outside the reviewed repository, and verify the final production build and configuration.</t>
        </is>
      </c>
      <c r="BH446" s="29" t="inlineStr"/>
      <c r="BI446" s="29" t="inlineStr"/>
      <c r="BJ446" s="29" t="inlineStr"/>
      <c r="BK446" s="29" t="inlineStr">
        <is>
          <t>Evidence reconciled against the reviewed source revision. No production approval is inferred from implementation or file presence.</t>
        </is>
      </c>
      <c r="BL446" s="29" t="inlineStr">
        <is>
          <t>2026-08-02</t>
        </is>
      </c>
    </row>
    <row r="447" ht="42" customHeight="1">
      <c r="A447" s="29" t="inlineStr">
        <is>
          <t>BLYP-22-004</t>
        </is>
      </c>
      <c r="B447" s="29" t="inlineStr"/>
      <c r="C447" s="29" t="inlineStr">
        <is>
          <t>Creator Studio</t>
        </is>
      </c>
      <c r="D447" s="29" t="n">
        <v>22</v>
      </c>
      <c r="E447" s="29" t="n">
        <v>4</v>
      </c>
      <c r="F447" s="29" t="inlineStr">
        <is>
          <t>Feature</t>
        </is>
      </c>
      <c r="G447" s="29" t="inlineStr">
        <is>
          <t>Media-processing status</t>
        </is>
      </c>
      <c r="H447" s="29" t="inlineStr">
        <is>
          <t>Media-processing status</t>
        </is>
      </c>
      <c r="I447" s="29" t="inlineStr">
        <is>
          <t>/home/ubuntu/blyp_product_requirements.md :: Section 22 — Creator Studio</t>
        </is>
      </c>
      <c r="J447" s="29" t="inlineStr">
        <is>
          <t>/home/ubuntu/BLYP_COMPLETE_FEATURE_LIST.md:566</t>
        </is>
      </c>
      <c r="K447" s="29" t="inlineStr">
        <is>
          <t>Required</t>
        </is>
      </c>
      <c r="L447" s="29" t="inlineStr">
        <is>
          <t>Authenticated creator or host</t>
        </is>
      </c>
      <c r="M447" s="29" t="inlineStr">
        <is>
          <t>BLYP mobile application and supporting production services</t>
        </is>
      </c>
      <c r="N447" s="29" t="inlineStr">
        <is>
          <t>Media-processing status</t>
        </is>
      </c>
      <c r="O447" s="29" t="inlineStr">
        <is>
          <t>Not explicitly defined in the product source; requires accountable product approval before production sign-off.</t>
        </is>
      </c>
      <c r="P447" s="29" t="inlineStr">
        <is>
          <t>Firestore processingAnalytics/{streamId}</t>
        </is>
      </c>
      <c r="Q447" s="29" t="inlineStr">
        <is>
          <t>Partial</t>
        </is>
      </c>
      <c r="R447" s="29" t="inlineStr"/>
      <c r="S447" s="29" t="inlineStr">
        <is>
          <t>Partial</t>
        </is>
      </c>
      <c r="T447" s="29" t="inlineStr"/>
      <c r="U447" s="29" t="inlineStr"/>
      <c r="V447" s="29" t="inlineStr"/>
      <c r="W447" s="29" t="inlineStr"/>
      <c r="X447" s="29" t="inlineStr">
        <is>
          <t>Firestore processingAnalytics/{streamId}</t>
        </is>
      </c>
      <c r="Y447" s="29" t="inlineStr">
        <is>
          <t>Firebase function updateProcessingAnalytics</t>
        </is>
      </c>
      <c r="Z447" s="29" t="inlineStr"/>
      <c r="AA447" s="29" t="inlineStr"/>
      <c r="AB447" s="29" t="inlineStr">
        <is>
          <t>Firebase Functions</t>
        </is>
      </c>
      <c r="AC447" s="29" t="inlineStr"/>
      <c r="AD447" s="29" t="inlineStr">
        <is>
          <t>Media-processing code can increment per-stream processing counts and append processing history. No creator-facing status read path was found.</t>
        </is>
      </c>
      <c r="AE447" s="29" t="inlineStr">
        <is>
          <t>Not wired</t>
        </is>
      </c>
      <c r="AF447" s="29" t="inlineStr">
        <is>
          <t>Media-processing code can increment per-stream processing counts and append processing history. No creator-facing status read path was found.</t>
        </is>
      </c>
      <c r="AG447" s="29" t="inlineStr">
        <is>
          <t>Incomplete</t>
        </is>
      </c>
      <c r="AH447" s="29" t="inlineStr">
        <is>
          <t>No</t>
        </is>
      </c>
      <c r="AI447" s="29" t="inlineStr">
        <is>
          <t>No per-asset status model, failure details, retry action, Creator Studio screen, deployment proof or runtime observation.</t>
        </is>
      </c>
      <c r="AJ447" s="29" t="inlineStr">
        <is>
          <t>Source traced</t>
        </is>
      </c>
      <c r="AK447" s="29" t="inlineStr">
        <is>
          <t>EV-22-0004</t>
        </is>
      </c>
      <c r="AL447" s="29" t="inlineStr"/>
      <c r="AM447" s="29" t="inlineStr"/>
      <c r="AN447" s="29" t="inlineStr"/>
      <c r="AO447" s="29" t="inlineStr">
        <is>
          <t>8bc0dcb2a1da1b21368c5536aaeef829d587f316</t>
        </is>
      </c>
      <c r="AP447" s="29" t="inlineStr">
        <is>
          <t>Medium</t>
        </is>
      </c>
      <c r="AQ447" s="29" t="inlineStr">
        <is>
          <t>Not assessed</t>
        </is>
      </c>
      <c r="AR447" s="29" t="inlineStr">
        <is>
          <t>Not assessed</t>
        </is>
      </c>
      <c r="AS447" s="29" t="inlineStr">
        <is>
          <t>Fail</t>
        </is>
      </c>
      <c r="AT447" s="29" t="inlineStr">
        <is>
          <t>Not assessed</t>
        </is>
      </c>
      <c r="AU447" s="29" t="inlineStr">
        <is>
          <t>Not assessed</t>
        </is>
      </c>
      <c r="AV447" s="29" t="inlineStr">
        <is>
          <t>Not assessed</t>
        </is>
      </c>
      <c r="AW447" s="29" t="inlineStr">
        <is>
          <t>Not assessed</t>
        </is>
      </c>
      <c r="AX447" s="29" t="inlineStr">
        <is>
          <t>Not assessed</t>
        </is>
      </c>
      <c r="AY447" s="29" t="inlineStr">
        <is>
          <t>Not assessed</t>
        </is>
      </c>
      <c r="AZ447" s="29" t="inlineStr">
        <is>
          <t>Not assessed</t>
        </is>
      </c>
      <c r="BA447" s="29" t="inlineStr">
        <is>
          <t>Not assessed</t>
        </is>
      </c>
      <c r="BB447" s="29" t="inlineStr">
        <is>
          <t>Not assessed</t>
        </is>
      </c>
      <c r="BC447" s="29" t="inlineStr">
        <is>
          <t>Not assessed</t>
        </is>
      </c>
      <c r="BD447" s="29" t="inlineStr">
        <is>
          <t>Not assessed</t>
        </is>
      </c>
      <c r="BE447" s="29" t="inlineStr">
        <is>
          <t>Development required</t>
        </is>
      </c>
      <c r="BF447" s="29" t="inlineStr">
        <is>
          <t>No verified end-to-end implementation or release-candidate evidence.; Physical implementation is not complete against the stated requirement.; No per-asset status model, failure details, retry action, Creator Studio screen, deployment proof or runtime observation.</t>
        </is>
      </c>
      <c r="BG447" s="29" t="inlineStr">
        <is>
          <t>Confirm product acceptance criteria, trace any implementation outside the reviewed repository, and verify the final production build and configuration.</t>
        </is>
      </c>
      <c r="BH447" s="29" t="inlineStr"/>
      <c r="BI447" s="29" t="inlineStr"/>
      <c r="BJ447" s="29" t="inlineStr"/>
      <c r="BK447" s="29" t="inlineStr">
        <is>
          <t>Evidence reconciled against the reviewed source revision. No production approval is inferred from implementation or file presence.</t>
        </is>
      </c>
      <c r="BL447" s="29" t="inlineStr">
        <is>
          <t>2026-08-02</t>
        </is>
      </c>
    </row>
    <row r="448" ht="42" customHeight="1">
      <c r="A448" s="29" t="inlineStr">
        <is>
          <t>BLYP-22-005</t>
        </is>
      </c>
      <c r="B448" s="29" t="inlineStr"/>
      <c r="C448" s="29" t="inlineStr">
        <is>
          <t>Creator Studio</t>
        </is>
      </c>
      <c r="D448" s="29" t="n">
        <v>22</v>
      </c>
      <c r="E448" s="29" t="n">
        <v>5</v>
      </c>
      <c r="F448" s="29" t="inlineStr">
        <is>
          <t>Feature</t>
        </is>
      </c>
      <c r="G448" s="29" t="inlineStr">
        <is>
          <t>Cross-post status</t>
        </is>
      </c>
      <c r="H448" s="29" t="inlineStr">
        <is>
          <t>Cross-post status</t>
        </is>
      </c>
      <c r="I448" s="29" t="inlineStr">
        <is>
          <t>/home/ubuntu/blyp_product_requirements.md :: Section 22 — Creator Studio</t>
        </is>
      </c>
      <c r="J448" s="29" t="inlineStr">
        <is>
          <t>/home/ubuntu/BLYP_COMPLETE_FEATURE_LIST.md:567</t>
        </is>
      </c>
      <c r="K448" s="29" t="inlineStr">
        <is>
          <t>Required</t>
        </is>
      </c>
      <c r="L448" s="29" t="inlineStr">
        <is>
          <t>Authenticated creator or host</t>
        </is>
      </c>
      <c r="M448" s="29" t="inlineStr">
        <is>
          <t>BLYP mobile application and supporting production services</t>
        </is>
      </c>
      <c r="N448" s="29" t="inlineStr">
        <is>
          <t>Cross-post status</t>
        </is>
      </c>
      <c r="O448" s="29" t="inlineStr">
        <is>
          <t>Not explicitly defined in the product source; requires accountable product approval before production sign-off.</t>
        </is>
      </c>
      <c r="P448" s="29" t="inlineStr"/>
      <c r="Q448" s="29" t="inlineStr">
        <is>
          <t>No evidence</t>
        </is>
      </c>
      <c r="R448" s="29" t="inlineStr"/>
      <c r="S448" s="29" t="inlineStr">
        <is>
          <t>Not found</t>
        </is>
      </c>
      <c r="T448" s="29" t="inlineStr"/>
      <c r="U448" s="29" t="inlineStr"/>
      <c r="V448" s="29" t="inlineStr"/>
      <c r="W448" s="29" t="inlineStr"/>
      <c r="X448" s="29" t="inlineStr"/>
      <c r="Y448" s="29" t="inlineStr"/>
      <c r="Z448" s="29" t="inlineStr"/>
      <c r="AA448" s="29" t="inlineStr"/>
      <c r="AB448" s="29" t="inlineStr"/>
      <c r="AC448" s="29" t="inlineStr"/>
      <c r="AD448" s="29" t="inlineStr"/>
      <c r="AE448" s="29" t="inlineStr">
        <is>
          <t>Unknown</t>
        </is>
      </c>
      <c r="AF448" s="29" t="inlineStr"/>
      <c r="AG448" s="29" t="inlineStr">
        <is>
          <t>Not started</t>
        </is>
      </c>
      <c r="AH448" s="29" t="inlineStr">
        <is>
          <t>No</t>
        </is>
      </c>
      <c r="AI448" s="29" t="inlineStr">
        <is>
          <t>No implementation matching “Cross-post status” was found in the reviewed source snapshot; absence has not been verified against a deployed runtime.</t>
        </is>
      </c>
      <c r="AJ448" s="29" t="inlineStr">
        <is>
          <t>Not verified</t>
        </is>
      </c>
      <c r="AK448" s="29" t="inlineStr"/>
      <c r="AL448" s="29" t="inlineStr"/>
      <c r="AM448" s="29" t="inlineStr"/>
      <c r="AN448" s="29" t="inlineStr"/>
      <c r="AO448" s="29" t="inlineStr">
        <is>
          <t>8bc0dcb2a1da1b21368c5536aaeef829d587f316</t>
        </is>
      </c>
      <c r="AP448" s="29" t="inlineStr">
        <is>
          <t>Low</t>
        </is>
      </c>
      <c r="AQ448" s="29" t="inlineStr">
        <is>
          <t>Not assessed</t>
        </is>
      </c>
      <c r="AR448" s="29" t="inlineStr">
        <is>
          <t>Not assessed</t>
        </is>
      </c>
      <c r="AS448" s="29" t="inlineStr">
        <is>
          <t>Fail</t>
        </is>
      </c>
      <c r="AT448" s="29" t="inlineStr">
        <is>
          <t>Not assessed</t>
        </is>
      </c>
      <c r="AU448" s="29" t="inlineStr">
        <is>
          <t>Not assessed</t>
        </is>
      </c>
      <c r="AV448" s="29" t="inlineStr">
        <is>
          <t>Not assessed</t>
        </is>
      </c>
      <c r="AW448" s="29" t="inlineStr">
        <is>
          <t>Not assessed</t>
        </is>
      </c>
      <c r="AX448" s="29" t="inlineStr">
        <is>
          <t>Not assessed</t>
        </is>
      </c>
      <c r="AY448" s="29" t="inlineStr">
        <is>
          <t>Not assessed</t>
        </is>
      </c>
      <c r="AZ448" s="29" t="inlineStr">
        <is>
          <t>Not assessed</t>
        </is>
      </c>
      <c r="BA448" s="29" t="inlineStr">
        <is>
          <t>Not assessed</t>
        </is>
      </c>
      <c r="BB448" s="29" t="inlineStr">
        <is>
          <t>Not assessed</t>
        </is>
      </c>
      <c r="BC448" s="29" t="inlineStr">
        <is>
          <t>Not assessed</t>
        </is>
      </c>
      <c r="BD448" s="29" t="inlineStr">
        <is>
          <t>Not assessed</t>
        </is>
      </c>
      <c r="BE448" s="29" t="inlineStr">
        <is>
          <t>Development required</t>
        </is>
      </c>
      <c r="BF448" s="29" t="inlineStr">
        <is>
          <t>No verified end-to-end implementation or release-candidate evidence.; Physical implementation is not complete against the stated requirement.; No implementation matching “Cross-post status” was found in the reviewed source snapshot; absence has not been verified against a deployed runtime.</t>
        </is>
      </c>
      <c r="BG448" s="29" t="inlineStr">
        <is>
          <t>Confirm product acceptance criteria, trace any implementation outside the reviewed repository, and verify the final production build and configuration.</t>
        </is>
      </c>
      <c r="BH448" s="29" t="inlineStr"/>
      <c r="BI448" s="29" t="inlineStr"/>
      <c r="BJ448" s="29" t="inlineStr"/>
      <c r="BK448" s="29" t="inlineStr">
        <is>
          <t>Evidence reconciled against the reviewed source revision. No production approval is inferred from implementation or file presence.</t>
        </is>
      </c>
      <c r="BL448" s="29" t="inlineStr">
        <is>
          <t>2026-08-02</t>
        </is>
      </c>
    </row>
    <row r="449" ht="42" customHeight="1">
      <c r="A449" s="29" t="inlineStr">
        <is>
          <t>BLYP-22-006</t>
        </is>
      </c>
      <c r="B449" s="29" t="inlineStr"/>
      <c r="C449" s="29" t="inlineStr">
        <is>
          <t>Creator Studio</t>
        </is>
      </c>
      <c r="D449" s="29" t="n">
        <v>22</v>
      </c>
      <c r="E449" s="29" t="n">
        <v>6</v>
      </c>
      <c r="F449" s="29" t="inlineStr">
        <is>
          <t>Non-functional requirement</t>
        </is>
      </c>
      <c r="G449" s="29" t="inlineStr">
        <is>
          <t>Content-performance analytics</t>
        </is>
      </c>
      <c r="H449" s="29" t="inlineStr">
        <is>
          <t>Content-performance analytics</t>
        </is>
      </c>
      <c r="I449" s="29" t="inlineStr">
        <is>
          <t>/home/ubuntu/blyp_product_requirements.md :: Section 22 — Creator Studio</t>
        </is>
      </c>
      <c r="J449" s="29" t="inlineStr">
        <is>
          <t>/home/ubuntu/BLYP_COMPLETE_FEATURE_LIST.md:568</t>
        </is>
      </c>
      <c r="K449" s="29" t="inlineStr">
        <is>
          <t>Required</t>
        </is>
      </c>
      <c r="L449" s="29" t="inlineStr">
        <is>
          <t>Authenticated creator or host</t>
        </is>
      </c>
      <c r="M449" s="29" t="inlineStr">
        <is>
          <t>Production platform and operations</t>
        </is>
      </c>
      <c r="N449" s="29" t="inlineStr">
        <is>
          <t>Content-performance analytics</t>
        </is>
      </c>
      <c r="O449" s="29" t="inlineStr">
        <is>
          <t>Not explicitly defined in the product source; requires accountable product approval before production sign-off.</t>
        </is>
      </c>
      <c r="P449" s="29" t="inlineStr">
        <is>
          <t>Firestore analytics and streamAnalytics collections</t>
        </is>
      </c>
      <c r="Q449" s="29" t="inlineStr">
        <is>
          <t>Partial</t>
        </is>
      </c>
      <c r="R449" s="29" t="inlineStr"/>
      <c r="S449" s="29" t="inlineStr">
        <is>
          <t>Partial</t>
        </is>
      </c>
      <c r="T449" s="29" t="inlineStr"/>
      <c r="U449" s="29" t="inlineStr"/>
      <c r="V449" s="29" t="inlineStr">
        <is>
          <t>src/services/EnterpriseAnalyticsService.js</t>
        </is>
      </c>
      <c r="W449" s="29" t="inlineStr"/>
      <c r="X449" s="29" t="inlineStr">
        <is>
          <t>Firestore analytics and streamAnalytics collections</t>
        </is>
      </c>
      <c r="Y449" s="29" t="inlineStr">
        <is>
          <t>Firestore updateStreamAnalytics trigger</t>
        </is>
      </c>
      <c r="Z449" s="29" t="inlineStr"/>
      <c r="AA449" s="29" t="inlineStr"/>
      <c r="AB449" s="29" t="inlineStr">
        <is>
          <t>Expo mobile application and Firebase Functions</t>
        </is>
      </c>
      <c r="AC449" s="29" t="inlineStr"/>
      <c r="AD449" s="29" t="inlineStr">
        <is>
          <t>Analytics events and stream changes can be aggregated into report structures and stored metrics; no creator-facing production workflow was found.</t>
        </is>
      </c>
      <c r="AE449" s="29" t="inlineStr">
        <is>
          <t>Not wired</t>
        </is>
      </c>
      <c r="AF449" s="29" t="inlineStr">
        <is>
          <t>Analytics events and stream changes can be aggregated into report structures and stored metrics; no creator-facing production workflow was found.</t>
        </is>
      </c>
      <c r="AG449" s="29" t="inlineStr">
        <is>
          <t>Incomplete</t>
        </is>
      </c>
      <c r="AH449" s="29" t="inlineStr">
        <is>
          <t>No</t>
        </is>
      </c>
      <c r="AI449" s="29" t="inlineStr">
        <is>
          <t>No unified Creator Studio UI, acceptance criteria, production deployment evidence, data-quality validation or observed report flow.</t>
        </is>
      </c>
      <c r="AJ449" s="29" t="inlineStr">
        <is>
          <t>Source traced</t>
        </is>
      </c>
      <c r="AK449" s="29" t="inlineStr">
        <is>
          <t>EV-22-0003;EV-22-0008</t>
        </is>
      </c>
      <c r="AL449" s="29" t="inlineStr"/>
      <c r="AM449" s="29" t="inlineStr"/>
      <c r="AN449" s="29" t="inlineStr"/>
      <c r="AO449" s="29" t="inlineStr">
        <is>
          <t>8bc0dcb2a1da1b21368c5536aaeef829d587f316</t>
        </is>
      </c>
      <c r="AP449" s="29" t="inlineStr">
        <is>
          <t>Medium</t>
        </is>
      </c>
      <c r="AQ449" s="29" t="inlineStr">
        <is>
          <t>Not assessed</t>
        </is>
      </c>
      <c r="AR449" s="29" t="inlineStr">
        <is>
          <t>Not assessed</t>
        </is>
      </c>
      <c r="AS449" s="29" t="inlineStr">
        <is>
          <t>Fail</t>
        </is>
      </c>
      <c r="AT449" s="29" t="inlineStr">
        <is>
          <t>Not assessed</t>
        </is>
      </c>
      <c r="AU449" s="29" t="inlineStr">
        <is>
          <t>Not assessed</t>
        </is>
      </c>
      <c r="AV449" s="29" t="inlineStr">
        <is>
          <t>Not assessed</t>
        </is>
      </c>
      <c r="AW449" s="29" t="inlineStr">
        <is>
          <t>Not assessed</t>
        </is>
      </c>
      <c r="AX449" s="29" t="inlineStr">
        <is>
          <t>Not assessed</t>
        </is>
      </c>
      <c r="AY449" s="29" t="inlineStr">
        <is>
          <t>Not assessed</t>
        </is>
      </c>
      <c r="AZ449" s="29" t="inlineStr">
        <is>
          <t>Not assessed</t>
        </is>
      </c>
      <c r="BA449" s="29" t="inlineStr">
        <is>
          <t>Not assessed</t>
        </is>
      </c>
      <c r="BB449" s="29" t="inlineStr">
        <is>
          <t>Not assessed</t>
        </is>
      </c>
      <c r="BC449" s="29" t="inlineStr">
        <is>
          <t>Not assessed</t>
        </is>
      </c>
      <c r="BD449" s="29" t="inlineStr">
        <is>
          <t>Not assessed</t>
        </is>
      </c>
      <c r="BE449" s="29" t="inlineStr">
        <is>
          <t>Development required</t>
        </is>
      </c>
      <c r="BF449" s="29" t="inlineStr">
        <is>
          <t>No verified end-to-end implementation or release-candidate evidence.; Physical implementation is not complete against the stated requirement.; No unified Creator Studio UI, acceptance criteria, production deployment evidence, data-quality validation or observed report flow.</t>
        </is>
      </c>
      <c r="BG449" s="29" t="inlineStr">
        <is>
          <t>Confirm product acceptance criteria, trace any implementation outside the reviewed repository, and verify the final production build and configuration.</t>
        </is>
      </c>
      <c r="BH449" s="29" t="inlineStr"/>
      <c r="BI449" s="29" t="inlineStr"/>
      <c r="BJ449" s="29" t="inlineStr"/>
      <c r="BK449" s="29" t="inlineStr">
        <is>
          <t>Evidence reconciled against the reviewed source revision. No production approval is inferred from implementation or file presence.</t>
        </is>
      </c>
      <c r="BL449" s="29" t="inlineStr">
        <is>
          <t>2026-08-02</t>
        </is>
      </c>
    </row>
    <row r="450" ht="42" customHeight="1">
      <c r="A450" s="29" t="inlineStr">
        <is>
          <t>BLYP-22-007</t>
        </is>
      </c>
      <c r="B450" s="29" t="inlineStr"/>
      <c r="C450" s="29" t="inlineStr">
        <is>
          <t>Creator Studio</t>
        </is>
      </c>
      <c r="D450" s="29" t="n">
        <v>22</v>
      </c>
      <c r="E450" s="29" t="n">
        <v>7</v>
      </c>
      <c r="F450" s="29" t="inlineStr">
        <is>
          <t>Feature</t>
        </is>
      </c>
      <c r="G450" s="29" t="inlineStr">
        <is>
          <t>Audience trends</t>
        </is>
      </c>
      <c r="H450" s="29" t="inlineStr">
        <is>
          <t>Audience trends</t>
        </is>
      </c>
      <c r="I450" s="29" t="inlineStr">
        <is>
          <t>/home/ubuntu/blyp_product_requirements.md :: Section 22 — Creator Studio</t>
        </is>
      </c>
      <c r="J450" s="29" t="inlineStr">
        <is>
          <t>/home/ubuntu/BLYP_COMPLETE_FEATURE_LIST.md:569</t>
        </is>
      </c>
      <c r="K450" s="29" t="inlineStr">
        <is>
          <t>Required</t>
        </is>
      </c>
      <c r="L450" s="29" t="inlineStr">
        <is>
          <t>Authenticated creator or host</t>
        </is>
      </c>
      <c r="M450" s="29" t="inlineStr">
        <is>
          <t>BLYP mobile application and supporting production services</t>
        </is>
      </c>
      <c r="N450" s="29" t="inlineStr">
        <is>
          <t>Audience trends</t>
        </is>
      </c>
      <c r="O450" s="29" t="inlineStr">
        <is>
          <t>Not explicitly defined in the product source; requires accountable product approval before production sign-off.</t>
        </is>
      </c>
      <c r="P450" s="29" t="inlineStr">
        <is>
          <t>Firestore analytics and streamAnalytics collections</t>
        </is>
      </c>
      <c r="Q450" s="29" t="inlineStr">
        <is>
          <t>Partial</t>
        </is>
      </c>
      <c r="R450" s="29" t="inlineStr"/>
      <c r="S450" s="29" t="inlineStr">
        <is>
          <t>Partial</t>
        </is>
      </c>
      <c r="T450" s="29" t="inlineStr"/>
      <c r="U450" s="29" t="inlineStr"/>
      <c r="V450" s="29" t="inlineStr">
        <is>
          <t>src/services/EnterpriseAnalyticsService.js</t>
        </is>
      </c>
      <c r="W450" s="29" t="inlineStr"/>
      <c r="X450" s="29" t="inlineStr">
        <is>
          <t>Firestore analytics and streamAnalytics collections</t>
        </is>
      </c>
      <c r="Y450" s="29" t="inlineStr">
        <is>
          <t>Firestore updateStreamAnalytics trigger</t>
        </is>
      </c>
      <c r="Z450" s="29" t="inlineStr"/>
      <c r="AA450" s="29" t="inlineStr"/>
      <c r="AB450" s="29" t="inlineStr">
        <is>
          <t>Expo mobile application and Firebase Functions</t>
        </is>
      </c>
      <c r="AC450" s="29" t="inlineStr"/>
      <c r="AD450" s="29" t="inlineStr">
        <is>
          <t>Analytics events and stream changes can be aggregated into report structures and stored metrics; no creator-facing production workflow was found.</t>
        </is>
      </c>
      <c r="AE450" s="29" t="inlineStr">
        <is>
          <t>Not wired</t>
        </is>
      </c>
      <c r="AF450" s="29" t="inlineStr">
        <is>
          <t>Analytics events and stream changes can be aggregated into report structures and stored metrics; no creator-facing production workflow was found.</t>
        </is>
      </c>
      <c r="AG450" s="29" t="inlineStr">
        <is>
          <t>Incomplete</t>
        </is>
      </c>
      <c r="AH450" s="29" t="inlineStr">
        <is>
          <t>No</t>
        </is>
      </c>
      <c r="AI450" s="29" t="inlineStr">
        <is>
          <t>No unified Creator Studio UI, acceptance criteria, production deployment evidence, data-quality validation or observed report flow.</t>
        </is>
      </c>
      <c r="AJ450" s="29" t="inlineStr">
        <is>
          <t>Source traced</t>
        </is>
      </c>
      <c r="AK450" s="29" t="inlineStr">
        <is>
          <t>EV-22-0003;EV-22-0008</t>
        </is>
      </c>
      <c r="AL450" s="29" t="inlineStr"/>
      <c r="AM450" s="29" t="inlineStr"/>
      <c r="AN450" s="29" t="inlineStr"/>
      <c r="AO450" s="29" t="inlineStr">
        <is>
          <t>8bc0dcb2a1da1b21368c5536aaeef829d587f316</t>
        </is>
      </c>
      <c r="AP450" s="29" t="inlineStr">
        <is>
          <t>Medium</t>
        </is>
      </c>
      <c r="AQ450" s="29" t="inlineStr">
        <is>
          <t>Not assessed</t>
        </is>
      </c>
      <c r="AR450" s="29" t="inlineStr">
        <is>
          <t>Not assessed</t>
        </is>
      </c>
      <c r="AS450" s="29" t="inlineStr">
        <is>
          <t>Fail</t>
        </is>
      </c>
      <c r="AT450" s="29" t="inlineStr">
        <is>
          <t>Not assessed</t>
        </is>
      </c>
      <c r="AU450" s="29" t="inlineStr">
        <is>
          <t>Not assessed</t>
        </is>
      </c>
      <c r="AV450" s="29" t="inlineStr">
        <is>
          <t>Not assessed</t>
        </is>
      </c>
      <c r="AW450" s="29" t="inlineStr">
        <is>
          <t>Not assessed</t>
        </is>
      </c>
      <c r="AX450" s="29" t="inlineStr">
        <is>
          <t>Not assessed</t>
        </is>
      </c>
      <c r="AY450" s="29" t="inlineStr">
        <is>
          <t>Not assessed</t>
        </is>
      </c>
      <c r="AZ450" s="29" t="inlineStr">
        <is>
          <t>Not assessed</t>
        </is>
      </c>
      <c r="BA450" s="29" t="inlineStr">
        <is>
          <t>Not assessed</t>
        </is>
      </c>
      <c r="BB450" s="29" t="inlineStr">
        <is>
          <t>Not assessed</t>
        </is>
      </c>
      <c r="BC450" s="29" t="inlineStr">
        <is>
          <t>Not assessed</t>
        </is>
      </c>
      <c r="BD450" s="29" t="inlineStr">
        <is>
          <t>Not assessed</t>
        </is>
      </c>
      <c r="BE450" s="29" t="inlineStr">
        <is>
          <t>Development required</t>
        </is>
      </c>
      <c r="BF450" s="29" t="inlineStr">
        <is>
          <t>No verified end-to-end implementation or release-candidate evidence.; Physical implementation is not complete against the stated requirement.; No unified Creator Studio UI, acceptance criteria, production deployment evidence, data-quality validation or observed report flow.</t>
        </is>
      </c>
      <c r="BG450" s="29" t="inlineStr">
        <is>
          <t>Confirm product acceptance criteria, trace any implementation outside the reviewed repository, and verify the final production build and configuration.</t>
        </is>
      </c>
      <c r="BH450" s="29" t="inlineStr"/>
      <c r="BI450" s="29" t="inlineStr"/>
      <c r="BJ450" s="29" t="inlineStr"/>
      <c r="BK450" s="29" t="inlineStr">
        <is>
          <t>Evidence reconciled against the reviewed source revision. No production approval is inferred from implementation or file presence.</t>
        </is>
      </c>
      <c r="BL450" s="29" t="inlineStr">
        <is>
          <t>2026-08-02</t>
        </is>
      </c>
    </row>
    <row r="451" ht="42" customHeight="1">
      <c r="A451" s="29" t="inlineStr">
        <is>
          <t>BLYP-22-008</t>
        </is>
      </c>
      <c r="B451" s="29" t="inlineStr"/>
      <c r="C451" s="29" t="inlineStr">
        <is>
          <t>Creator Studio</t>
        </is>
      </c>
      <c r="D451" s="29" t="n">
        <v>22</v>
      </c>
      <c r="E451" s="29" t="n">
        <v>8</v>
      </c>
      <c r="F451" s="29" t="inlineStr">
        <is>
          <t>Feature</t>
        </is>
      </c>
      <c r="G451" s="29" t="inlineStr">
        <is>
          <t>Live history</t>
        </is>
      </c>
      <c r="H451" s="29" t="inlineStr">
        <is>
          <t>Live history</t>
        </is>
      </c>
      <c r="I451" s="29" t="inlineStr">
        <is>
          <t>/home/ubuntu/blyp_product_requirements.md :: Section 22 — Creator Studio</t>
        </is>
      </c>
      <c r="J451" s="29" t="inlineStr">
        <is>
          <t>/home/ubuntu/BLYP_COMPLETE_FEATURE_LIST.md:570</t>
        </is>
      </c>
      <c r="K451" s="29" t="inlineStr">
        <is>
          <t>Required</t>
        </is>
      </c>
      <c r="L451" s="29" t="inlineStr">
        <is>
          <t>Authenticated creator or host</t>
        </is>
      </c>
      <c r="M451" s="29" t="inlineStr">
        <is>
          <t>BLYP mobile application and supporting production services</t>
        </is>
      </c>
      <c r="N451" s="29" t="inlineStr">
        <is>
          <t>Live history</t>
        </is>
      </c>
      <c r="O451" s="29" t="inlineStr">
        <is>
          <t>Not explicitly defined in the product source; requires accountable product approval before production sign-off.</t>
        </is>
      </c>
      <c r="P451" s="29" t="inlineStr">
        <is>
          <t>Firestore liveStreams; users/{uid}/liveStreamStats; streamAnalytics</t>
        </is>
      </c>
      <c r="Q451" s="29" t="inlineStr">
        <is>
          <t>Partial</t>
        </is>
      </c>
      <c r="R451" s="29" t="inlineStr"/>
      <c r="S451" s="29" t="inlineStr">
        <is>
          <t>Partial</t>
        </is>
      </c>
      <c r="T451" s="29" t="inlineStr"/>
      <c r="U451" s="29" t="inlineStr"/>
      <c r="V451" s="29" t="inlineStr">
        <is>
          <t>src/services/LiveStreamService.js</t>
        </is>
      </c>
      <c r="W451" s="29" t="inlineStr"/>
      <c r="X451" s="29" t="inlineStr">
        <is>
          <t>Firestore liveStreams; users/{uid}/liveStreamStats; streamAnalytics</t>
        </is>
      </c>
      <c r="Y451" s="29" t="inlineStr">
        <is>
          <t>Firebase updateStreamAnalytics trigger</t>
        </is>
      </c>
      <c r="Z451" s="29" t="inlineStr"/>
      <c r="AA451" s="29" t="inlineStr"/>
      <c r="AB451" s="29" t="inlineStr">
        <is>
          <t>Expo mobile application and Firebase Functions</t>
        </is>
      </c>
      <c r="AC451" s="29" t="inlineStr"/>
      <c r="AD451" s="29" t="inlineStr">
        <is>
          <t>Ending a stream records end time and duration, while stream changes can update analytics. No Creator Studio history list was found.</t>
        </is>
      </c>
      <c r="AE451" s="29" t="inlineStr">
        <is>
          <t>Not wired</t>
        </is>
      </c>
      <c r="AF451" s="29" t="inlineStr">
        <is>
          <t>Ending a stream records end time and duration, while stream changes can update analytics. No Creator Studio history list was found.</t>
        </is>
      </c>
      <c r="AG451" s="29" t="inlineStr">
        <is>
          <t>Incomplete</t>
        </is>
      </c>
      <c r="AH451" s="29" t="inlineStr">
        <is>
          <t>No</t>
        </is>
      </c>
      <c r="AI451" s="29" t="inlineStr">
        <is>
          <t>No history retrieval, pagination, filtering, authoritative-runtime decision, final-build test or production observation.</t>
        </is>
      </c>
      <c r="AJ451" s="29" t="inlineStr">
        <is>
          <t>Source traced</t>
        </is>
      </c>
      <c r="AK451" s="29" t="inlineStr">
        <is>
          <t>EV-22-0003;EV-22-0005</t>
        </is>
      </c>
      <c r="AL451" s="29" t="inlineStr"/>
      <c r="AM451" s="29" t="inlineStr"/>
      <c r="AN451" s="29" t="inlineStr"/>
      <c r="AO451" s="29" t="inlineStr">
        <is>
          <t>8bc0dcb2a1da1b21368c5536aaeef829d587f316</t>
        </is>
      </c>
      <c r="AP451" s="29" t="inlineStr">
        <is>
          <t>Medium</t>
        </is>
      </c>
      <c r="AQ451" s="29" t="inlineStr">
        <is>
          <t>Not assessed</t>
        </is>
      </c>
      <c r="AR451" s="29" t="inlineStr">
        <is>
          <t>Not assessed</t>
        </is>
      </c>
      <c r="AS451" s="29" t="inlineStr">
        <is>
          <t>Fail</t>
        </is>
      </c>
      <c r="AT451" s="29" t="inlineStr">
        <is>
          <t>Not assessed</t>
        </is>
      </c>
      <c r="AU451" s="29" t="inlineStr">
        <is>
          <t>Not assessed</t>
        </is>
      </c>
      <c r="AV451" s="29" t="inlineStr">
        <is>
          <t>Not assessed</t>
        </is>
      </c>
      <c r="AW451" s="29" t="inlineStr">
        <is>
          <t>Not assessed</t>
        </is>
      </c>
      <c r="AX451" s="29" t="inlineStr">
        <is>
          <t>Not assessed</t>
        </is>
      </c>
      <c r="AY451" s="29" t="inlineStr">
        <is>
          <t>Not assessed</t>
        </is>
      </c>
      <c r="AZ451" s="29" t="inlineStr">
        <is>
          <t>Not assessed</t>
        </is>
      </c>
      <c r="BA451" s="29" t="inlineStr">
        <is>
          <t>Not assessed</t>
        </is>
      </c>
      <c r="BB451" s="29" t="inlineStr">
        <is>
          <t>Not assessed</t>
        </is>
      </c>
      <c r="BC451" s="29" t="inlineStr">
        <is>
          <t>Not assessed</t>
        </is>
      </c>
      <c r="BD451" s="29" t="inlineStr">
        <is>
          <t>Not assessed</t>
        </is>
      </c>
      <c r="BE451" s="29" t="inlineStr">
        <is>
          <t>Development required</t>
        </is>
      </c>
      <c r="BF451" s="29" t="inlineStr">
        <is>
          <t>No verified end-to-end implementation or release-candidate evidence.; Physical implementation is not complete against the stated requirement.; No history retrieval, pagination, filtering, authoritative-runtime decision, final-build test or production observation.</t>
        </is>
      </c>
      <c r="BG451" s="29" t="inlineStr">
        <is>
          <t>Confirm product acceptance criteria, trace any implementation outside the reviewed repository, and verify the final production build and configuration.</t>
        </is>
      </c>
      <c r="BH451" s="29" t="inlineStr"/>
      <c r="BI451" s="29" t="inlineStr"/>
      <c r="BJ451" s="29" t="inlineStr"/>
      <c r="BK451" s="29" t="inlineStr">
        <is>
          <t>Evidence reconciled against the reviewed source revision. No production approval is inferred from implementation or file presence.</t>
        </is>
      </c>
      <c r="BL451" s="29" t="inlineStr">
        <is>
          <t>2026-08-02</t>
        </is>
      </c>
    </row>
    <row r="452" ht="42" customHeight="1">
      <c r="A452" s="29" t="inlineStr">
        <is>
          <t>BLYP-22-009</t>
        </is>
      </c>
      <c r="B452" s="29" t="inlineStr"/>
      <c r="C452" s="29" t="inlineStr">
        <is>
          <t>Creator Studio</t>
        </is>
      </c>
      <c r="D452" s="29" t="n">
        <v>22</v>
      </c>
      <c r="E452" s="29" t="n">
        <v>9</v>
      </c>
      <c r="F452" s="29" t="inlineStr">
        <is>
          <t>Feature</t>
        </is>
      </c>
      <c r="G452" s="29" t="inlineStr">
        <is>
          <t>Battle history</t>
        </is>
      </c>
      <c r="H452" s="29" t="inlineStr">
        <is>
          <t>Battle history</t>
        </is>
      </c>
      <c r="I452" s="29" t="inlineStr">
        <is>
          <t>/home/ubuntu/blyp_product_requirements.md :: Section 22 — Creator Studio</t>
        </is>
      </c>
      <c r="J452" s="29" t="inlineStr">
        <is>
          <t>/home/ubuntu/BLYP_COMPLETE_FEATURE_LIST.md:571</t>
        </is>
      </c>
      <c r="K452" s="29" t="inlineStr">
        <is>
          <t>Required</t>
        </is>
      </c>
      <c r="L452" s="29" t="inlineStr">
        <is>
          <t>Authenticated creator or host</t>
        </is>
      </c>
      <c r="M452" s="29" t="inlineStr">
        <is>
          <t>BLYP mobile application and supporting production services</t>
        </is>
      </c>
      <c r="N452" s="29" t="inlineStr">
        <is>
          <t>Battle history</t>
        </is>
      </c>
      <c r="O452" s="29" t="inlineStr">
        <is>
          <t>Not explicitly defined in the product source; requires accountable product approval before production sign-off.</t>
        </is>
      </c>
      <c r="P452" s="29" t="inlineStr"/>
      <c r="Q452" s="29" t="inlineStr">
        <is>
          <t>Partial</t>
        </is>
      </c>
      <c r="R452" s="29" t="inlineStr"/>
      <c r="S452" s="29" t="inlineStr">
        <is>
          <t>Not found</t>
        </is>
      </c>
      <c r="T452" s="29" t="inlineStr"/>
      <c r="U452" s="29" t="inlineStr"/>
      <c r="V452" s="29" t="inlineStr"/>
      <c r="W452" s="29" t="inlineStr"/>
      <c r="X452" s="29" t="inlineStr"/>
      <c r="Y452" s="29" t="inlineStr"/>
      <c r="Z452" s="29" t="inlineStr"/>
      <c r="AA452" s="29" t="inlineStr"/>
      <c r="AB452" s="29" t="inlineStr"/>
      <c r="AC452" s="29" t="inlineStr"/>
      <c r="AD452" s="29" t="inlineStr"/>
      <c r="AE452" s="29" t="inlineStr">
        <is>
          <t>Unknown</t>
        </is>
      </c>
      <c r="AF452" s="29" t="inlineStr"/>
      <c r="AG452" s="29" t="inlineStr">
        <is>
          <t>Not started</t>
        </is>
      </c>
      <c r="AH452" s="29" t="inlineStr">
        <is>
          <t>No</t>
        </is>
      </c>
      <c r="AI452" s="29" t="inlineStr">
        <is>
          <t>No implementation matching “Battle history” was found in the reviewed source snapshot; absence has not been verified against a deployed runtime.</t>
        </is>
      </c>
      <c r="AJ452" s="29" t="inlineStr">
        <is>
          <t>Not verified</t>
        </is>
      </c>
      <c r="AK452" s="29" t="inlineStr"/>
      <c r="AL452" s="29" t="inlineStr"/>
      <c r="AM452" s="29" t="inlineStr"/>
      <c r="AN452" s="29" t="inlineStr"/>
      <c r="AO452" s="29" t="inlineStr">
        <is>
          <t>8bc0dcb2a1da1b21368c5536aaeef829d587f316</t>
        </is>
      </c>
      <c r="AP452" s="29" t="inlineStr">
        <is>
          <t>Low</t>
        </is>
      </c>
      <c r="AQ452" s="29" t="inlineStr">
        <is>
          <t>Not assessed</t>
        </is>
      </c>
      <c r="AR452" s="29" t="inlineStr">
        <is>
          <t>Not assessed</t>
        </is>
      </c>
      <c r="AS452" s="29" t="inlineStr">
        <is>
          <t>Fail</t>
        </is>
      </c>
      <c r="AT452" s="29" t="inlineStr">
        <is>
          <t>Not assessed</t>
        </is>
      </c>
      <c r="AU452" s="29" t="inlineStr">
        <is>
          <t>Not assessed</t>
        </is>
      </c>
      <c r="AV452" s="29" t="inlineStr">
        <is>
          <t>Not assessed</t>
        </is>
      </c>
      <c r="AW452" s="29" t="inlineStr">
        <is>
          <t>Not assessed</t>
        </is>
      </c>
      <c r="AX452" s="29" t="inlineStr">
        <is>
          <t>Not assessed</t>
        </is>
      </c>
      <c r="AY452" s="29" t="inlineStr">
        <is>
          <t>Not assessed</t>
        </is>
      </c>
      <c r="AZ452" s="29" t="inlineStr">
        <is>
          <t>Not assessed</t>
        </is>
      </c>
      <c r="BA452" s="29" t="inlineStr">
        <is>
          <t>Not assessed</t>
        </is>
      </c>
      <c r="BB452" s="29" t="inlineStr">
        <is>
          <t>Not assessed</t>
        </is>
      </c>
      <c r="BC452" s="29" t="inlineStr">
        <is>
          <t>Not assessed</t>
        </is>
      </c>
      <c r="BD452" s="29" t="inlineStr">
        <is>
          <t>Not assessed</t>
        </is>
      </c>
      <c r="BE452" s="29" t="inlineStr">
        <is>
          <t>Development required</t>
        </is>
      </c>
      <c r="BF452" s="29" t="inlineStr">
        <is>
          <t>No verified end-to-end implementation or release-candidate evidence.; Physical implementation is not complete against the stated requirement.; No implementation matching “Battle history” was found in the reviewed source snapshot; absence has not been verified against a deployed runtime.</t>
        </is>
      </c>
      <c r="BG452" s="29" t="inlineStr">
        <is>
          <t>Confirm product acceptance criteria, trace any implementation outside the reviewed repository, and verify the final production build and configuration.</t>
        </is>
      </c>
      <c r="BH452" s="29" t="inlineStr"/>
      <c r="BI452" s="29" t="inlineStr"/>
      <c r="BJ452" s="29" t="inlineStr"/>
      <c r="BK452" s="29" t="inlineStr">
        <is>
          <t>Evidence reconciled against the reviewed source revision. No production approval is inferred from implementation or file presence.</t>
        </is>
      </c>
      <c r="BL452" s="29" t="inlineStr">
        <is>
          <t>2026-08-02</t>
        </is>
      </c>
    </row>
    <row r="453" ht="42" customHeight="1">
      <c r="A453" s="29" t="inlineStr">
        <is>
          <t>BLYP-22-010</t>
        </is>
      </c>
      <c r="B453" s="29" t="inlineStr"/>
      <c r="C453" s="29" t="inlineStr">
        <is>
          <t>Creator Studio</t>
        </is>
      </c>
      <c r="D453" s="29" t="n">
        <v>22</v>
      </c>
      <c r="E453" s="29" t="n">
        <v>10</v>
      </c>
      <c r="F453" s="29" t="inlineStr">
        <is>
          <t>Feature</t>
        </is>
      </c>
      <c r="G453" s="29" t="inlineStr">
        <is>
          <t>Gifts history</t>
        </is>
      </c>
      <c r="H453" s="29" t="inlineStr">
        <is>
          <t>Gifts history</t>
        </is>
      </c>
      <c r="I453" s="29" t="inlineStr">
        <is>
          <t>/home/ubuntu/blyp_product_requirements.md :: Section 22 — Creator Studio</t>
        </is>
      </c>
      <c r="J453" s="29" t="inlineStr">
        <is>
          <t>/home/ubuntu/BLYP_COMPLETE_FEATURE_LIST.md:572</t>
        </is>
      </c>
      <c r="K453" s="29" t="inlineStr">
        <is>
          <t>Required</t>
        </is>
      </c>
      <c r="L453" s="29" t="inlineStr">
        <is>
          <t>Authenticated creator or host</t>
        </is>
      </c>
      <c r="M453" s="29" t="inlineStr">
        <is>
          <t>BLYP mobile application and supporting production services</t>
        </is>
      </c>
      <c r="N453" s="29" t="inlineStr">
        <is>
          <t>Gifts history</t>
        </is>
      </c>
      <c r="O453" s="29" t="inlineStr">
        <is>
          <t>Not explicitly defined in the product source; requires accountable product approval before production sign-off.</t>
        </is>
      </c>
      <c r="P453" s="29" t="inlineStr">
        <is>
          <t>PostgreSQL gift_events and stream_earnings</t>
        </is>
      </c>
      <c r="Q453" s="29" t="inlineStr">
        <is>
          <t>Partial</t>
        </is>
      </c>
      <c r="R453" s="29" t="inlineStr"/>
      <c r="S453" s="29" t="inlineStr">
        <is>
          <t>Partial</t>
        </is>
      </c>
      <c r="T453" s="29" t="inlineStr"/>
      <c r="U453" s="29" t="inlineStr"/>
      <c r="V453" s="29" t="inlineStr"/>
      <c r="W453" s="29" t="inlineStr">
        <is>
          <t>GET /economy/stream/:streamId/summary</t>
        </is>
      </c>
      <c r="X453" s="29" t="inlineStr">
        <is>
          <t>PostgreSQL gift_events and stream_earnings</t>
        </is>
      </c>
      <c r="Y453" s="29" t="inlineStr"/>
      <c r="Z453" s="29" t="inlineStr"/>
      <c r="AA453" s="29" t="inlineStr"/>
      <c r="AB453" s="29" t="inlineStr">
        <is>
          <t>blyp-live-service Express backend</t>
        </is>
      </c>
      <c r="AC453" s="29" t="inlineStr"/>
      <c r="AD453" s="29" t="inlineStr">
        <is>
          <t>An authenticated request returns the current user’s per-stream spend and creator earnings aggregation from the economy database.</t>
        </is>
      </c>
      <c r="AE453" s="29" t="inlineStr">
        <is>
          <t>Internally reachable</t>
        </is>
      </c>
      <c r="AF453" s="29" t="inlineStr">
        <is>
          <t>An authenticated request returns the current user’s per-stream spend and creator earnings aggregation from the economy database.</t>
        </is>
      </c>
      <c r="AG453" s="29" t="inlineStr">
        <is>
          <t>Incomplete</t>
        </is>
      </c>
      <c r="AH453" s="29" t="inlineStr">
        <is>
          <t>No</t>
        </is>
      </c>
      <c r="AI453" s="29" t="inlineStr">
        <is>
          <t>No unified creator-facing gift history, cross-stream history, export, reconciliation view, client wiring or release-candidate observation.</t>
        </is>
      </c>
      <c r="AJ453" s="29" t="inlineStr">
        <is>
          <t>Source traced</t>
        </is>
      </c>
      <c r="AK453" s="29" t="inlineStr">
        <is>
          <t>EV-22-0006;EV-22-0007</t>
        </is>
      </c>
      <c r="AL453" s="29" t="inlineStr"/>
      <c r="AM453" s="29" t="inlineStr"/>
      <c r="AN453" s="29" t="inlineStr"/>
      <c r="AO453" s="29" t="inlineStr">
        <is>
          <t>8bc0dcb2a1da1b21368c5536aaeef829d587f316</t>
        </is>
      </c>
      <c r="AP453" s="29" t="inlineStr">
        <is>
          <t>High</t>
        </is>
      </c>
      <c r="AQ453" s="29" t="inlineStr">
        <is>
          <t>Not assessed</t>
        </is>
      </c>
      <c r="AR453" s="29" t="inlineStr">
        <is>
          <t>Not assessed</t>
        </is>
      </c>
      <c r="AS453" s="29" t="inlineStr">
        <is>
          <t>Fail</t>
        </is>
      </c>
      <c r="AT453" s="29" t="inlineStr">
        <is>
          <t>Not assessed</t>
        </is>
      </c>
      <c r="AU453" s="29" t="inlineStr">
        <is>
          <t>Not assessed</t>
        </is>
      </c>
      <c r="AV453" s="29" t="inlineStr">
        <is>
          <t>Not assessed</t>
        </is>
      </c>
      <c r="AW453" s="29" t="inlineStr">
        <is>
          <t>Not assessed</t>
        </is>
      </c>
      <c r="AX453" s="29" t="inlineStr">
        <is>
          <t>Not assessed</t>
        </is>
      </c>
      <c r="AY453" s="29" t="inlineStr">
        <is>
          <t>Not assessed</t>
        </is>
      </c>
      <c r="AZ453" s="29" t="inlineStr">
        <is>
          <t>Not assessed</t>
        </is>
      </c>
      <c r="BA453" s="29" t="inlineStr">
        <is>
          <t>Not assessed</t>
        </is>
      </c>
      <c r="BB453" s="29" t="inlineStr">
        <is>
          <t>Not assessed</t>
        </is>
      </c>
      <c r="BC453" s="29" t="inlineStr">
        <is>
          <t>Not assessed</t>
        </is>
      </c>
      <c r="BD453" s="29" t="inlineStr">
        <is>
          <t>Not assessed</t>
        </is>
      </c>
      <c r="BE453" s="29" t="inlineStr">
        <is>
          <t>Development required</t>
        </is>
      </c>
      <c r="BF453" s="29" t="inlineStr">
        <is>
          <t>No verified end-to-end implementation or release-candidate evidence.; Physical implementation is not complete against the stated requirement.; No unified creator-facing gift history, cross-stream history, export, reconciliation view, client wiring or release-candidate observation.</t>
        </is>
      </c>
      <c r="BG453" s="29" t="inlineStr">
        <is>
          <t>Confirm product acceptance criteria, trace any implementation outside the reviewed repository, and verify the final production build and configuration.</t>
        </is>
      </c>
      <c r="BH453" s="29" t="inlineStr"/>
      <c r="BI453" s="29" t="inlineStr"/>
      <c r="BJ453" s="29" t="inlineStr"/>
      <c r="BK453" s="29" t="inlineStr">
        <is>
          <t>Evidence reconciled against the reviewed source revision. No production approval is inferred from implementation or file presence.</t>
        </is>
      </c>
      <c r="BL453" s="29" t="inlineStr">
        <is>
          <t>2026-08-02</t>
        </is>
      </c>
    </row>
    <row r="454" ht="42" customHeight="1">
      <c r="A454" s="29" t="inlineStr">
        <is>
          <t>BLYP-22-011</t>
        </is>
      </c>
      <c r="B454" s="29" t="inlineStr"/>
      <c r="C454" s="29" t="inlineStr">
        <is>
          <t>Creator Studio</t>
        </is>
      </c>
      <c r="D454" s="29" t="n">
        <v>22</v>
      </c>
      <c r="E454" s="29" t="n">
        <v>11</v>
      </c>
      <c r="F454" s="29" t="inlineStr">
        <is>
          <t>Feature</t>
        </is>
      </c>
      <c r="G454" s="29" t="inlineStr">
        <is>
          <t>Earnings view</t>
        </is>
      </c>
      <c r="H454" s="29" t="inlineStr">
        <is>
          <t>Earnings view</t>
        </is>
      </c>
      <c r="I454" s="29" t="inlineStr">
        <is>
          <t>/home/ubuntu/blyp_product_requirements.md :: Section 22 — Creator Studio</t>
        </is>
      </c>
      <c r="J454" s="29" t="inlineStr">
        <is>
          <t>/home/ubuntu/BLYP_COMPLETE_FEATURE_LIST.md:573</t>
        </is>
      </c>
      <c r="K454" s="29" t="inlineStr">
        <is>
          <t>Required</t>
        </is>
      </c>
      <c r="L454" s="29" t="inlineStr">
        <is>
          <t>Authenticated creator or host</t>
        </is>
      </c>
      <c r="M454" s="29" t="inlineStr">
        <is>
          <t>BLYP mobile application and supporting production services</t>
        </is>
      </c>
      <c r="N454" s="29" t="inlineStr">
        <is>
          <t>Earnings view</t>
        </is>
      </c>
      <c r="O454" s="29" t="inlineStr">
        <is>
          <t>Not explicitly defined in the product source; requires accountable product approval before production sign-off.</t>
        </is>
      </c>
      <c r="P454" s="29" t="inlineStr">
        <is>
          <t>PostgreSQL gift_events and stream_earnings</t>
        </is>
      </c>
      <c r="Q454" s="29" t="inlineStr">
        <is>
          <t>Partial</t>
        </is>
      </c>
      <c r="R454" s="29" t="inlineStr"/>
      <c r="S454" s="29" t="inlineStr">
        <is>
          <t>Partial</t>
        </is>
      </c>
      <c r="T454" s="29" t="inlineStr"/>
      <c r="U454" s="29" t="inlineStr"/>
      <c r="V454" s="29" t="inlineStr"/>
      <c r="W454" s="29" t="inlineStr">
        <is>
          <t>GET /economy/stream/:streamId/summary</t>
        </is>
      </c>
      <c r="X454" s="29" t="inlineStr">
        <is>
          <t>PostgreSQL gift_events and stream_earnings</t>
        </is>
      </c>
      <c r="Y454" s="29" t="inlineStr"/>
      <c r="Z454" s="29" t="inlineStr"/>
      <c r="AA454" s="29" t="inlineStr"/>
      <c r="AB454" s="29" t="inlineStr">
        <is>
          <t>blyp-live-service Express backend</t>
        </is>
      </c>
      <c r="AC454" s="29" t="inlineStr"/>
      <c r="AD454" s="29" t="inlineStr">
        <is>
          <t>An authenticated request returns the current user’s per-stream spend and creator earnings aggregation from the economy database.</t>
        </is>
      </c>
      <c r="AE454" s="29" t="inlineStr">
        <is>
          <t>Internally reachable</t>
        </is>
      </c>
      <c r="AF454" s="29" t="inlineStr">
        <is>
          <t>An authenticated request returns the current user’s per-stream spend and creator earnings aggregation from the economy database.</t>
        </is>
      </c>
      <c r="AG454" s="29" t="inlineStr">
        <is>
          <t>Incomplete</t>
        </is>
      </c>
      <c r="AH454" s="29" t="inlineStr">
        <is>
          <t>No</t>
        </is>
      </c>
      <c r="AI454" s="29" t="inlineStr">
        <is>
          <t>No unified creator-facing earnings view, cross-stream history, export, reconciliation view, client wiring or release-candidate observation.</t>
        </is>
      </c>
      <c r="AJ454" s="29" t="inlineStr">
        <is>
          <t>Source traced</t>
        </is>
      </c>
      <c r="AK454" s="29" t="inlineStr">
        <is>
          <t>EV-22-0006;EV-22-0007</t>
        </is>
      </c>
      <c r="AL454" s="29" t="inlineStr"/>
      <c r="AM454" s="29" t="inlineStr"/>
      <c r="AN454" s="29" t="inlineStr"/>
      <c r="AO454" s="29" t="inlineStr">
        <is>
          <t>8bc0dcb2a1da1b21368c5536aaeef829d587f316</t>
        </is>
      </c>
      <c r="AP454" s="29" t="inlineStr">
        <is>
          <t>High</t>
        </is>
      </c>
      <c r="AQ454" s="29" t="inlineStr">
        <is>
          <t>Not assessed</t>
        </is>
      </c>
      <c r="AR454" s="29" t="inlineStr">
        <is>
          <t>Not assessed</t>
        </is>
      </c>
      <c r="AS454" s="29" t="inlineStr">
        <is>
          <t>Fail</t>
        </is>
      </c>
      <c r="AT454" s="29" t="inlineStr">
        <is>
          <t>Not assessed</t>
        </is>
      </c>
      <c r="AU454" s="29" t="inlineStr">
        <is>
          <t>Not assessed</t>
        </is>
      </c>
      <c r="AV454" s="29" t="inlineStr">
        <is>
          <t>Not assessed</t>
        </is>
      </c>
      <c r="AW454" s="29" t="inlineStr">
        <is>
          <t>Not assessed</t>
        </is>
      </c>
      <c r="AX454" s="29" t="inlineStr">
        <is>
          <t>Not assessed</t>
        </is>
      </c>
      <c r="AY454" s="29" t="inlineStr">
        <is>
          <t>Not assessed</t>
        </is>
      </c>
      <c r="AZ454" s="29" t="inlineStr">
        <is>
          <t>Not assessed</t>
        </is>
      </c>
      <c r="BA454" s="29" t="inlineStr">
        <is>
          <t>Not assessed</t>
        </is>
      </c>
      <c r="BB454" s="29" t="inlineStr">
        <is>
          <t>Not assessed</t>
        </is>
      </c>
      <c r="BC454" s="29" t="inlineStr">
        <is>
          <t>Not assessed</t>
        </is>
      </c>
      <c r="BD454" s="29" t="inlineStr">
        <is>
          <t>Not assessed</t>
        </is>
      </c>
      <c r="BE454" s="29" t="inlineStr">
        <is>
          <t>Development required</t>
        </is>
      </c>
      <c r="BF454" s="29" t="inlineStr">
        <is>
          <t>No verified end-to-end implementation or release-candidate evidence.; Physical implementation is not complete against the stated requirement.; No unified creator-facing earnings view, cross-stream history, export, reconciliation view, client wiring or release-candidate observation.</t>
        </is>
      </c>
      <c r="BG454" s="29" t="inlineStr">
        <is>
          <t>Confirm product acceptance criteria, trace any implementation outside the reviewed repository, and verify the final production build and configuration.</t>
        </is>
      </c>
      <c r="BH454" s="29" t="inlineStr"/>
      <c r="BI454" s="29" t="inlineStr"/>
      <c r="BJ454" s="29" t="inlineStr"/>
      <c r="BK454" s="29" t="inlineStr">
        <is>
          <t>Evidence reconciled against the reviewed source revision. No production approval is inferred from implementation or file presence.</t>
        </is>
      </c>
      <c r="BL454" s="29" t="inlineStr">
        <is>
          <t>2026-08-02</t>
        </is>
      </c>
    </row>
    <row r="455" ht="42" customHeight="1">
      <c r="A455" s="29" t="inlineStr">
        <is>
          <t>BLYP-22-012</t>
        </is>
      </c>
      <c r="B455" s="29" t="inlineStr"/>
      <c r="C455" s="29" t="inlineStr">
        <is>
          <t>Creator Studio</t>
        </is>
      </c>
      <c r="D455" s="29" t="n">
        <v>22</v>
      </c>
      <c r="E455" s="29" t="n">
        <v>12</v>
      </c>
      <c r="F455" s="29" t="inlineStr">
        <is>
          <t>Feature</t>
        </is>
      </c>
      <c r="G455" s="29" t="inlineStr">
        <is>
          <t>Team contribution</t>
        </is>
      </c>
      <c r="H455" s="29" t="inlineStr">
        <is>
          <t>Team contribution</t>
        </is>
      </c>
      <c r="I455" s="29" t="inlineStr">
        <is>
          <t>/home/ubuntu/blyp_product_requirements.md :: Section 22 — Creator Studio</t>
        </is>
      </c>
      <c r="J455" s="29" t="inlineStr">
        <is>
          <t>/home/ubuntu/BLYP_COMPLETE_FEATURE_LIST.md:574</t>
        </is>
      </c>
      <c r="K455" s="29" t="inlineStr">
        <is>
          <t>Required</t>
        </is>
      </c>
      <c r="L455" s="29" t="inlineStr">
        <is>
          <t>Authenticated creator or host</t>
        </is>
      </c>
      <c r="M455" s="29" t="inlineStr">
        <is>
          <t>BLYP mobile application and supporting production services</t>
        </is>
      </c>
      <c r="N455" s="29" t="inlineStr">
        <is>
          <t>Team contribution</t>
        </is>
      </c>
      <c r="O455" s="29" t="inlineStr">
        <is>
          <t>Not explicitly defined in the product source; requires accountable product approval before production sign-off.</t>
        </is>
      </c>
      <c r="P455" s="29" t="inlineStr"/>
      <c r="Q455" s="29" t="inlineStr">
        <is>
          <t>Scaffold only</t>
        </is>
      </c>
      <c r="R455" s="29" t="inlineStr"/>
      <c r="S455" s="29" t="inlineStr">
        <is>
          <t>Not found</t>
        </is>
      </c>
      <c r="T455" s="29" t="inlineStr"/>
      <c r="U455" s="29" t="inlineStr"/>
      <c r="V455" s="29" t="inlineStr"/>
      <c r="W455" s="29" t="inlineStr"/>
      <c r="X455" s="29" t="inlineStr"/>
      <c r="Y455" s="29" t="inlineStr"/>
      <c r="Z455" s="29" t="inlineStr"/>
      <c r="AA455" s="29" t="inlineStr"/>
      <c r="AB455" s="29" t="inlineStr"/>
      <c r="AC455" s="29" t="inlineStr"/>
      <c r="AD455" s="29" t="inlineStr"/>
      <c r="AE455" s="29" t="inlineStr">
        <is>
          <t>Unknown</t>
        </is>
      </c>
      <c r="AF455" s="29" t="inlineStr"/>
      <c r="AG455" s="29" t="inlineStr">
        <is>
          <t>Not started</t>
        </is>
      </c>
      <c r="AH455" s="29" t="inlineStr">
        <is>
          <t>No</t>
        </is>
      </c>
      <c r="AI455" s="29" t="inlineStr">
        <is>
          <t>No implementation matching “Team contribution” was found in the reviewed source snapshot; absence has not been verified against a deployed runtime.</t>
        </is>
      </c>
      <c r="AJ455" s="29" t="inlineStr">
        <is>
          <t>Not verified</t>
        </is>
      </c>
      <c r="AK455" s="29" t="inlineStr"/>
      <c r="AL455" s="29" t="inlineStr"/>
      <c r="AM455" s="29" t="inlineStr"/>
      <c r="AN455" s="29" t="inlineStr"/>
      <c r="AO455" s="29" t="inlineStr">
        <is>
          <t>8bc0dcb2a1da1b21368c5536aaeef829d587f316</t>
        </is>
      </c>
      <c r="AP455" s="29" t="inlineStr">
        <is>
          <t>Low</t>
        </is>
      </c>
      <c r="AQ455" s="29" t="inlineStr">
        <is>
          <t>Not assessed</t>
        </is>
      </c>
      <c r="AR455" s="29" t="inlineStr">
        <is>
          <t>Not assessed</t>
        </is>
      </c>
      <c r="AS455" s="29" t="inlineStr">
        <is>
          <t>Fail</t>
        </is>
      </c>
      <c r="AT455" s="29" t="inlineStr">
        <is>
          <t>Not assessed</t>
        </is>
      </c>
      <c r="AU455" s="29" t="inlineStr">
        <is>
          <t>Not assessed</t>
        </is>
      </c>
      <c r="AV455" s="29" t="inlineStr">
        <is>
          <t>Not assessed</t>
        </is>
      </c>
      <c r="AW455" s="29" t="inlineStr">
        <is>
          <t>Not assessed</t>
        </is>
      </c>
      <c r="AX455" s="29" t="inlineStr">
        <is>
          <t>Not assessed</t>
        </is>
      </c>
      <c r="AY455" s="29" t="inlineStr">
        <is>
          <t>Not assessed</t>
        </is>
      </c>
      <c r="AZ455" s="29" t="inlineStr">
        <is>
          <t>Not assessed</t>
        </is>
      </c>
      <c r="BA455" s="29" t="inlineStr">
        <is>
          <t>Not assessed</t>
        </is>
      </c>
      <c r="BB455" s="29" t="inlineStr">
        <is>
          <t>Not assessed</t>
        </is>
      </c>
      <c r="BC455" s="29" t="inlineStr">
        <is>
          <t>Not assessed</t>
        </is>
      </c>
      <c r="BD455" s="29" t="inlineStr">
        <is>
          <t>Not assessed</t>
        </is>
      </c>
      <c r="BE455" s="29" t="inlineStr">
        <is>
          <t>Development required</t>
        </is>
      </c>
      <c r="BF455" s="29" t="inlineStr">
        <is>
          <t>No verified end-to-end implementation or release-candidate evidence.; Physical implementation is not complete against the stated requirement.; No implementation matching “Team contribution” was found in the reviewed source snapshot; absence has not been verified against a deployed runtime.</t>
        </is>
      </c>
      <c r="BG455" s="29" t="inlineStr">
        <is>
          <t>Confirm product acceptance criteria, trace any implementation outside the reviewed repository, and verify the final production build and configuration.</t>
        </is>
      </c>
      <c r="BH455" s="29" t="inlineStr"/>
      <c r="BI455" s="29" t="inlineStr"/>
      <c r="BJ455" s="29" t="inlineStr"/>
      <c r="BK455" s="29" t="inlineStr">
        <is>
          <t>Evidence reconciled against the reviewed source revision. No production approval is inferred from implementation or file presence.</t>
        </is>
      </c>
      <c r="BL455" s="29" t="inlineStr">
        <is>
          <t>2026-08-02</t>
        </is>
      </c>
    </row>
    <row r="456" ht="42" customHeight="1">
      <c r="A456" s="29" t="inlineStr">
        <is>
          <t>BLYP-22-013</t>
        </is>
      </c>
      <c r="B456" s="29" t="inlineStr"/>
      <c r="C456" s="29" t="inlineStr">
        <is>
          <t>Creator Studio</t>
        </is>
      </c>
      <c r="D456" s="29" t="n">
        <v>22</v>
      </c>
      <c r="E456" s="29" t="n">
        <v>13</v>
      </c>
      <c r="F456" s="29" t="inlineStr">
        <is>
          <t>Feature</t>
        </is>
      </c>
      <c r="G456" s="29" t="inlineStr">
        <is>
          <t>Upcoming commitments</t>
        </is>
      </c>
      <c r="H456" s="29" t="inlineStr">
        <is>
          <t>Upcoming commitments</t>
        </is>
      </c>
      <c r="I456" s="29" t="inlineStr">
        <is>
          <t>/home/ubuntu/blyp_product_requirements.md :: Section 22 — Creator Studio</t>
        </is>
      </c>
      <c r="J456" s="29" t="inlineStr">
        <is>
          <t>/home/ubuntu/BLYP_COMPLETE_FEATURE_LIST.md:575</t>
        </is>
      </c>
      <c r="K456" s="29" t="inlineStr">
        <is>
          <t>Required</t>
        </is>
      </c>
      <c r="L456" s="29" t="inlineStr">
        <is>
          <t>Authenticated creator or host</t>
        </is>
      </c>
      <c r="M456" s="29" t="inlineStr">
        <is>
          <t>BLYP mobile application and supporting production services</t>
        </is>
      </c>
      <c r="N456" s="29" t="inlineStr">
        <is>
          <t>Upcoming commitments</t>
        </is>
      </c>
      <c r="O456" s="29" t="inlineStr">
        <is>
          <t>Not explicitly defined in the product source; requires accountable product approval before production sign-off.</t>
        </is>
      </c>
      <c r="P456" s="29" t="inlineStr"/>
      <c r="Q456" s="29" t="inlineStr">
        <is>
          <t>Partial</t>
        </is>
      </c>
      <c r="R456" s="29" t="inlineStr">
        <is>
          <t>reminder foundations exist.</t>
        </is>
      </c>
      <c r="S456" s="29" t="inlineStr">
        <is>
          <t>Not found</t>
        </is>
      </c>
      <c r="T456" s="29" t="inlineStr"/>
      <c r="U456" s="29" t="inlineStr"/>
      <c r="V456" s="29" t="inlineStr"/>
      <c r="W456" s="29" t="inlineStr"/>
      <c r="X456" s="29" t="inlineStr"/>
      <c r="Y456" s="29" t="inlineStr"/>
      <c r="Z456" s="29" t="inlineStr"/>
      <c r="AA456" s="29" t="inlineStr"/>
      <c r="AB456" s="29" t="inlineStr"/>
      <c r="AC456" s="29" t="inlineStr"/>
      <c r="AD456" s="29" t="inlineStr"/>
      <c r="AE456" s="29" t="inlineStr">
        <is>
          <t>Unknown</t>
        </is>
      </c>
      <c r="AF456" s="29" t="inlineStr"/>
      <c r="AG456" s="29" t="inlineStr">
        <is>
          <t>Not started</t>
        </is>
      </c>
      <c r="AH456" s="29" t="inlineStr">
        <is>
          <t>No</t>
        </is>
      </c>
      <c r="AI456" s="29" t="inlineStr">
        <is>
          <t>No implementation matching “Upcoming commitments” was found in the reviewed source snapshot; absence has not been verified against a deployed runtime.</t>
        </is>
      </c>
      <c r="AJ456" s="29" t="inlineStr">
        <is>
          <t>Not verified</t>
        </is>
      </c>
      <c r="AK456" s="29" t="inlineStr"/>
      <c r="AL456" s="29" t="inlineStr"/>
      <c r="AM456" s="29" t="inlineStr"/>
      <c r="AN456" s="29" t="inlineStr"/>
      <c r="AO456" s="29" t="inlineStr">
        <is>
          <t>8bc0dcb2a1da1b21368c5536aaeef829d587f316</t>
        </is>
      </c>
      <c r="AP456" s="29" t="inlineStr">
        <is>
          <t>Low</t>
        </is>
      </c>
      <c r="AQ456" s="29" t="inlineStr">
        <is>
          <t>Not assessed</t>
        </is>
      </c>
      <c r="AR456" s="29" t="inlineStr">
        <is>
          <t>Not assessed</t>
        </is>
      </c>
      <c r="AS456" s="29" t="inlineStr">
        <is>
          <t>Fail</t>
        </is>
      </c>
      <c r="AT456" s="29" t="inlineStr">
        <is>
          <t>Not assessed</t>
        </is>
      </c>
      <c r="AU456" s="29" t="inlineStr">
        <is>
          <t>Not assessed</t>
        </is>
      </c>
      <c r="AV456" s="29" t="inlineStr">
        <is>
          <t>Not assessed</t>
        </is>
      </c>
      <c r="AW456" s="29" t="inlineStr">
        <is>
          <t>Not assessed</t>
        </is>
      </c>
      <c r="AX456" s="29" t="inlineStr">
        <is>
          <t>Not assessed</t>
        </is>
      </c>
      <c r="AY456" s="29" t="inlineStr">
        <is>
          <t>Not assessed</t>
        </is>
      </c>
      <c r="AZ456" s="29" t="inlineStr">
        <is>
          <t>Not assessed</t>
        </is>
      </c>
      <c r="BA456" s="29" t="inlineStr">
        <is>
          <t>Not assessed</t>
        </is>
      </c>
      <c r="BB456" s="29" t="inlineStr">
        <is>
          <t>Not assessed</t>
        </is>
      </c>
      <c r="BC456" s="29" t="inlineStr">
        <is>
          <t>Not assessed</t>
        </is>
      </c>
      <c r="BD456" s="29" t="inlineStr">
        <is>
          <t>Not assessed</t>
        </is>
      </c>
      <c r="BE456" s="29" t="inlineStr">
        <is>
          <t>Development required</t>
        </is>
      </c>
      <c r="BF456" s="29" t="inlineStr">
        <is>
          <t>No verified end-to-end implementation or release-candidate evidence.; Physical implementation is not complete against the stated requirement.; No implementation matching “Upcoming commitments” was found in the reviewed source snapshot; absence has not been verified against a deployed runtime.</t>
        </is>
      </c>
      <c r="BG456" s="29" t="inlineStr">
        <is>
          <t>Confirm product acceptance criteria, trace any implementation outside the reviewed repository, and verify the final production build and configuration.</t>
        </is>
      </c>
      <c r="BH456" s="29" t="inlineStr"/>
      <c r="BI456" s="29" t="inlineStr"/>
      <c r="BJ456" s="29" t="inlineStr"/>
      <c r="BK456" s="29" t="inlineStr">
        <is>
          <t>Evidence reconciled against the reviewed source revision. No production approval is inferred from implementation or file presence.</t>
        </is>
      </c>
      <c r="BL456" s="29" t="inlineStr">
        <is>
          <t>2026-08-02</t>
        </is>
      </c>
    </row>
    <row r="457" ht="42" customHeight="1">
      <c r="A457" s="29" t="inlineStr">
        <is>
          <t>BLYP-22-014</t>
        </is>
      </c>
      <c r="B457" s="29" t="inlineStr"/>
      <c r="C457" s="29" t="inlineStr">
        <is>
          <t>Creator Studio</t>
        </is>
      </c>
      <c r="D457" s="29" t="n">
        <v>22</v>
      </c>
      <c r="E457" s="29" t="n">
        <v>14</v>
      </c>
      <c r="F457" s="29" t="inlineStr">
        <is>
          <t>Feature</t>
        </is>
      </c>
      <c r="G457" s="29" t="inlineStr">
        <is>
          <t>Retention-focused insights</t>
        </is>
      </c>
      <c r="H457" s="29" t="inlineStr">
        <is>
          <t>Retention-focused insights</t>
        </is>
      </c>
      <c r="I457" s="29" t="inlineStr">
        <is>
          <t>/home/ubuntu/blyp_product_requirements.md :: Section 22 — Creator Studio</t>
        </is>
      </c>
      <c r="J457" s="29" t="inlineStr">
        <is>
          <t>/home/ubuntu/BLYP_COMPLETE_FEATURE_LIST.md:576</t>
        </is>
      </c>
      <c r="K457" s="29" t="inlineStr">
        <is>
          <t>Required</t>
        </is>
      </c>
      <c r="L457" s="29" t="inlineStr">
        <is>
          <t>Authenticated creator or host</t>
        </is>
      </c>
      <c r="M457" s="29" t="inlineStr">
        <is>
          <t>BLYP mobile application and supporting production services</t>
        </is>
      </c>
      <c r="N457" s="29" t="inlineStr">
        <is>
          <t>Retention-focused insights</t>
        </is>
      </c>
      <c r="O457" s="29" t="inlineStr">
        <is>
          <t>Not explicitly defined in the product source; requires accountable product approval before production sign-off.</t>
        </is>
      </c>
      <c r="P457" s="29" t="inlineStr"/>
      <c r="Q457" s="29" t="inlineStr">
        <is>
          <t>No evidence</t>
        </is>
      </c>
      <c r="R457" s="29" t="inlineStr"/>
      <c r="S457" s="29" t="inlineStr">
        <is>
          <t>Not found</t>
        </is>
      </c>
      <c r="T457" s="29" t="inlineStr"/>
      <c r="U457" s="29" t="inlineStr"/>
      <c r="V457" s="29" t="inlineStr"/>
      <c r="W457" s="29" t="inlineStr"/>
      <c r="X457" s="29" t="inlineStr"/>
      <c r="Y457" s="29" t="inlineStr"/>
      <c r="Z457" s="29" t="inlineStr"/>
      <c r="AA457" s="29" t="inlineStr"/>
      <c r="AB457" s="29" t="inlineStr"/>
      <c r="AC457" s="29" t="inlineStr"/>
      <c r="AD457" s="29" t="inlineStr"/>
      <c r="AE457" s="29" t="inlineStr">
        <is>
          <t>Unknown</t>
        </is>
      </c>
      <c r="AF457" s="29" t="inlineStr"/>
      <c r="AG457" s="29" t="inlineStr">
        <is>
          <t>Not started</t>
        </is>
      </c>
      <c r="AH457" s="29" t="inlineStr">
        <is>
          <t>No</t>
        </is>
      </c>
      <c r="AI457" s="29" t="inlineStr">
        <is>
          <t>No implementation matching “Retention-focused insights” was found in the reviewed source snapshot; absence has not been verified against a deployed runtime.</t>
        </is>
      </c>
      <c r="AJ457" s="29" t="inlineStr">
        <is>
          <t>Not verified</t>
        </is>
      </c>
      <c r="AK457" s="29" t="inlineStr"/>
      <c r="AL457" s="29" t="inlineStr"/>
      <c r="AM457" s="29" t="inlineStr"/>
      <c r="AN457" s="29" t="inlineStr"/>
      <c r="AO457" s="29" t="inlineStr">
        <is>
          <t>8bc0dcb2a1da1b21368c5536aaeef829d587f316</t>
        </is>
      </c>
      <c r="AP457" s="29" t="inlineStr">
        <is>
          <t>Low</t>
        </is>
      </c>
      <c r="AQ457" s="29" t="inlineStr">
        <is>
          <t>Not assessed</t>
        </is>
      </c>
      <c r="AR457" s="29" t="inlineStr">
        <is>
          <t>Not assessed</t>
        </is>
      </c>
      <c r="AS457" s="29" t="inlineStr">
        <is>
          <t>Fail</t>
        </is>
      </c>
      <c r="AT457" s="29" t="inlineStr">
        <is>
          <t>Not assessed</t>
        </is>
      </c>
      <c r="AU457" s="29" t="inlineStr">
        <is>
          <t>Not assessed</t>
        </is>
      </c>
      <c r="AV457" s="29" t="inlineStr">
        <is>
          <t>Not assessed</t>
        </is>
      </c>
      <c r="AW457" s="29" t="inlineStr">
        <is>
          <t>Not assessed</t>
        </is>
      </c>
      <c r="AX457" s="29" t="inlineStr">
        <is>
          <t>Not assessed</t>
        </is>
      </c>
      <c r="AY457" s="29" t="inlineStr">
        <is>
          <t>Not assessed</t>
        </is>
      </c>
      <c r="AZ457" s="29" t="inlineStr">
        <is>
          <t>Not assessed</t>
        </is>
      </c>
      <c r="BA457" s="29" t="inlineStr">
        <is>
          <t>Not assessed</t>
        </is>
      </c>
      <c r="BB457" s="29" t="inlineStr">
        <is>
          <t>Not assessed</t>
        </is>
      </c>
      <c r="BC457" s="29" t="inlineStr">
        <is>
          <t>Not assessed</t>
        </is>
      </c>
      <c r="BD457" s="29" t="inlineStr">
        <is>
          <t>Not assessed</t>
        </is>
      </c>
      <c r="BE457" s="29" t="inlineStr">
        <is>
          <t>Development required</t>
        </is>
      </c>
      <c r="BF457" s="29" t="inlineStr">
        <is>
          <t>No verified end-to-end implementation or release-candidate evidence.; Physical implementation is not complete against the stated requirement.; No implementation matching “Retention-focused insights” was found in the reviewed source snapshot; absence has not been verified against a deployed runtime.</t>
        </is>
      </c>
      <c r="BG457" s="29" t="inlineStr">
        <is>
          <t>Confirm product acceptance criteria, trace any implementation outside the reviewed repository, and verify the final production build and configuration.</t>
        </is>
      </c>
      <c r="BH457" s="29" t="inlineStr"/>
      <c r="BI457" s="29" t="inlineStr"/>
      <c r="BJ457" s="29" t="inlineStr"/>
      <c r="BK457" s="29" t="inlineStr">
        <is>
          <t>Evidence reconciled against the reviewed source revision. No production approval is inferred from implementation or file presence.</t>
        </is>
      </c>
      <c r="BL457" s="29" t="inlineStr">
        <is>
          <t>2026-08-02</t>
        </is>
      </c>
    </row>
    <row r="458" ht="42" customHeight="1">
      <c r="A458" s="29" t="inlineStr">
        <is>
          <t>BLYP-22-015</t>
        </is>
      </c>
      <c r="B458" s="29" t="inlineStr"/>
      <c r="C458" s="29" t="inlineStr">
        <is>
          <t>Creator Studio</t>
        </is>
      </c>
      <c r="D458" s="29" t="n">
        <v>22</v>
      </c>
      <c r="E458" s="29" t="n">
        <v>15</v>
      </c>
      <c r="F458" s="29" t="inlineStr">
        <is>
          <t>Feature</t>
        </is>
      </c>
      <c r="G458" s="29" t="inlineStr">
        <is>
          <t>Genuine-engagement insights</t>
        </is>
      </c>
      <c r="H458" s="29" t="inlineStr">
        <is>
          <t>Genuine-engagement insights</t>
        </is>
      </c>
      <c r="I458" s="29" t="inlineStr">
        <is>
          <t>/home/ubuntu/blyp_product_requirements.md :: Section 22 — Creator Studio</t>
        </is>
      </c>
      <c r="J458" s="29" t="inlineStr">
        <is>
          <t>/home/ubuntu/BLYP_COMPLETE_FEATURE_LIST.md:577</t>
        </is>
      </c>
      <c r="K458" s="29" t="inlineStr">
        <is>
          <t>Required</t>
        </is>
      </c>
      <c r="L458" s="29" t="inlineStr">
        <is>
          <t>Authenticated creator or host</t>
        </is>
      </c>
      <c r="M458" s="29" t="inlineStr">
        <is>
          <t>BLYP mobile application and supporting production services</t>
        </is>
      </c>
      <c r="N458" s="29" t="inlineStr">
        <is>
          <t>Genuine-engagement insights</t>
        </is>
      </c>
      <c r="O458" s="29" t="inlineStr">
        <is>
          <t>Not explicitly defined in the product source; requires accountable product approval before production sign-off.</t>
        </is>
      </c>
      <c r="P458" s="29" t="inlineStr">
        <is>
          <t>Firestore analytics and streamAnalytics collections</t>
        </is>
      </c>
      <c r="Q458" s="29" t="inlineStr">
        <is>
          <t>Partial</t>
        </is>
      </c>
      <c r="R458" s="29" t="inlineStr"/>
      <c r="S458" s="29" t="inlineStr">
        <is>
          <t>Partial</t>
        </is>
      </c>
      <c r="T458" s="29" t="inlineStr"/>
      <c r="U458" s="29" t="inlineStr"/>
      <c r="V458" s="29" t="inlineStr">
        <is>
          <t>src/services/EnterpriseAnalyticsService.js</t>
        </is>
      </c>
      <c r="W458" s="29" t="inlineStr"/>
      <c r="X458" s="29" t="inlineStr">
        <is>
          <t>Firestore analytics and streamAnalytics collections</t>
        </is>
      </c>
      <c r="Y458" s="29" t="inlineStr">
        <is>
          <t>Firestore updateStreamAnalytics trigger</t>
        </is>
      </c>
      <c r="Z458" s="29" t="inlineStr"/>
      <c r="AA458" s="29" t="inlineStr"/>
      <c r="AB458" s="29" t="inlineStr">
        <is>
          <t>Expo mobile application and Firebase Functions</t>
        </is>
      </c>
      <c r="AC458" s="29" t="inlineStr"/>
      <c r="AD458" s="29" t="inlineStr">
        <is>
          <t>Analytics events and stream changes can be aggregated into report structures and stored metrics; no creator-facing production workflow was found.</t>
        </is>
      </c>
      <c r="AE458" s="29" t="inlineStr">
        <is>
          <t>Not wired</t>
        </is>
      </c>
      <c r="AF458" s="29" t="inlineStr">
        <is>
          <t>Analytics events and stream changes can be aggregated into report structures and stored metrics; no creator-facing production workflow was found.</t>
        </is>
      </c>
      <c r="AG458" s="29" t="inlineStr">
        <is>
          <t>Incomplete</t>
        </is>
      </c>
      <c r="AH458" s="29" t="inlineStr">
        <is>
          <t>No</t>
        </is>
      </c>
      <c r="AI458" s="29" t="inlineStr">
        <is>
          <t>No unified Creator Studio UI, acceptance criteria, production deployment evidence, data-quality validation or observed report flow.</t>
        </is>
      </c>
      <c r="AJ458" s="29" t="inlineStr">
        <is>
          <t>Source traced</t>
        </is>
      </c>
      <c r="AK458" s="29" t="inlineStr">
        <is>
          <t>EV-22-0003;EV-22-0008</t>
        </is>
      </c>
      <c r="AL458" s="29" t="inlineStr"/>
      <c r="AM458" s="29" t="inlineStr"/>
      <c r="AN458" s="29" t="inlineStr"/>
      <c r="AO458" s="29" t="inlineStr">
        <is>
          <t>8bc0dcb2a1da1b21368c5536aaeef829d587f316</t>
        </is>
      </c>
      <c r="AP458" s="29" t="inlineStr">
        <is>
          <t>Medium</t>
        </is>
      </c>
      <c r="AQ458" s="29" t="inlineStr">
        <is>
          <t>Not assessed</t>
        </is>
      </c>
      <c r="AR458" s="29" t="inlineStr">
        <is>
          <t>Not assessed</t>
        </is>
      </c>
      <c r="AS458" s="29" t="inlineStr">
        <is>
          <t>Fail</t>
        </is>
      </c>
      <c r="AT458" s="29" t="inlineStr">
        <is>
          <t>Not assessed</t>
        </is>
      </c>
      <c r="AU458" s="29" t="inlineStr">
        <is>
          <t>Not assessed</t>
        </is>
      </c>
      <c r="AV458" s="29" t="inlineStr">
        <is>
          <t>Not assessed</t>
        </is>
      </c>
      <c r="AW458" s="29" t="inlineStr">
        <is>
          <t>Not assessed</t>
        </is>
      </c>
      <c r="AX458" s="29" t="inlineStr">
        <is>
          <t>Not assessed</t>
        </is>
      </c>
      <c r="AY458" s="29" t="inlineStr">
        <is>
          <t>Not assessed</t>
        </is>
      </c>
      <c r="AZ458" s="29" t="inlineStr">
        <is>
          <t>Not assessed</t>
        </is>
      </c>
      <c r="BA458" s="29" t="inlineStr">
        <is>
          <t>Not assessed</t>
        </is>
      </c>
      <c r="BB458" s="29" t="inlineStr">
        <is>
          <t>Not assessed</t>
        </is>
      </c>
      <c r="BC458" s="29" t="inlineStr">
        <is>
          <t>Not assessed</t>
        </is>
      </c>
      <c r="BD458" s="29" t="inlineStr">
        <is>
          <t>Not assessed</t>
        </is>
      </c>
      <c r="BE458" s="29" t="inlineStr">
        <is>
          <t>Development required</t>
        </is>
      </c>
      <c r="BF458" s="29" t="inlineStr">
        <is>
          <t>No verified end-to-end implementation or release-candidate evidence.; Physical implementation is not complete against the stated requirement.; No unified Creator Studio UI, acceptance criteria, production deployment evidence, data-quality validation or observed report flow.</t>
        </is>
      </c>
      <c r="BG458" s="29" t="inlineStr">
        <is>
          <t>Confirm product acceptance criteria, trace any implementation outside the reviewed repository, and verify the final production build and configuration.</t>
        </is>
      </c>
      <c r="BH458" s="29" t="inlineStr"/>
      <c r="BI458" s="29" t="inlineStr"/>
      <c r="BJ458" s="29" t="inlineStr"/>
      <c r="BK458" s="29" t="inlineStr">
        <is>
          <t>Evidence reconciled against the reviewed source revision. No production approval is inferred from implementation or file presence.</t>
        </is>
      </c>
      <c r="BL458" s="29" t="inlineStr">
        <is>
          <t>2026-08-02</t>
        </is>
      </c>
    </row>
    <row r="459" ht="42" customHeight="1">
      <c r="A459" s="29" t="inlineStr">
        <is>
          <t>BLYP-22-016</t>
        </is>
      </c>
      <c r="B459" s="29" t="inlineStr"/>
      <c r="C459" s="29" t="inlineStr">
        <is>
          <t>Creator Studio</t>
        </is>
      </c>
      <c r="D459" s="29" t="n">
        <v>22</v>
      </c>
      <c r="E459" s="29" t="n">
        <v>16</v>
      </c>
      <c r="F459" s="29" t="inlineStr">
        <is>
          <t>Non-functional requirement</t>
        </is>
      </c>
      <c r="G459" s="29" t="inlineStr">
        <is>
          <t>AI performance explanation</t>
        </is>
      </c>
      <c r="H459" s="29" t="inlineStr">
        <is>
          <t>AI performance explanation</t>
        </is>
      </c>
      <c r="I459" s="29" t="inlineStr">
        <is>
          <t>/home/ubuntu/blyp_product_requirements.md :: Section 22 — Creator Studio</t>
        </is>
      </c>
      <c r="J459" s="29" t="inlineStr">
        <is>
          <t>/home/ubuntu/BLYP_COMPLETE_FEATURE_LIST.md:578</t>
        </is>
      </c>
      <c r="K459" s="29" t="inlineStr">
        <is>
          <t>Required</t>
        </is>
      </c>
      <c r="L459" s="29" t="inlineStr">
        <is>
          <t>Authenticated creator or host</t>
        </is>
      </c>
      <c r="M459" s="29" t="inlineStr">
        <is>
          <t>Production platform and operations</t>
        </is>
      </c>
      <c r="N459" s="29" t="inlineStr">
        <is>
          <t>AI performance explanation</t>
        </is>
      </c>
      <c r="O459" s="29" t="inlineStr">
        <is>
          <t>Not explicitly defined in the product source; requires accountable product approval before production sign-off.</t>
        </is>
      </c>
      <c r="P459" s="29" t="inlineStr"/>
      <c r="Q459" s="29" t="inlineStr">
        <is>
          <t>No evidence</t>
        </is>
      </c>
      <c r="R459" s="29" t="inlineStr"/>
      <c r="S459" s="29" t="inlineStr">
        <is>
          <t>Not found</t>
        </is>
      </c>
      <c r="T459" s="29" t="inlineStr"/>
      <c r="U459" s="29" t="inlineStr"/>
      <c r="V459" s="29" t="inlineStr"/>
      <c r="W459" s="29" t="inlineStr"/>
      <c r="X459" s="29" t="inlineStr"/>
      <c r="Y459" s="29" t="inlineStr"/>
      <c r="Z459" s="29" t="inlineStr"/>
      <c r="AA459" s="29" t="inlineStr"/>
      <c r="AB459" s="29" t="inlineStr"/>
      <c r="AC459" s="29" t="inlineStr"/>
      <c r="AD459" s="29" t="inlineStr"/>
      <c r="AE459" s="29" t="inlineStr">
        <is>
          <t>Unknown</t>
        </is>
      </c>
      <c r="AF459" s="29" t="inlineStr"/>
      <c r="AG459" s="29" t="inlineStr">
        <is>
          <t>Not started</t>
        </is>
      </c>
      <c r="AH459" s="29" t="inlineStr">
        <is>
          <t>No</t>
        </is>
      </c>
      <c r="AI459" s="29" t="inlineStr">
        <is>
          <t>No implementation matching “AI performance explanation” was found in the reviewed source snapshot; absence has not been verified against a deployed runtime.</t>
        </is>
      </c>
      <c r="AJ459" s="29" t="inlineStr">
        <is>
          <t>Not verified</t>
        </is>
      </c>
      <c r="AK459" s="29" t="inlineStr"/>
      <c r="AL459" s="29" t="inlineStr"/>
      <c r="AM459" s="29" t="inlineStr"/>
      <c r="AN459" s="29" t="inlineStr"/>
      <c r="AO459" s="29" t="inlineStr">
        <is>
          <t>8bc0dcb2a1da1b21368c5536aaeef829d587f316</t>
        </is>
      </c>
      <c r="AP459" s="29" t="inlineStr">
        <is>
          <t>Low</t>
        </is>
      </c>
      <c r="AQ459" s="29" t="inlineStr">
        <is>
          <t>Not assessed</t>
        </is>
      </c>
      <c r="AR459" s="29" t="inlineStr">
        <is>
          <t>Not assessed</t>
        </is>
      </c>
      <c r="AS459" s="29" t="inlineStr">
        <is>
          <t>Fail</t>
        </is>
      </c>
      <c r="AT459" s="29" t="inlineStr">
        <is>
          <t>Not assessed</t>
        </is>
      </c>
      <c r="AU459" s="29" t="inlineStr">
        <is>
          <t>Not assessed</t>
        </is>
      </c>
      <c r="AV459" s="29" t="inlineStr">
        <is>
          <t>Not assessed</t>
        </is>
      </c>
      <c r="AW459" s="29" t="inlineStr">
        <is>
          <t>Not assessed</t>
        </is>
      </c>
      <c r="AX459" s="29" t="inlineStr">
        <is>
          <t>Not assessed</t>
        </is>
      </c>
      <c r="AY459" s="29" t="inlineStr">
        <is>
          <t>Not assessed</t>
        </is>
      </c>
      <c r="AZ459" s="29" t="inlineStr">
        <is>
          <t>Not assessed</t>
        </is>
      </c>
      <c r="BA459" s="29" t="inlineStr">
        <is>
          <t>Not assessed</t>
        </is>
      </c>
      <c r="BB459" s="29" t="inlineStr">
        <is>
          <t>Not assessed</t>
        </is>
      </c>
      <c r="BC459" s="29" t="inlineStr">
        <is>
          <t>Not assessed</t>
        </is>
      </c>
      <c r="BD459" s="29" t="inlineStr">
        <is>
          <t>Not assessed</t>
        </is>
      </c>
      <c r="BE459" s="29" t="inlineStr">
        <is>
          <t>Development required</t>
        </is>
      </c>
      <c r="BF459" s="29" t="inlineStr">
        <is>
          <t>No verified end-to-end implementation or release-candidate evidence.; Physical implementation is not complete against the stated requirement.; No implementation matching “AI performance explanation” was found in the reviewed source snapshot; absence has not been verified against a deployed runtime.</t>
        </is>
      </c>
      <c r="BG459" s="29" t="inlineStr">
        <is>
          <t>Confirm product acceptance criteria, trace any implementation outside the reviewed repository, and verify the final production build and configuration.</t>
        </is>
      </c>
      <c r="BH459" s="29" t="inlineStr"/>
      <c r="BI459" s="29" t="inlineStr"/>
      <c r="BJ459" s="29" t="inlineStr"/>
      <c r="BK459" s="29" t="inlineStr">
        <is>
          <t>Evidence reconciled against the reviewed source revision. No production approval is inferred from implementation or file presence.</t>
        </is>
      </c>
      <c r="BL459" s="29" t="inlineStr">
        <is>
          <t>2026-08-02</t>
        </is>
      </c>
    </row>
    <row r="460" ht="42" customHeight="1">
      <c r="A460" s="29" t="inlineStr">
        <is>
          <t>BLYP-22-017</t>
        </is>
      </c>
      <c r="B460" s="29" t="inlineStr"/>
      <c r="C460" s="29" t="inlineStr">
        <is>
          <t>Creator Studio</t>
        </is>
      </c>
      <c r="D460" s="29" t="n">
        <v>22</v>
      </c>
      <c r="E460" s="29" t="n">
        <v>17</v>
      </c>
      <c r="F460" s="29" t="inlineStr">
        <is>
          <t>Feature</t>
        </is>
      </c>
      <c r="G460" s="29" t="inlineStr">
        <is>
          <t>AI improvement suggestions</t>
        </is>
      </c>
      <c r="H460" s="29" t="inlineStr">
        <is>
          <t>AI improvement suggestions</t>
        </is>
      </c>
      <c r="I460" s="29" t="inlineStr">
        <is>
          <t>/home/ubuntu/blyp_product_requirements.md :: Section 22 — Creator Studio</t>
        </is>
      </c>
      <c r="J460" s="29" t="inlineStr">
        <is>
          <t>/home/ubuntu/BLYP_COMPLETE_FEATURE_LIST.md:579</t>
        </is>
      </c>
      <c r="K460" s="29" t="inlineStr">
        <is>
          <t>Required</t>
        </is>
      </c>
      <c r="L460" s="29" t="inlineStr">
        <is>
          <t>Authenticated creator or host</t>
        </is>
      </c>
      <c r="M460" s="29" t="inlineStr">
        <is>
          <t>BLYP mobile application and supporting production services</t>
        </is>
      </c>
      <c r="N460" s="29" t="inlineStr">
        <is>
          <t>AI improvement suggestions</t>
        </is>
      </c>
      <c r="O460" s="29" t="inlineStr">
        <is>
          <t>Not explicitly defined in the product source; requires accountable product approval before production sign-off.</t>
        </is>
      </c>
      <c r="P460" s="29" t="inlineStr"/>
      <c r="Q460" s="29" t="inlineStr">
        <is>
          <t>No evidence</t>
        </is>
      </c>
      <c r="R460" s="29" t="inlineStr"/>
      <c r="S460" s="29" t="inlineStr">
        <is>
          <t>Not found</t>
        </is>
      </c>
      <c r="T460" s="29" t="inlineStr"/>
      <c r="U460" s="29" t="inlineStr"/>
      <c r="V460" s="29" t="inlineStr"/>
      <c r="W460" s="29" t="inlineStr"/>
      <c r="X460" s="29" t="inlineStr"/>
      <c r="Y460" s="29" t="inlineStr"/>
      <c r="Z460" s="29" t="inlineStr"/>
      <c r="AA460" s="29" t="inlineStr"/>
      <c r="AB460" s="29" t="inlineStr"/>
      <c r="AC460" s="29" t="inlineStr"/>
      <c r="AD460" s="29" t="inlineStr"/>
      <c r="AE460" s="29" t="inlineStr">
        <is>
          <t>Unknown</t>
        </is>
      </c>
      <c r="AF460" s="29" t="inlineStr"/>
      <c r="AG460" s="29" t="inlineStr">
        <is>
          <t>Not started</t>
        </is>
      </c>
      <c r="AH460" s="29" t="inlineStr">
        <is>
          <t>No</t>
        </is>
      </c>
      <c r="AI460" s="29" t="inlineStr">
        <is>
          <t>No implementation matching “AI improvement suggestions” was found in the reviewed source snapshot; absence has not been verified against a deployed runtime.</t>
        </is>
      </c>
      <c r="AJ460" s="29" t="inlineStr">
        <is>
          <t>Not verified</t>
        </is>
      </c>
      <c r="AK460" s="29" t="inlineStr"/>
      <c r="AL460" s="29" t="inlineStr"/>
      <c r="AM460" s="29" t="inlineStr"/>
      <c r="AN460" s="29" t="inlineStr"/>
      <c r="AO460" s="29" t="inlineStr">
        <is>
          <t>8bc0dcb2a1da1b21368c5536aaeef829d587f316</t>
        </is>
      </c>
      <c r="AP460" s="29" t="inlineStr">
        <is>
          <t>Low</t>
        </is>
      </c>
      <c r="AQ460" s="29" t="inlineStr">
        <is>
          <t>Not assessed</t>
        </is>
      </c>
      <c r="AR460" s="29" t="inlineStr">
        <is>
          <t>Not assessed</t>
        </is>
      </c>
      <c r="AS460" s="29" t="inlineStr">
        <is>
          <t>Fail</t>
        </is>
      </c>
      <c r="AT460" s="29" t="inlineStr">
        <is>
          <t>Not assessed</t>
        </is>
      </c>
      <c r="AU460" s="29" t="inlineStr">
        <is>
          <t>Not assessed</t>
        </is>
      </c>
      <c r="AV460" s="29" t="inlineStr">
        <is>
          <t>Not assessed</t>
        </is>
      </c>
      <c r="AW460" s="29" t="inlineStr">
        <is>
          <t>Not assessed</t>
        </is>
      </c>
      <c r="AX460" s="29" t="inlineStr">
        <is>
          <t>Not assessed</t>
        </is>
      </c>
      <c r="AY460" s="29" t="inlineStr">
        <is>
          <t>Not assessed</t>
        </is>
      </c>
      <c r="AZ460" s="29" t="inlineStr">
        <is>
          <t>Not assessed</t>
        </is>
      </c>
      <c r="BA460" s="29" t="inlineStr">
        <is>
          <t>Not assessed</t>
        </is>
      </c>
      <c r="BB460" s="29" t="inlineStr">
        <is>
          <t>Not assessed</t>
        </is>
      </c>
      <c r="BC460" s="29" t="inlineStr">
        <is>
          <t>Not assessed</t>
        </is>
      </c>
      <c r="BD460" s="29" t="inlineStr">
        <is>
          <t>Not assessed</t>
        </is>
      </c>
      <c r="BE460" s="29" t="inlineStr">
        <is>
          <t>Development required</t>
        </is>
      </c>
      <c r="BF460" s="29" t="inlineStr">
        <is>
          <t>No verified end-to-end implementation or release-candidate evidence.; Physical implementation is not complete against the stated requirement.; No implementation matching “AI improvement suggestions” was found in the reviewed source snapshot; absence has not been verified against a deployed runtime.</t>
        </is>
      </c>
      <c r="BG460" s="29" t="inlineStr">
        <is>
          <t>Confirm product acceptance criteria, trace any implementation outside the reviewed repository, and verify the final production build and configuration.</t>
        </is>
      </c>
      <c r="BH460" s="29" t="inlineStr"/>
      <c r="BI460" s="29" t="inlineStr"/>
      <c r="BJ460" s="29" t="inlineStr"/>
      <c r="BK460" s="29" t="inlineStr">
        <is>
          <t>Evidence reconciled against the reviewed source revision. No production approval is inferred from implementation or file presence.</t>
        </is>
      </c>
      <c r="BL460" s="29" t="inlineStr">
        <is>
          <t>2026-08-02</t>
        </is>
      </c>
    </row>
    <row r="461" ht="42" customHeight="1">
      <c r="A461" s="29" t="inlineStr">
        <is>
          <t>BLYP-22-018</t>
        </is>
      </c>
      <c r="B461" s="29" t="inlineStr"/>
      <c r="C461" s="29" t="inlineStr">
        <is>
          <t>Creator Studio</t>
        </is>
      </c>
      <c r="D461" s="29" t="n">
        <v>22</v>
      </c>
      <c r="E461" s="29" t="n">
        <v>18</v>
      </c>
      <c r="F461" s="29" t="inlineStr">
        <is>
          <t>Feature</t>
        </is>
      </c>
      <c r="G461" s="29" t="inlineStr">
        <is>
          <t>Confirmation before AI publishes, edits, or schedules</t>
        </is>
      </c>
      <c r="H461" s="29" t="inlineStr">
        <is>
          <t>Confirmation before AI publishes, edits, or schedules</t>
        </is>
      </c>
      <c r="I461" s="29" t="inlineStr">
        <is>
          <t>/home/ubuntu/blyp_product_requirements.md :: Section 22 — Creator Studio</t>
        </is>
      </c>
      <c r="J461" s="29" t="inlineStr">
        <is>
          <t>/home/ubuntu/BLYP_COMPLETE_FEATURE_LIST.md:580</t>
        </is>
      </c>
      <c r="K461" s="29" t="inlineStr">
        <is>
          <t>Required</t>
        </is>
      </c>
      <c r="L461" s="29" t="inlineStr">
        <is>
          <t>Authenticated creator or host</t>
        </is>
      </c>
      <c r="M461" s="29" t="inlineStr">
        <is>
          <t>BLYP mobile application and supporting production services</t>
        </is>
      </c>
      <c r="N461" s="29" t="inlineStr">
        <is>
          <t>Confirmation before AI publishes, edits, or schedules</t>
        </is>
      </c>
      <c r="O461" s="29" t="inlineStr">
        <is>
          <t>Not explicitly defined in the product source; requires accountable product approval before production sign-off.</t>
        </is>
      </c>
      <c r="P461" s="29" t="inlineStr"/>
      <c r="Q461" s="29" t="inlineStr">
        <is>
          <t>Partial</t>
        </is>
      </c>
      <c r="R461" s="29" t="inlineStr">
        <is>
          <t>confirmation exists in bounded flows, not as one unified AI-action system.</t>
        </is>
      </c>
      <c r="S461" s="29" t="inlineStr">
        <is>
          <t>Not found</t>
        </is>
      </c>
      <c r="T461" s="29" t="inlineStr"/>
      <c r="U461" s="29" t="inlineStr"/>
      <c r="V461" s="29" t="inlineStr"/>
      <c r="W461" s="29" t="inlineStr"/>
      <c r="X461" s="29" t="inlineStr"/>
      <c r="Y461" s="29" t="inlineStr"/>
      <c r="Z461" s="29" t="inlineStr"/>
      <c r="AA461" s="29" t="inlineStr"/>
      <c r="AB461" s="29" t="inlineStr"/>
      <c r="AC461" s="29" t="inlineStr"/>
      <c r="AD461" s="29" t="inlineStr"/>
      <c r="AE461" s="29" t="inlineStr">
        <is>
          <t>Unknown</t>
        </is>
      </c>
      <c r="AF461" s="29" t="inlineStr"/>
      <c r="AG461" s="29" t="inlineStr">
        <is>
          <t>Not started</t>
        </is>
      </c>
      <c r="AH461" s="29" t="inlineStr">
        <is>
          <t>No</t>
        </is>
      </c>
      <c r="AI461" s="29" t="inlineStr">
        <is>
          <t>No explicit confirmation gate before AI-driven publish, edit or scheduling was found. Draft-save and back-navigation confirmations do not satisfy this requirement.</t>
        </is>
      </c>
      <c r="AJ461" s="29" t="inlineStr">
        <is>
          <t>Source traced</t>
        </is>
      </c>
      <c r="AK461" s="29" t="inlineStr"/>
      <c r="AL461" s="29" t="inlineStr"/>
      <c r="AM461" s="29" t="inlineStr"/>
      <c r="AN461" s="29" t="inlineStr"/>
      <c r="AO461" s="29" t="inlineStr">
        <is>
          <t>8bc0dcb2a1da1b21368c5536aaeef829d587f316</t>
        </is>
      </c>
      <c r="AP461" s="29" t="inlineStr">
        <is>
          <t>Medium</t>
        </is>
      </c>
      <c r="AQ461" s="29" t="inlineStr">
        <is>
          <t>Not assessed</t>
        </is>
      </c>
      <c r="AR461" s="29" t="inlineStr">
        <is>
          <t>Not assessed</t>
        </is>
      </c>
      <c r="AS461" s="29" t="inlineStr">
        <is>
          <t>Fail</t>
        </is>
      </c>
      <c r="AT461" s="29" t="inlineStr">
        <is>
          <t>Not assessed</t>
        </is>
      </c>
      <c r="AU461" s="29" t="inlineStr">
        <is>
          <t>Not assessed</t>
        </is>
      </c>
      <c r="AV461" s="29" t="inlineStr">
        <is>
          <t>Not assessed</t>
        </is>
      </c>
      <c r="AW461" s="29" t="inlineStr">
        <is>
          <t>Not assessed</t>
        </is>
      </c>
      <c r="AX461" s="29" t="inlineStr">
        <is>
          <t>Not assessed</t>
        </is>
      </c>
      <c r="AY461" s="29" t="inlineStr">
        <is>
          <t>Not assessed</t>
        </is>
      </c>
      <c r="AZ461" s="29" t="inlineStr">
        <is>
          <t>Not assessed</t>
        </is>
      </c>
      <c r="BA461" s="29" t="inlineStr">
        <is>
          <t>Not assessed</t>
        </is>
      </c>
      <c r="BB461" s="29" t="inlineStr">
        <is>
          <t>Not assessed</t>
        </is>
      </c>
      <c r="BC461" s="29" t="inlineStr">
        <is>
          <t>Not assessed</t>
        </is>
      </c>
      <c r="BD461" s="29" t="inlineStr">
        <is>
          <t>Not assessed</t>
        </is>
      </c>
      <c r="BE461" s="29" t="inlineStr">
        <is>
          <t>Development required</t>
        </is>
      </c>
      <c r="BF461" s="29" t="inlineStr">
        <is>
          <t>No verified end-to-end implementation or release-candidate evidence.; Physical implementation is not complete against the stated requirement.; No explicit confirmation gate before AI-driven publish, edit or scheduling was found. Draft-save and back-navigation confirmations do not satisfy this requirement.</t>
        </is>
      </c>
      <c r="BG461" s="29" t="inlineStr">
        <is>
          <t>Confirm product acceptance criteria, trace any implementation outside the reviewed repository, and verify the final production build and configuration.</t>
        </is>
      </c>
      <c r="BH461" s="29" t="inlineStr"/>
      <c r="BI461" s="29" t="inlineStr"/>
      <c r="BJ461" s="29" t="inlineStr"/>
      <c r="BK461" s="29" t="inlineStr">
        <is>
          <t>Evidence reconciled against the reviewed source revision. No production approval is inferred from implementation or file presence.</t>
        </is>
      </c>
      <c r="BL461" s="29" t="inlineStr">
        <is>
          <t>2026-08-02</t>
        </is>
      </c>
    </row>
    <row r="462" ht="42" customHeight="1">
      <c r="A462" s="29" t="inlineStr">
        <is>
          <t>BLYP-23-001</t>
        </is>
      </c>
      <c r="B462" s="29" t="inlineStr"/>
      <c r="C462" s="29" t="inlineStr">
        <is>
          <t>AI permissions and action safety</t>
        </is>
      </c>
      <c r="D462" s="29" t="n">
        <v>23</v>
      </c>
      <c r="E462" s="29" t="n">
        <v>1</v>
      </c>
      <c r="F462" s="29" t="inlineStr">
        <is>
          <t>Feature</t>
        </is>
      </c>
      <c r="G462" s="29" t="inlineStr">
        <is>
          <t>Distinguish AI suggestions from actions</t>
        </is>
      </c>
      <c r="H462" s="29" t="inlineStr">
        <is>
          <t>Distinguish AI suggestions from actions</t>
        </is>
      </c>
      <c r="I462" s="29" t="inlineStr">
        <is>
          <t>/home/ubuntu/blyp_product_requirements.md :: Section 23 — AI permissions and action safety</t>
        </is>
      </c>
      <c r="J462" s="29" t="inlineStr">
        <is>
          <t>/home/ubuntu/BLYP_COMPLETE_FEATURE_LIST.md:586</t>
        </is>
      </c>
      <c r="K462" s="29" t="inlineStr">
        <is>
          <t>Required</t>
        </is>
      </c>
      <c r="L462" s="29" t="inlineStr">
        <is>
          <t>Applicable BLYP member</t>
        </is>
      </c>
      <c r="M462" s="29" t="inlineStr">
        <is>
          <t>BLYP mobile application and supporting production services</t>
        </is>
      </c>
      <c r="N462" s="29" t="inlineStr">
        <is>
          <t>Distinguish AI suggestions from actions</t>
        </is>
      </c>
      <c r="O462" s="29" t="inlineStr">
        <is>
          <t>Not explicitly defined in the product source; requires accountable product approval before production sign-off.</t>
        </is>
      </c>
      <c r="P462" s="29" t="inlineStr"/>
      <c r="Q462" s="29" t="inlineStr">
        <is>
          <t>Partial</t>
        </is>
      </c>
      <c r="R462" s="29" t="inlineStr">
        <is>
          <t>the bounded dispatcher prepares some actions without submitting them.</t>
        </is>
      </c>
      <c r="S462" s="29" t="inlineStr">
        <is>
          <t>Not found</t>
        </is>
      </c>
      <c r="T462" s="29" t="inlineStr">
        <is>
          <t>Unknown</t>
        </is>
      </c>
      <c r="U462" s="29" t="inlineStr">
        <is>
          <t>Unknown</t>
        </is>
      </c>
      <c r="V462" s="29" t="inlineStr">
        <is>
          <t>Unknown</t>
        </is>
      </c>
      <c r="W462" s="29" t="inlineStr">
        <is>
          <t>Unknown</t>
        </is>
      </c>
      <c r="X462" s="29" t="inlineStr">
        <is>
          <t>Unknown</t>
        </is>
      </c>
      <c r="Y462" s="29" t="inlineStr">
        <is>
          <t>Unknown</t>
        </is>
      </c>
      <c r="Z462" s="29" t="inlineStr">
        <is>
          <t>Unknown</t>
        </is>
      </c>
      <c r="AA462" s="29" t="inlineStr">
        <is>
          <t>Unknown</t>
        </is>
      </c>
      <c r="AB462" s="29" t="inlineStr">
        <is>
          <t>Unknown</t>
        </is>
      </c>
      <c r="AC462" s="29" t="inlineStr"/>
      <c r="AD462" s="29" t="inlineStr">
        <is>
          <t>Unknown</t>
        </is>
      </c>
      <c r="AE462" s="29" t="inlineStr">
        <is>
          <t>Unknown</t>
        </is>
      </c>
      <c r="AF462" s="29" t="inlineStr"/>
      <c r="AG462" s="29" t="inlineStr">
        <is>
          <t>Unknown</t>
        </is>
      </c>
      <c r="AH462" s="29" t="inlineStr">
        <is>
          <t>Unknown</t>
        </is>
      </c>
      <c r="AI462" s="29" t="inlineStr">
        <is>
          <t>Searched for AI action dispatcher, permissions, safety, cancel, reverse, private, dating, sensitive, uncertainty, invent. Found aiService.js which only handles text/hashtag generation.</t>
        </is>
      </c>
      <c r="AJ462" s="29" t="inlineStr">
        <is>
          <t>Not verified</t>
        </is>
      </c>
      <c r="AK462" s="29" t="inlineStr">
        <is>
          <t>EV-23-0001</t>
        </is>
      </c>
      <c r="AL462" s="29" t="inlineStr"/>
      <c r="AM462" s="29" t="inlineStr"/>
      <c r="AN462" s="29" t="inlineStr"/>
      <c r="AO462" s="29" t="inlineStr">
        <is>
          <t>8bc0dcb2a1da1b21368c5536aaeef829d587f316</t>
        </is>
      </c>
      <c r="AP462" s="29" t="inlineStr">
        <is>
          <t>High</t>
        </is>
      </c>
      <c r="AQ462" s="29" t="inlineStr">
        <is>
          <t>Not assessed</t>
        </is>
      </c>
      <c r="AR462" s="29" t="inlineStr">
        <is>
          <t>Not assessed</t>
        </is>
      </c>
      <c r="AS462" s="29" t="inlineStr">
        <is>
          <t>Not assessed</t>
        </is>
      </c>
      <c r="AT462" s="29" t="inlineStr">
        <is>
          <t>Not assessed</t>
        </is>
      </c>
      <c r="AU462" s="29" t="inlineStr">
        <is>
          <t>Not assessed</t>
        </is>
      </c>
      <c r="AV462" s="29" t="inlineStr">
        <is>
          <t>Not assessed</t>
        </is>
      </c>
      <c r="AW462" s="29" t="inlineStr">
        <is>
          <t>Not assessed</t>
        </is>
      </c>
      <c r="AX462" s="29" t="inlineStr">
        <is>
          <t>Not assessed</t>
        </is>
      </c>
      <c r="AY462" s="29" t="inlineStr">
        <is>
          <t>Not assessed</t>
        </is>
      </c>
      <c r="AZ462" s="29" t="inlineStr">
        <is>
          <t>Not assessed</t>
        </is>
      </c>
      <c r="BA462" s="29" t="inlineStr">
        <is>
          <t>Not assessed</t>
        </is>
      </c>
      <c r="BB462" s="29" t="inlineStr">
        <is>
          <t>Not assessed</t>
        </is>
      </c>
      <c r="BC462" s="29" t="inlineStr">
        <is>
          <t>Not assessed</t>
        </is>
      </c>
      <c r="BD462" s="29" t="inlineStr">
        <is>
          <t>Not assessed</t>
        </is>
      </c>
      <c r="BE462" s="29" t="inlineStr">
        <is>
          <t>Development required</t>
        </is>
      </c>
      <c r="BF462"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2" s="29" t="inlineStr">
        <is>
          <t>Not assessed</t>
        </is>
      </c>
      <c r="BH462" s="29" t="inlineStr"/>
      <c r="BI462" s="29" t="inlineStr"/>
      <c r="BJ462" s="29" t="inlineStr"/>
      <c r="BK462" s="29" t="inlineStr">
        <is>
          <t>Evidence reconciled against the reviewed source revision. No production approval is inferred from implementation or file presence.</t>
        </is>
      </c>
      <c r="BL462" s="29" t="inlineStr">
        <is>
          <t>2026-08-02</t>
        </is>
      </c>
    </row>
    <row r="463" ht="42" customHeight="1">
      <c r="A463" s="29" t="inlineStr">
        <is>
          <t>BLYP-23-002</t>
        </is>
      </c>
      <c r="B463" s="29" t="inlineStr"/>
      <c r="C463" s="29" t="inlineStr">
        <is>
          <t>AI permissions and action safety</t>
        </is>
      </c>
      <c r="D463" s="29" t="n">
        <v>23</v>
      </c>
      <c r="E463" s="29" t="n">
        <v>2</v>
      </c>
      <c r="F463" s="29" t="inlineStr">
        <is>
          <t>Feature</t>
        </is>
      </c>
      <c r="G463" s="29" t="inlineStr">
        <is>
          <t>Preview consequential actions</t>
        </is>
      </c>
      <c r="H463" s="29" t="inlineStr">
        <is>
          <t>Preview consequential actions</t>
        </is>
      </c>
      <c r="I463" s="29" t="inlineStr">
        <is>
          <t>/home/ubuntu/blyp_product_requirements.md :: Section 23 — AI permissions and action safety</t>
        </is>
      </c>
      <c r="J463" s="29" t="inlineStr">
        <is>
          <t>/home/ubuntu/BLYP_COMPLETE_FEATURE_LIST.md:587</t>
        </is>
      </c>
      <c r="K463" s="29" t="inlineStr">
        <is>
          <t>Required</t>
        </is>
      </c>
      <c r="L463" s="29" t="inlineStr">
        <is>
          <t>Applicable BLYP member</t>
        </is>
      </c>
      <c r="M463" s="29" t="inlineStr">
        <is>
          <t>BLYP mobile application and supporting production services</t>
        </is>
      </c>
      <c r="N463" s="29" t="inlineStr">
        <is>
          <t>Preview consequential actions</t>
        </is>
      </c>
      <c r="O463" s="29" t="inlineStr">
        <is>
          <t>Not explicitly defined in the product source; requires accountable product approval before production sign-off.</t>
        </is>
      </c>
      <c r="P463" s="29" t="inlineStr"/>
      <c r="Q463" s="29" t="inlineStr">
        <is>
          <t>Partial</t>
        </is>
      </c>
      <c r="R463" s="29" t="inlineStr"/>
      <c r="S463" s="29" t="inlineStr">
        <is>
          <t>Not found</t>
        </is>
      </c>
      <c r="T463" s="29" t="inlineStr">
        <is>
          <t>Unknown</t>
        </is>
      </c>
      <c r="U463" s="29" t="inlineStr">
        <is>
          <t>Unknown</t>
        </is>
      </c>
      <c r="V463" s="29" t="inlineStr">
        <is>
          <t>Unknown</t>
        </is>
      </c>
      <c r="W463" s="29" t="inlineStr">
        <is>
          <t>Unknown</t>
        </is>
      </c>
      <c r="X463" s="29" t="inlineStr">
        <is>
          <t>Unknown</t>
        </is>
      </c>
      <c r="Y463" s="29" t="inlineStr">
        <is>
          <t>Unknown</t>
        </is>
      </c>
      <c r="Z463" s="29" t="inlineStr">
        <is>
          <t>Unknown</t>
        </is>
      </c>
      <c r="AA463" s="29" t="inlineStr">
        <is>
          <t>Unknown</t>
        </is>
      </c>
      <c r="AB463" s="29" t="inlineStr">
        <is>
          <t>Unknown</t>
        </is>
      </c>
      <c r="AC463" s="29" t="inlineStr"/>
      <c r="AD463" s="29" t="inlineStr">
        <is>
          <t>Unknown</t>
        </is>
      </c>
      <c r="AE463" s="29" t="inlineStr">
        <is>
          <t>Unknown</t>
        </is>
      </c>
      <c r="AF463" s="29" t="inlineStr"/>
      <c r="AG463" s="29" t="inlineStr">
        <is>
          <t>Unknown</t>
        </is>
      </c>
      <c r="AH463" s="29" t="inlineStr">
        <is>
          <t>Unknown</t>
        </is>
      </c>
      <c r="AI463" s="29" t="inlineStr">
        <is>
          <t>Searched for AI action dispatcher, permissions, safety, cancel, reverse, private, dating, sensitive, uncertainty, invent. Found aiService.js which only handles text/hashtag generation.</t>
        </is>
      </c>
      <c r="AJ463" s="29" t="inlineStr">
        <is>
          <t>Not verified</t>
        </is>
      </c>
      <c r="AK463" s="29" t="inlineStr">
        <is>
          <t>EV-23-0001</t>
        </is>
      </c>
      <c r="AL463" s="29" t="inlineStr"/>
      <c r="AM463" s="29" t="inlineStr"/>
      <c r="AN463" s="29" t="inlineStr"/>
      <c r="AO463" s="29" t="inlineStr">
        <is>
          <t>8bc0dcb2a1da1b21368c5536aaeef829d587f316</t>
        </is>
      </c>
      <c r="AP463" s="29" t="inlineStr">
        <is>
          <t>High</t>
        </is>
      </c>
      <c r="AQ463" s="29" t="inlineStr">
        <is>
          <t>Not assessed</t>
        </is>
      </c>
      <c r="AR463" s="29" t="inlineStr">
        <is>
          <t>Not assessed</t>
        </is>
      </c>
      <c r="AS463" s="29" t="inlineStr">
        <is>
          <t>Not assessed</t>
        </is>
      </c>
      <c r="AT463" s="29" t="inlineStr">
        <is>
          <t>Not assessed</t>
        </is>
      </c>
      <c r="AU463" s="29" t="inlineStr">
        <is>
          <t>Not assessed</t>
        </is>
      </c>
      <c r="AV463" s="29" t="inlineStr">
        <is>
          <t>Not assessed</t>
        </is>
      </c>
      <c r="AW463" s="29" t="inlineStr">
        <is>
          <t>Not assessed</t>
        </is>
      </c>
      <c r="AX463" s="29" t="inlineStr">
        <is>
          <t>Not assessed</t>
        </is>
      </c>
      <c r="AY463" s="29" t="inlineStr">
        <is>
          <t>Not assessed</t>
        </is>
      </c>
      <c r="AZ463" s="29" t="inlineStr">
        <is>
          <t>Not assessed</t>
        </is>
      </c>
      <c r="BA463" s="29" t="inlineStr">
        <is>
          <t>Not assessed</t>
        </is>
      </c>
      <c r="BB463" s="29" t="inlineStr">
        <is>
          <t>Not assessed</t>
        </is>
      </c>
      <c r="BC463" s="29" t="inlineStr">
        <is>
          <t>Not assessed</t>
        </is>
      </c>
      <c r="BD463" s="29" t="inlineStr">
        <is>
          <t>Not assessed</t>
        </is>
      </c>
      <c r="BE463" s="29" t="inlineStr">
        <is>
          <t>Development required</t>
        </is>
      </c>
      <c r="BF463"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3" s="29" t="inlineStr">
        <is>
          <t>Not assessed</t>
        </is>
      </c>
      <c r="BH463" s="29" t="inlineStr"/>
      <c r="BI463" s="29" t="inlineStr"/>
      <c r="BJ463" s="29" t="inlineStr"/>
      <c r="BK463" s="29" t="inlineStr">
        <is>
          <t>Evidence reconciled against the reviewed source revision. No production approval is inferred from implementation or file presence.</t>
        </is>
      </c>
      <c r="BL463" s="29" t="inlineStr">
        <is>
          <t>2026-08-02</t>
        </is>
      </c>
    </row>
    <row r="464" ht="42" customHeight="1">
      <c r="A464" s="29" t="inlineStr">
        <is>
          <t>BLYP-23-003</t>
        </is>
      </c>
      <c r="B464" s="29" t="inlineStr"/>
      <c r="C464" s="29" t="inlineStr">
        <is>
          <t>AI permissions and action safety</t>
        </is>
      </c>
      <c r="D464" s="29" t="n">
        <v>23</v>
      </c>
      <c r="E464" s="29" t="n">
        <v>3</v>
      </c>
      <c r="F464" s="29" t="inlineStr">
        <is>
          <t>Feature</t>
        </is>
      </c>
      <c r="G464" s="29" t="inlineStr">
        <is>
          <t>Confirm before publishing</t>
        </is>
      </c>
      <c r="H464" s="29" t="inlineStr">
        <is>
          <t>Confirm before publishing</t>
        </is>
      </c>
      <c r="I464" s="29" t="inlineStr">
        <is>
          <t>/home/ubuntu/blyp_product_requirements.md :: Section 23 — AI permissions and action safety</t>
        </is>
      </c>
      <c r="J464" s="29" t="inlineStr">
        <is>
          <t>/home/ubuntu/BLYP_COMPLETE_FEATURE_LIST.md:588</t>
        </is>
      </c>
      <c r="K464" s="29" t="inlineStr">
        <is>
          <t>Required</t>
        </is>
      </c>
      <c r="L464" s="29" t="inlineStr">
        <is>
          <t>Authenticated creator or host</t>
        </is>
      </c>
      <c r="M464" s="29" t="inlineStr">
        <is>
          <t>BLYP mobile application and supporting production services</t>
        </is>
      </c>
      <c r="N464" s="29" t="inlineStr">
        <is>
          <t>Confirm before publishing</t>
        </is>
      </c>
      <c r="O464" s="29" t="inlineStr">
        <is>
          <t>Not explicitly defined in the product source; requires accountable product approval before production sign-off.</t>
        </is>
      </c>
      <c r="P464" s="29" t="inlineStr"/>
      <c r="Q464" s="29" t="inlineStr">
        <is>
          <t>Partial</t>
        </is>
      </c>
      <c r="R464" s="29" t="inlineStr"/>
      <c r="S464" s="29" t="inlineStr">
        <is>
          <t>Not found</t>
        </is>
      </c>
      <c r="T464" s="29" t="inlineStr">
        <is>
          <t>Unknown</t>
        </is>
      </c>
      <c r="U464" s="29" t="inlineStr">
        <is>
          <t>Unknown</t>
        </is>
      </c>
      <c r="V464" s="29" t="inlineStr">
        <is>
          <t>Unknown</t>
        </is>
      </c>
      <c r="W464" s="29" t="inlineStr">
        <is>
          <t>Unknown</t>
        </is>
      </c>
      <c r="X464" s="29" t="inlineStr">
        <is>
          <t>Unknown</t>
        </is>
      </c>
      <c r="Y464" s="29" t="inlineStr">
        <is>
          <t>Unknown</t>
        </is>
      </c>
      <c r="Z464" s="29" t="inlineStr">
        <is>
          <t>Unknown</t>
        </is>
      </c>
      <c r="AA464" s="29" t="inlineStr">
        <is>
          <t>Unknown</t>
        </is>
      </c>
      <c r="AB464" s="29" t="inlineStr">
        <is>
          <t>Unknown</t>
        </is>
      </c>
      <c r="AC464" s="29" t="inlineStr"/>
      <c r="AD464" s="29" t="inlineStr">
        <is>
          <t>Unknown</t>
        </is>
      </c>
      <c r="AE464" s="29" t="inlineStr">
        <is>
          <t>Unknown</t>
        </is>
      </c>
      <c r="AF464" s="29" t="inlineStr"/>
      <c r="AG464" s="29" t="inlineStr">
        <is>
          <t>Unknown</t>
        </is>
      </c>
      <c r="AH464" s="29" t="inlineStr">
        <is>
          <t>Unknown</t>
        </is>
      </c>
      <c r="AI464" s="29" t="inlineStr">
        <is>
          <t>Searched for AI action dispatcher, permissions, safety, cancel, reverse, private, dating, sensitive, uncertainty, invent. Found aiService.js which only handles text/hashtag generation.</t>
        </is>
      </c>
      <c r="AJ464" s="29" t="inlineStr">
        <is>
          <t>Not verified</t>
        </is>
      </c>
      <c r="AK464" s="29" t="inlineStr">
        <is>
          <t>EV-23-0001</t>
        </is>
      </c>
      <c r="AL464" s="29" t="inlineStr"/>
      <c r="AM464" s="29" t="inlineStr"/>
      <c r="AN464" s="29" t="inlineStr"/>
      <c r="AO464" s="29" t="inlineStr">
        <is>
          <t>8bc0dcb2a1da1b21368c5536aaeef829d587f316</t>
        </is>
      </c>
      <c r="AP464" s="29" t="inlineStr">
        <is>
          <t>High</t>
        </is>
      </c>
      <c r="AQ464" s="29" t="inlineStr">
        <is>
          <t>Not assessed</t>
        </is>
      </c>
      <c r="AR464" s="29" t="inlineStr">
        <is>
          <t>Not assessed</t>
        </is>
      </c>
      <c r="AS464" s="29" t="inlineStr">
        <is>
          <t>Not assessed</t>
        </is>
      </c>
      <c r="AT464" s="29" t="inlineStr">
        <is>
          <t>Not assessed</t>
        </is>
      </c>
      <c r="AU464" s="29" t="inlineStr">
        <is>
          <t>Not assessed</t>
        </is>
      </c>
      <c r="AV464" s="29" t="inlineStr">
        <is>
          <t>Not assessed</t>
        </is>
      </c>
      <c r="AW464" s="29" t="inlineStr">
        <is>
          <t>Not assessed</t>
        </is>
      </c>
      <c r="AX464" s="29" t="inlineStr">
        <is>
          <t>Not assessed</t>
        </is>
      </c>
      <c r="AY464" s="29" t="inlineStr">
        <is>
          <t>Not assessed</t>
        </is>
      </c>
      <c r="AZ464" s="29" t="inlineStr">
        <is>
          <t>Not assessed</t>
        </is>
      </c>
      <c r="BA464" s="29" t="inlineStr">
        <is>
          <t>Not assessed</t>
        </is>
      </c>
      <c r="BB464" s="29" t="inlineStr">
        <is>
          <t>Not assessed</t>
        </is>
      </c>
      <c r="BC464" s="29" t="inlineStr">
        <is>
          <t>Not assessed</t>
        </is>
      </c>
      <c r="BD464" s="29" t="inlineStr">
        <is>
          <t>Not assessed</t>
        </is>
      </c>
      <c r="BE464" s="29" t="inlineStr">
        <is>
          <t>Development required</t>
        </is>
      </c>
      <c r="BF464"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4" s="29" t="inlineStr">
        <is>
          <t>Not assessed</t>
        </is>
      </c>
      <c r="BH464" s="29" t="inlineStr"/>
      <c r="BI464" s="29" t="inlineStr"/>
      <c r="BJ464" s="29" t="inlineStr"/>
      <c r="BK464" s="29" t="inlineStr">
        <is>
          <t>Evidence reconciled against the reviewed source revision. No production approval is inferred from implementation or file presence.</t>
        </is>
      </c>
      <c r="BL464" s="29" t="inlineStr">
        <is>
          <t>2026-08-02</t>
        </is>
      </c>
    </row>
    <row r="465" ht="42" customHeight="1">
      <c r="A465" s="29" t="inlineStr">
        <is>
          <t>BLYP-23-004</t>
        </is>
      </c>
      <c r="B465" s="29" t="inlineStr"/>
      <c r="C465" s="29" t="inlineStr">
        <is>
          <t>AI permissions and action safety</t>
        </is>
      </c>
      <c r="D465" s="29" t="n">
        <v>23</v>
      </c>
      <c r="E465" s="29" t="n">
        <v>4</v>
      </c>
      <c r="F465" s="29" t="inlineStr">
        <is>
          <t>Feature</t>
        </is>
      </c>
      <c r="G465" s="29" t="inlineStr">
        <is>
          <t>Confirm before messaging</t>
        </is>
      </c>
      <c r="H465" s="29" t="inlineStr">
        <is>
          <t>Confirm before messaging</t>
        </is>
      </c>
      <c r="I465" s="29" t="inlineStr">
        <is>
          <t>/home/ubuntu/blyp_product_requirements.md :: Section 23 — AI permissions and action safety</t>
        </is>
      </c>
      <c r="J465" s="29" t="inlineStr">
        <is>
          <t>/home/ubuntu/BLYP_COMPLETE_FEATURE_LIST.md:589</t>
        </is>
      </c>
      <c r="K465" s="29" t="inlineStr">
        <is>
          <t>Required</t>
        </is>
      </c>
      <c r="L465" s="29" t="inlineStr">
        <is>
          <t>Applicable BLYP member</t>
        </is>
      </c>
      <c r="M465" s="29" t="inlineStr">
        <is>
          <t>BLYP mobile application and supporting production services</t>
        </is>
      </c>
      <c r="N465" s="29" t="inlineStr">
        <is>
          <t>Confirm before messaging</t>
        </is>
      </c>
      <c r="O465" s="29" t="inlineStr">
        <is>
          <t>Not explicitly defined in the product source; requires accountable product approval before production sign-off.</t>
        </is>
      </c>
      <c r="P465" s="29" t="inlineStr"/>
      <c r="Q465" s="29" t="inlineStr">
        <is>
          <t>No evidence</t>
        </is>
      </c>
      <c r="R465" s="29" t="inlineStr"/>
      <c r="S465" s="29" t="inlineStr">
        <is>
          <t>Not found</t>
        </is>
      </c>
      <c r="T465" s="29" t="inlineStr">
        <is>
          <t>Unknown</t>
        </is>
      </c>
      <c r="U465" s="29" t="inlineStr">
        <is>
          <t>Unknown</t>
        </is>
      </c>
      <c r="V465" s="29" t="inlineStr">
        <is>
          <t>Unknown</t>
        </is>
      </c>
      <c r="W465" s="29" t="inlineStr">
        <is>
          <t>Unknown</t>
        </is>
      </c>
      <c r="X465" s="29" t="inlineStr">
        <is>
          <t>Unknown</t>
        </is>
      </c>
      <c r="Y465" s="29" t="inlineStr">
        <is>
          <t>Unknown</t>
        </is>
      </c>
      <c r="Z465" s="29" t="inlineStr">
        <is>
          <t>Unknown</t>
        </is>
      </c>
      <c r="AA465" s="29" t="inlineStr">
        <is>
          <t>Unknown</t>
        </is>
      </c>
      <c r="AB465" s="29" t="inlineStr">
        <is>
          <t>Unknown</t>
        </is>
      </c>
      <c r="AC465" s="29" t="inlineStr"/>
      <c r="AD465" s="29" t="inlineStr">
        <is>
          <t>Unknown</t>
        </is>
      </c>
      <c r="AE465" s="29" t="inlineStr">
        <is>
          <t>Unknown</t>
        </is>
      </c>
      <c r="AF465" s="29" t="inlineStr"/>
      <c r="AG465" s="29" t="inlineStr">
        <is>
          <t>Unknown</t>
        </is>
      </c>
      <c r="AH465" s="29" t="inlineStr">
        <is>
          <t>Unknown</t>
        </is>
      </c>
      <c r="AI465" s="29" t="inlineStr">
        <is>
          <t>Searched for AI action dispatcher, permissions, safety, cancel, reverse, private, dating, sensitive, uncertainty, invent. Found aiService.js which only handles text/hashtag generation.</t>
        </is>
      </c>
      <c r="AJ465" s="29" t="inlineStr">
        <is>
          <t>Not verified</t>
        </is>
      </c>
      <c r="AK465" s="29" t="inlineStr">
        <is>
          <t>EV-23-0001</t>
        </is>
      </c>
      <c r="AL465" s="29" t="inlineStr"/>
      <c r="AM465" s="29" t="inlineStr"/>
      <c r="AN465" s="29" t="inlineStr"/>
      <c r="AO465" s="29" t="inlineStr">
        <is>
          <t>8bc0dcb2a1da1b21368c5536aaeef829d587f316</t>
        </is>
      </c>
      <c r="AP465" s="29" t="inlineStr">
        <is>
          <t>High</t>
        </is>
      </c>
      <c r="AQ465" s="29" t="inlineStr">
        <is>
          <t>Not assessed</t>
        </is>
      </c>
      <c r="AR465" s="29" t="inlineStr">
        <is>
          <t>Not assessed</t>
        </is>
      </c>
      <c r="AS465" s="29" t="inlineStr">
        <is>
          <t>Not assessed</t>
        </is>
      </c>
      <c r="AT465" s="29" t="inlineStr">
        <is>
          <t>Not assessed</t>
        </is>
      </c>
      <c r="AU465" s="29" t="inlineStr">
        <is>
          <t>Not assessed</t>
        </is>
      </c>
      <c r="AV465" s="29" t="inlineStr">
        <is>
          <t>Not assessed</t>
        </is>
      </c>
      <c r="AW465" s="29" t="inlineStr">
        <is>
          <t>Not assessed</t>
        </is>
      </c>
      <c r="AX465" s="29" t="inlineStr">
        <is>
          <t>Not assessed</t>
        </is>
      </c>
      <c r="AY465" s="29" t="inlineStr">
        <is>
          <t>Not assessed</t>
        </is>
      </c>
      <c r="AZ465" s="29" t="inlineStr">
        <is>
          <t>Not assessed</t>
        </is>
      </c>
      <c r="BA465" s="29" t="inlineStr">
        <is>
          <t>Not assessed</t>
        </is>
      </c>
      <c r="BB465" s="29" t="inlineStr">
        <is>
          <t>Not assessed</t>
        </is>
      </c>
      <c r="BC465" s="29" t="inlineStr">
        <is>
          <t>Not assessed</t>
        </is>
      </c>
      <c r="BD465" s="29" t="inlineStr">
        <is>
          <t>Not assessed</t>
        </is>
      </c>
      <c r="BE465" s="29" t="inlineStr">
        <is>
          <t>Development required</t>
        </is>
      </c>
      <c r="BF465"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5" s="29" t="inlineStr">
        <is>
          <t>Not assessed</t>
        </is>
      </c>
      <c r="BH465" s="29" t="inlineStr"/>
      <c r="BI465" s="29" t="inlineStr"/>
      <c r="BJ465" s="29" t="inlineStr"/>
      <c r="BK465" s="29" t="inlineStr">
        <is>
          <t>Evidence reconciled against the reviewed source revision. No production approval is inferred from implementation or file presence.</t>
        </is>
      </c>
      <c r="BL465" s="29" t="inlineStr">
        <is>
          <t>2026-08-02</t>
        </is>
      </c>
    </row>
    <row r="466" ht="42" customHeight="1">
      <c r="A466" s="29" t="inlineStr">
        <is>
          <t>BLYP-23-005</t>
        </is>
      </c>
      <c r="B466" s="29" t="inlineStr"/>
      <c r="C466" s="29" t="inlineStr">
        <is>
          <t>AI permissions and action safety</t>
        </is>
      </c>
      <c r="D466" s="29" t="n">
        <v>23</v>
      </c>
      <c r="E466" s="29" t="n">
        <v>5</v>
      </c>
      <c r="F466" s="29" t="inlineStr">
        <is>
          <t>Feature</t>
        </is>
      </c>
      <c r="G466" s="29" t="inlineStr">
        <is>
          <t>Confirm before spending coins</t>
        </is>
      </c>
      <c r="H466" s="29" t="inlineStr">
        <is>
          <t>Confirm before spending coins</t>
        </is>
      </c>
      <c r="I466" s="29" t="inlineStr">
        <is>
          <t>/home/ubuntu/blyp_product_requirements.md :: Section 23 — AI permissions and action safety</t>
        </is>
      </c>
      <c r="J466" s="29" t="inlineStr">
        <is>
          <t>/home/ubuntu/BLYP_COMPLETE_FEATURE_LIST.md:590</t>
        </is>
      </c>
      <c r="K466" s="29" t="inlineStr">
        <is>
          <t>Required</t>
        </is>
      </c>
      <c r="L466" s="29" t="inlineStr">
        <is>
          <t>Applicable BLYP member</t>
        </is>
      </c>
      <c r="M466" s="29" t="inlineStr">
        <is>
          <t>BLYP mobile application and supporting production services</t>
        </is>
      </c>
      <c r="N466" s="29" t="inlineStr">
        <is>
          <t>Confirm before spending coins</t>
        </is>
      </c>
      <c r="O466" s="29" t="inlineStr">
        <is>
          <t>Not explicitly defined in the product source; requires accountable product approval before production sign-off.</t>
        </is>
      </c>
      <c r="P466" s="29" t="inlineStr"/>
      <c r="Q466" s="29" t="inlineStr">
        <is>
          <t>No evidence</t>
        </is>
      </c>
      <c r="R466" s="29" t="inlineStr"/>
      <c r="S466" s="29" t="inlineStr">
        <is>
          <t>Not found</t>
        </is>
      </c>
      <c r="T466" s="29" t="inlineStr">
        <is>
          <t>Unknown</t>
        </is>
      </c>
      <c r="U466" s="29" t="inlineStr">
        <is>
          <t>Unknown</t>
        </is>
      </c>
      <c r="V466" s="29" t="inlineStr">
        <is>
          <t>Unknown</t>
        </is>
      </c>
      <c r="W466" s="29" t="inlineStr">
        <is>
          <t>Unknown</t>
        </is>
      </c>
      <c r="X466" s="29" t="inlineStr">
        <is>
          <t>Unknown</t>
        </is>
      </c>
      <c r="Y466" s="29" t="inlineStr">
        <is>
          <t>Unknown</t>
        </is>
      </c>
      <c r="Z466" s="29" t="inlineStr">
        <is>
          <t>Unknown</t>
        </is>
      </c>
      <c r="AA466" s="29" t="inlineStr">
        <is>
          <t>Unknown</t>
        </is>
      </c>
      <c r="AB466" s="29" t="inlineStr">
        <is>
          <t>Unknown</t>
        </is>
      </c>
      <c r="AC466" s="29" t="inlineStr"/>
      <c r="AD466" s="29" t="inlineStr">
        <is>
          <t>Unknown</t>
        </is>
      </c>
      <c r="AE466" s="29" t="inlineStr">
        <is>
          <t>Unknown</t>
        </is>
      </c>
      <c r="AF466" s="29" t="inlineStr"/>
      <c r="AG466" s="29" t="inlineStr">
        <is>
          <t>Unknown</t>
        </is>
      </c>
      <c r="AH466" s="29" t="inlineStr">
        <is>
          <t>Unknown</t>
        </is>
      </c>
      <c r="AI466" s="29" t="inlineStr">
        <is>
          <t>Searched for AI action dispatcher, permissions, safety, cancel, reverse, private, dating, sensitive, uncertainty, invent. Found aiService.js which only handles text/hashtag generation.</t>
        </is>
      </c>
      <c r="AJ466" s="29" t="inlineStr">
        <is>
          <t>Not verified</t>
        </is>
      </c>
      <c r="AK466" s="29" t="inlineStr">
        <is>
          <t>EV-23-0001</t>
        </is>
      </c>
      <c r="AL466" s="29" t="inlineStr"/>
      <c r="AM466" s="29" t="inlineStr"/>
      <c r="AN466" s="29" t="inlineStr"/>
      <c r="AO466" s="29" t="inlineStr">
        <is>
          <t>8bc0dcb2a1da1b21368c5536aaeef829d587f316</t>
        </is>
      </c>
      <c r="AP466" s="29" t="inlineStr">
        <is>
          <t>High</t>
        </is>
      </c>
      <c r="AQ466" s="29" t="inlineStr">
        <is>
          <t>Not assessed</t>
        </is>
      </c>
      <c r="AR466" s="29" t="inlineStr">
        <is>
          <t>Not assessed</t>
        </is>
      </c>
      <c r="AS466" s="29" t="inlineStr">
        <is>
          <t>Not assessed</t>
        </is>
      </c>
      <c r="AT466" s="29" t="inlineStr">
        <is>
          <t>Not assessed</t>
        </is>
      </c>
      <c r="AU466" s="29" t="inlineStr">
        <is>
          <t>Not assessed</t>
        </is>
      </c>
      <c r="AV466" s="29" t="inlineStr">
        <is>
          <t>Not assessed</t>
        </is>
      </c>
      <c r="AW466" s="29" t="inlineStr">
        <is>
          <t>Not assessed</t>
        </is>
      </c>
      <c r="AX466" s="29" t="inlineStr">
        <is>
          <t>Not assessed</t>
        </is>
      </c>
      <c r="AY466" s="29" t="inlineStr">
        <is>
          <t>Not assessed</t>
        </is>
      </c>
      <c r="AZ466" s="29" t="inlineStr">
        <is>
          <t>Not assessed</t>
        </is>
      </c>
      <c r="BA466" s="29" t="inlineStr">
        <is>
          <t>Not assessed</t>
        </is>
      </c>
      <c r="BB466" s="29" t="inlineStr">
        <is>
          <t>Not assessed</t>
        </is>
      </c>
      <c r="BC466" s="29" t="inlineStr">
        <is>
          <t>Not assessed</t>
        </is>
      </c>
      <c r="BD466" s="29" t="inlineStr">
        <is>
          <t>Not assessed</t>
        </is>
      </c>
      <c r="BE466" s="29" t="inlineStr">
        <is>
          <t>Development required</t>
        </is>
      </c>
      <c r="BF466"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6" s="29" t="inlineStr">
        <is>
          <t>Not assessed</t>
        </is>
      </c>
      <c r="BH466" s="29" t="inlineStr"/>
      <c r="BI466" s="29" t="inlineStr"/>
      <c r="BJ466" s="29" t="inlineStr"/>
      <c r="BK466" s="29" t="inlineStr">
        <is>
          <t>Evidence reconciled against the reviewed source revision. No production approval is inferred from implementation or file presence.</t>
        </is>
      </c>
      <c r="BL466" s="29" t="inlineStr">
        <is>
          <t>2026-08-02</t>
        </is>
      </c>
    </row>
    <row r="467" ht="42" customHeight="1">
      <c r="A467" s="29" t="inlineStr">
        <is>
          <t>BLYP-23-006</t>
        </is>
      </c>
      <c r="B467" s="29" t="inlineStr"/>
      <c r="C467" s="29" t="inlineStr">
        <is>
          <t>AI permissions and action safety</t>
        </is>
      </c>
      <c r="D467" s="29" t="n">
        <v>23</v>
      </c>
      <c r="E467" s="29" t="n">
        <v>6</v>
      </c>
      <c r="F467" s="29" t="inlineStr">
        <is>
          <t>Feature</t>
        </is>
      </c>
      <c r="G467" s="29" t="inlineStr">
        <is>
          <t>Confirm before changing settings</t>
        </is>
      </c>
      <c r="H467" s="29" t="inlineStr">
        <is>
          <t>Confirm before changing settings</t>
        </is>
      </c>
      <c r="I467" s="29" t="inlineStr">
        <is>
          <t>/home/ubuntu/blyp_product_requirements.md :: Section 23 — AI permissions and action safety</t>
        </is>
      </c>
      <c r="J467" s="29" t="inlineStr">
        <is>
          <t>/home/ubuntu/BLYP_COMPLETE_FEATURE_LIST.md:591</t>
        </is>
      </c>
      <c r="K467" s="29" t="inlineStr">
        <is>
          <t>Required</t>
        </is>
      </c>
      <c r="L467" s="29" t="inlineStr">
        <is>
          <t>Applicable BLYP member</t>
        </is>
      </c>
      <c r="M467" s="29" t="inlineStr">
        <is>
          <t>BLYP mobile application and supporting production services</t>
        </is>
      </c>
      <c r="N467" s="29" t="inlineStr">
        <is>
          <t>Confirm before changing settings</t>
        </is>
      </c>
      <c r="O467" s="29" t="inlineStr">
        <is>
          <t>Not explicitly defined in the product source; requires accountable product approval before production sign-off.</t>
        </is>
      </c>
      <c r="P467" s="29" t="inlineStr"/>
      <c r="Q467" s="29" t="inlineStr">
        <is>
          <t>No evidence</t>
        </is>
      </c>
      <c r="R467" s="29" t="inlineStr"/>
      <c r="S467" s="29" t="inlineStr">
        <is>
          <t>Not found</t>
        </is>
      </c>
      <c r="T467" s="29" t="inlineStr">
        <is>
          <t>Unknown</t>
        </is>
      </c>
      <c r="U467" s="29" t="inlineStr">
        <is>
          <t>Unknown</t>
        </is>
      </c>
      <c r="V467" s="29" t="inlineStr">
        <is>
          <t>Unknown</t>
        </is>
      </c>
      <c r="W467" s="29" t="inlineStr">
        <is>
          <t>Unknown</t>
        </is>
      </c>
      <c r="X467" s="29" t="inlineStr">
        <is>
          <t>Unknown</t>
        </is>
      </c>
      <c r="Y467" s="29" t="inlineStr">
        <is>
          <t>Unknown</t>
        </is>
      </c>
      <c r="Z467" s="29" t="inlineStr">
        <is>
          <t>Unknown</t>
        </is>
      </c>
      <c r="AA467" s="29" t="inlineStr">
        <is>
          <t>Unknown</t>
        </is>
      </c>
      <c r="AB467" s="29" t="inlineStr">
        <is>
          <t>Unknown</t>
        </is>
      </c>
      <c r="AC467" s="29" t="inlineStr"/>
      <c r="AD467" s="29" t="inlineStr">
        <is>
          <t>Unknown</t>
        </is>
      </c>
      <c r="AE467" s="29" t="inlineStr">
        <is>
          <t>Unknown</t>
        </is>
      </c>
      <c r="AF467" s="29" t="inlineStr"/>
      <c r="AG467" s="29" t="inlineStr">
        <is>
          <t>Unknown</t>
        </is>
      </c>
      <c r="AH467" s="29" t="inlineStr">
        <is>
          <t>Unknown</t>
        </is>
      </c>
      <c r="AI467" s="29" t="inlineStr">
        <is>
          <t>Searched for AI action dispatcher, permissions, safety, cancel, reverse, private, dating, sensitive, uncertainty, invent. Found aiService.js which only handles text/hashtag generation.</t>
        </is>
      </c>
      <c r="AJ467" s="29" t="inlineStr">
        <is>
          <t>Not verified</t>
        </is>
      </c>
      <c r="AK467" s="29" t="inlineStr">
        <is>
          <t>EV-23-0001</t>
        </is>
      </c>
      <c r="AL467" s="29" t="inlineStr"/>
      <c r="AM467" s="29" t="inlineStr"/>
      <c r="AN467" s="29" t="inlineStr"/>
      <c r="AO467" s="29" t="inlineStr">
        <is>
          <t>8bc0dcb2a1da1b21368c5536aaeef829d587f316</t>
        </is>
      </c>
      <c r="AP467" s="29" t="inlineStr">
        <is>
          <t>High</t>
        </is>
      </c>
      <c r="AQ467" s="29" t="inlineStr">
        <is>
          <t>Not assessed</t>
        </is>
      </c>
      <c r="AR467" s="29" t="inlineStr">
        <is>
          <t>Not assessed</t>
        </is>
      </c>
      <c r="AS467" s="29" t="inlineStr">
        <is>
          <t>Not assessed</t>
        </is>
      </c>
      <c r="AT467" s="29" t="inlineStr">
        <is>
          <t>Not assessed</t>
        </is>
      </c>
      <c r="AU467" s="29" t="inlineStr">
        <is>
          <t>Not assessed</t>
        </is>
      </c>
      <c r="AV467" s="29" t="inlineStr">
        <is>
          <t>Not assessed</t>
        </is>
      </c>
      <c r="AW467" s="29" t="inlineStr">
        <is>
          <t>Not assessed</t>
        </is>
      </c>
      <c r="AX467" s="29" t="inlineStr">
        <is>
          <t>Not assessed</t>
        </is>
      </c>
      <c r="AY467" s="29" t="inlineStr">
        <is>
          <t>Not assessed</t>
        </is>
      </c>
      <c r="AZ467" s="29" t="inlineStr">
        <is>
          <t>Not assessed</t>
        </is>
      </c>
      <c r="BA467" s="29" t="inlineStr">
        <is>
          <t>Not assessed</t>
        </is>
      </c>
      <c r="BB467" s="29" t="inlineStr">
        <is>
          <t>Not assessed</t>
        </is>
      </c>
      <c r="BC467" s="29" t="inlineStr">
        <is>
          <t>Not assessed</t>
        </is>
      </c>
      <c r="BD467" s="29" t="inlineStr">
        <is>
          <t>Not assessed</t>
        </is>
      </c>
      <c r="BE467" s="29" t="inlineStr">
        <is>
          <t>Development required</t>
        </is>
      </c>
      <c r="BF467"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7" s="29" t="inlineStr">
        <is>
          <t>Not assessed</t>
        </is>
      </c>
      <c r="BH467" s="29" t="inlineStr"/>
      <c r="BI467" s="29" t="inlineStr"/>
      <c r="BJ467" s="29" t="inlineStr"/>
      <c r="BK467" s="29" t="inlineStr">
        <is>
          <t>Evidence reconciled against the reviewed source revision. No production approval is inferred from implementation or file presence.</t>
        </is>
      </c>
      <c r="BL467" s="29" t="inlineStr">
        <is>
          <t>2026-08-02</t>
        </is>
      </c>
    </row>
    <row r="468" ht="42" customHeight="1">
      <c r="A468" s="29" t="inlineStr">
        <is>
          <t>BLYP-23-007</t>
        </is>
      </c>
      <c r="B468" s="29" t="inlineStr"/>
      <c r="C468" s="29" t="inlineStr">
        <is>
          <t>AI permissions and action safety</t>
        </is>
      </c>
      <c r="D468" s="29" t="n">
        <v>23</v>
      </c>
      <c r="E468" s="29" t="n">
        <v>7</v>
      </c>
      <c r="F468" s="29" t="inlineStr">
        <is>
          <t>Feature</t>
        </is>
      </c>
      <c r="G468" s="29" t="inlineStr">
        <is>
          <t>Confirm before joining or leaving Teams</t>
        </is>
      </c>
      <c r="H468" s="29" t="inlineStr">
        <is>
          <t>Confirm before joining or leaving Teams</t>
        </is>
      </c>
      <c r="I468" s="29" t="inlineStr">
        <is>
          <t>/home/ubuntu/blyp_product_requirements.md :: Section 23 — AI permissions and action safety</t>
        </is>
      </c>
      <c r="J468" s="29" t="inlineStr">
        <is>
          <t>/home/ubuntu/BLYP_COMPLETE_FEATURE_LIST.md:592</t>
        </is>
      </c>
      <c r="K468" s="29" t="inlineStr">
        <is>
          <t>Required</t>
        </is>
      </c>
      <c r="L468" s="29" t="inlineStr">
        <is>
          <t>Applicable BLYP member</t>
        </is>
      </c>
      <c r="M468" s="29" t="inlineStr">
        <is>
          <t>BLYP mobile application and supporting production services</t>
        </is>
      </c>
      <c r="N468" s="29" t="inlineStr">
        <is>
          <t>Confirm before joining or leaving Teams</t>
        </is>
      </c>
      <c r="O468" s="29" t="inlineStr">
        <is>
          <t>Not explicitly defined in the product source; requires accountable product approval before production sign-off.</t>
        </is>
      </c>
      <c r="P468" s="29" t="inlineStr"/>
      <c r="Q468" s="29" t="inlineStr">
        <is>
          <t>No evidence</t>
        </is>
      </c>
      <c r="R468" s="29" t="inlineStr"/>
      <c r="S468" s="29" t="inlineStr">
        <is>
          <t>Not found</t>
        </is>
      </c>
      <c r="T468" s="29" t="inlineStr">
        <is>
          <t>Unknown</t>
        </is>
      </c>
      <c r="U468" s="29" t="inlineStr">
        <is>
          <t>Unknown</t>
        </is>
      </c>
      <c r="V468" s="29" t="inlineStr">
        <is>
          <t>Unknown</t>
        </is>
      </c>
      <c r="W468" s="29" t="inlineStr">
        <is>
          <t>Unknown</t>
        </is>
      </c>
      <c r="X468" s="29" t="inlineStr">
        <is>
          <t>Unknown</t>
        </is>
      </c>
      <c r="Y468" s="29" t="inlineStr">
        <is>
          <t>Unknown</t>
        </is>
      </c>
      <c r="Z468" s="29" t="inlineStr">
        <is>
          <t>Unknown</t>
        </is>
      </c>
      <c r="AA468" s="29" t="inlineStr">
        <is>
          <t>Unknown</t>
        </is>
      </c>
      <c r="AB468" s="29" t="inlineStr">
        <is>
          <t>Unknown</t>
        </is>
      </c>
      <c r="AC468" s="29" t="inlineStr"/>
      <c r="AD468" s="29" t="inlineStr">
        <is>
          <t>Unknown</t>
        </is>
      </c>
      <c r="AE468" s="29" t="inlineStr">
        <is>
          <t>Unknown</t>
        </is>
      </c>
      <c r="AF468" s="29" t="inlineStr"/>
      <c r="AG468" s="29" t="inlineStr">
        <is>
          <t>Unknown</t>
        </is>
      </c>
      <c r="AH468" s="29" t="inlineStr">
        <is>
          <t>Unknown</t>
        </is>
      </c>
      <c r="AI468" s="29" t="inlineStr">
        <is>
          <t>Searched for AI action dispatcher, permissions, safety, cancel, reverse, private, dating, sensitive, uncertainty, invent. Found aiService.js which only handles text/hashtag generation.</t>
        </is>
      </c>
      <c r="AJ468" s="29" t="inlineStr">
        <is>
          <t>Not verified</t>
        </is>
      </c>
      <c r="AK468" s="29" t="inlineStr">
        <is>
          <t>EV-23-0001</t>
        </is>
      </c>
      <c r="AL468" s="29" t="inlineStr"/>
      <c r="AM468" s="29" t="inlineStr"/>
      <c r="AN468" s="29" t="inlineStr"/>
      <c r="AO468" s="29" t="inlineStr">
        <is>
          <t>8bc0dcb2a1da1b21368c5536aaeef829d587f316</t>
        </is>
      </c>
      <c r="AP468" s="29" t="inlineStr">
        <is>
          <t>High</t>
        </is>
      </c>
      <c r="AQ468" s="29" t="inlineStr">
        <is>
          <t>Not assessed</t>
        </is>
      </c>
      <c r="AR468" s="29" t="inlineStr">
        <is>
          <t>Not assessed</t>
        </is>
      </c>
      <c r="AS468" s="29" t="inlineStr">
        <is>
          <t>Not assessed</t>
        </is>
      </c>
      <c r="AT468" s="29" t="inlineStr">
        <is>
          <t>Not assessed</t>
        </is>
      </c>
      <c r="AU468" s="29" t="inlineStr">
        <is>
          <t>Not assessed</t>
        </is>
      </c>
      <c r="AV468" s="29" t="inlineStr">
        <is>
          <t>Not assessed</t>
        </is>
      </c>
      <c r="AW468" s="29" t="inlineStr">
        <is>
          <t>Not assessed</t>
        </is>
      </c>
      <c r="AX468" s="29" t="inlineStr">
        <is>
          <t>Not assessed</t>
        </is>
      </c>
      <c r="AY468" s="29" t="inlineStr">
        <is>
          <t>Not assessed</t>
        </is>
      </c>
      <c r="AZ468" s="29" t="inlineStr">
        <is>
          <t>Not assessed</t>
        </is>
      </c>
      <c r="BA468" s="29" t="inlineStr">
        <is>
          <t>Not assessed</t>
        </is>
      </c>
      <c r="BB468" s="29" t="inlineStr">
        <is>
          <t>Not assessed</t>
        </is>
      </c>
      <c r="BC468" s="29" t="inlineStr">
        <is>
          <t>Not assessed</t>
        </is>
      </c>
      <c r="BD468" s="29" t="inlineStr">
        <is>
          <t>Not assessed</t>
        </is>
      </c>
      <c r="BE468" s="29" t="inlineStr">
        <is>
          <t>Development required</t>
        </is>
      </c>
      <c r="BF468"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8" s="29" t="inlineStr">
        <is>
          <t>Not assessed</t>
        </is>
      </c>
      <c r="BH468" s="29" t="inlineStr"/>
      <c r="BI468" s="29" t="inlineStr"/>
      <c r="BJ468" s="29" t="inlineStr"/>
      <c r="BK468" s="29" t="inlineStr">
        <is>
          <t>Evidence reconciled against the reviewed source revision. No production approval is inferred from implementation or file presence.</t>
        </is>
      </c>
      <c r="BL468" s="29" t="inlineStr">
        <is>
          <t>2026-08-02</t>
        </is>
      </c>
    </row>
    <row r="469" ht="42" customHeight="1">
      <c r="A469" s="29" t="inlineStr">
        <is>
          <t>BLYP-23-008</t>
        </is>
      </c>
      <c r="B469" s="29" t="inlineStr"/>
      <c r="C469" s="29" t="inlineStr">
        <is>
          <t>AI permissions and action safety</t>
        </is>
      </c>
      <c r="D469" s="29" t="n">
        <v>23</v>
      </c>
      <c r="E469" s="29" t="n">
        <v>8</v>
      </c>
      <c r="F469" s="29" t="inlineStr">
        <is>
          <t>Feature</t>
        </is>
      </c>
      <c r="G469" s="29" t="inlineStr">
        <is>
          <t>Confirm before affecting external platforms</t>
        </is>
      </c>
      <c r="H469" s="29" t="inlineStr">
        <is>
          <t>Confirm before affecting external platforms</t>
        </is>
      </c>
      <c r="I469" s="29" t="inlineStr">
        <is>
          <t>/home/ubuntu/blyp_product_requirements.md :: Section 23 — AI permissions and action safety</t>
        </is>
      </c>
      <c r="J469" s="29" t="inlineStr">
        <is>
          <t>/home/ubuntu/BLYP_COMPLETE_FEATURE_LIST.md:593</t>
        </is>
      </c>
      <c r="K469" s="29" t="inlineStr">
        <is>
          <t>Required</t>
        </is>
      </c>
      <c r="L469" s="29" t="inlineStr">
        <is>
          <t>Applicable BLYP member</t>
        </is>
      </c>
      <c r="M469" s="29" t="inlineStr">
        <is>
          <t>BLYP mobile application and supporting production services</t>
        </is>
      </c>
      <c r="N469" s="29" t="inlineStr">
        <is>
          <t>Confirm before affecting external platforms</t>
        </is>
      </c>
      <c r="O469" s="29" t="inlineStr">
        <is>
          <t>Not explicitly defined in the product source; requires accountable product approval before production sign-off.</t>
        </is>
      </c>
      <c r="P469" s="29" t="inlineStr"/>
      <c r="Q469" s="29" t="inlineStr">
        <is>
          <t>No evidence</t>
        </is>
      </c>
      <c r="R469" s="29" t="inlineStr"/>
      <c r="S469" s="29" t="inlineStr">
        <is>
          <t>Not found</t>
        </is>
      </c>
      <c r="T469" s="29" t="inlineStr">
        <is>
          <t>Unknown</t>
        </is>
      </c>
      <c r="U469" s="29" t="inlineStr">
        <is>
          <t>Unknown</t>
        </is>
      </c>
      <c r="V469" s="29" t="inlineStr">
        <is>
          <t>Unknown</t>
        </is>
      </c>
      <c r="W469" s="29" t="inlineStr">
        <is>
          <t>Unknown</t>
        </is>
      </c>
      <c r="X469" s="29" t="inlineStr">
        <is>
          <t>Unknown</t>
        </is>
      </c>
      <c r="Y469" s="29" t="inlineStr">
        <is>
          <t>Unknown</t>
        </is>
      </c>
      <c r="Z469" s="29" t="inlineStr">
        <is>
          <t>Unknown</t>
        </is>
      </c>
      <c r="AA469" s="29" t="inlineStr">
        <is>
          <t>Unknown</t>
        </is>
      </c>
      <c r="AB469" s="29" t="inlineStr">
        <is>
          <t>Unknown</t>
        </is>
      </c>
      <c r="AC469" s="29" t="inlineStr"/>
      <c r="AD469" s="29" t="inlineStr">
        <is>
          <t>Unknown</t>
        </is>
      </c>
      <c r="AE469" s="29" t="inlineStr">
        <is>
          <t>Unknown</t>
        </is>
      </c>
      <c r="AF469" s="29" t="inlineStr"/>
      <c r="AG469" s="29" t="inlineStr">
        <is>
          <t>Unknown</t>
        </is>
      </c>
      <c r="AH469" s="29" t="inlineStr">
        <is>
          <t>Unknown</t>
        </is>
      </c>
      <c r="AI469" s="29" t="inlineStr">
        <is>
          <t>Searched for AI action dispatcher, permissions, safety, cancel, reverse, private, dating, sensitive, uncertainty, invent. Found aiService.js which only handles text/hashtag generation.</t>
        </is>
      </c>
      <c r="AJ469" s="29" t="inlineStr">
        <is>
          <t>Not verified</t>
        </is>
      </c>
      <c r="AK469" s="29" t="inlineStr">
        <is>
          <t>EV-23-0001</t>
        </is>
      </c>
      <c r="AL469" s="29" t="inlineStr"/>
      <c r="AM469" s="29" t="inlineStr"/>
      <c r="AN469" s="29" t="inlineStr"/>
      <c r="AO469" s="29" t="inlineStr">
        <is>
          <t>8bc0dcb2a1da1b21368c5536aaeef829d587f316</t>
        </is>
      </c>
      <c r="AP469" s="29" t="inlineStr">
        <is>
          <t>High</t>
        </is>
      </c>
      <c r="AQ469" s="29" t="inlineStr">
        <is>
          <t>Not assessed</t>
        </is>
      </c>
      <c r="AR469" s="29" t="inlineStr">
        <is>
          <t>Not assessed</t>
        </is>
      </c>
      <c r="AS469" s="29" t="inlineStr">
        <is>
          <t>Not assessed</t>
        </is>
      </c>
      <c r="AT469" s="29" t="inlineStr">
        <is>
          <t>Not assessed</t>
        </is>
      </c>
      <c r="AU469" s="29" t="inlineStr">
        <is>
          <t>Not assessed</t>
        </is>
      </c>
      <c r="AV469" s="29" t="inlineStr">
        <is>
          <t>Not assessed</t>
        </is>
      </c>
      <c r="AW469" s="29" t="inlineStr">
        <is>
          <t>Not assessed</t>
        </is>
      </c>
      <c r="AX469" s="29" t="inlineStr">
        <is>
          <t>Not assessed</t>
        </is>
      </c>
      <c r="AY469" s="29" t="inlineStr">
        <is>
          <t>Not assessed</t>
        </is>
      </c>
      <c r="AZ469" s="29" t="inlineStr">
        <is>
          <t>Not assessed</t>
        </is>
      </c>
      <c r="BA469" s="29" t="inlineStr">
        <is>
          <t>Not assessed</t>
        </is>
      </c>
      <c r="BB469" s="29" t="inlineStr">
        <is>
          <t>Not assessed</t>
        </is>
      </c>
      <c r="BC469" s="29" t="inlineStr">
        <is>
          <t>Not assessed</t>
        </is>
      </c>
      <c r="BD469" s="29" t="inlineStr">
        <is>
          <t>Not assessed</t>
        </is>
      </c>
      <c r="BE469" s="29" t="inlineStr">
        <is>
          <t>Development required</t>
        </is>
      </c>
      <c r="BF469"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69" s="29" t="inlineStr">
        <is>
          <t>Not assessed</t>
        </is>
      </c>
      <c r="BH469" s="29" t="inlineStr"/>
      <c r="BI469" s="29" t="inlineStr"/>
      <c r="BJ469" s="29" t="inlineStr"/>
      <c r="BK469" s="29" t="inlineStr">
        <is>
          <t>Evidence reconciled against the reviewed source revision. No production approval is inferred from implementation or file presence.</t>
        </is>
      </c>
      <c r="BL469" s="29" t="inlineStr">
        <is>
          <t>2026-08-02</t>
        </is>
      </c>
    </row>
    <row r="470" ht="42" customHeight="1">
      <c r="A470" s="29" t="inlineStr">
        <is>
          <t>BLYP-23-009</t>
        </is>
      </c>
      <c r="B470" s="29" t="inlineStr"/>
      <c r="C470" s="29" t="inlineStr">
        <is>
          <t>AI permissions and action safety</t>
        </is>
      </c>
      <c r="D470" s="29" t="n">
        <v>23</v>
      </c>
      <c r="E470" s="29" t="n">
        <v>9</v>
      </c>
      <c r="F470" s="29" t="inlineStr">
        <is>
          <t>Feature</t>
        </is>
      </c>
      <c r="G470" s="29" t="inlineStr">
        <is>
          <t>AI action history</t>
        </is>
      </c>
      <c r="H470" s="29" t="inlineStr">
        <is>
          <t>AI action history</t>
        </is>
      </c>
      <c r="I470" s="29" t="inlineStr">
        <is>
          <t>/home/ubuntu/blyp_product_requirements.md :: Section 23 — AI permissions and action safety</t>
        </is>
      </c>
      <c r="J470" s="29" t="inlineStr">
        <is>
          <t>/home/ubuntu/BLYP_COMPLETE_FEATURE_LIST.md:594</t>
        </is>
      </c>
      <c r="K470" s="29" t="inlineStr">
        <is>
          <t>Required</t>
        </is>
      </c>
      <c r="L470" s="29" t="inlineStr">
        <is>
          <t>Applicable BLYP member</t>
        </is>
      </c>
      <c r="M470" s="29" t="inlineStr">
        <is>
          <t>BLYP mobile application and supporting production services</t>
        </is>
      </c>
      <c r="N470" s="29" t="inlineStr">
        <is>
          <t>AI action history</t>
        </is>
      </c>
      <c r="O470" s="29" t="inlineStr">
        <is>
          <t>Not explicitly defined in the product source; requires accountable product approval before production sign-off.</t>
        </is>
      </c>
      <c r="P470" s="29" t="inlineStr"/>
      <c r="Q470" s="29" t="inlineStr">
        <is>
          <t>No evidence</t>
        </is>
      </c>
      <c r="R470" s="29" t="inlineStr"/>
      <c r="S470" s="29" t="inlineStr">
        <is>
          <t>Not found</t>
        </is>
      </c>
      <c r="T470" s="29" t="inlineStr">
        <is>
          <t>Unknown</t>
        </is>
      </c>
      <c r="U470" s="29" t="inlineStr">
        <is>
          <t>Unknown</t>
        </is>
      </c>
      <c r="V470" s="29" t="inlineStr">
        <is>
          <t>Unknown</t>
        </is>
      </c>
      <c r="W470" s="29" t="inlineStr">
        <is>
          <t>Unknown</t>
        </is>
      </c>
      <c r="X470" s="29" t="inlineStr">
        <is>
          <t>Unknown</t>
        </is>
      </c>
      <c r="Y470" s="29" t="inlineStr">
        <is>
          <t>Unknown</t>
        </is>
      </c>
      <c r="Z470" s="29" t="inlineStr">
        <is>
          <t>Unknown</t>
        </is>
      </c>
      <c r="AA470" s="29" t="inlineStr">
        <is>
          <t>Unknown</t>
        </is>
      </c>
      <c r="AB470" s="29" t="inlineStr">
        <is>
          <t>Unknown</t>
        </is>
      </c>
      <c r="AC470" s="29" t="inlineStr"/>
      <c r="AD470" s="29" t="inlineStr">
        <is>
          <t>Unknown</t>
        </is>
      </c>
      <c r="AE470" s="29" t="inlineStr">
        <is>
          <t>Unknown</t>
        </is>
      </c>
      <c r="AF470" s="29" t="inlineStr"/>
      <c r="AG470" s="29" t="inlineStr">
        <is>
          <t>Unknown</t>
        </is>
      </c>
      <c r="AH470" s="29" t="inlineStr">
        <is>
          <t>Unknown</t>
        </is>
      </c>
      <c r="AI470" s="29" t="inlineStr">
        <is>
          <t>Searched for AI action dispatcher, permissions, safety, cancel, reverse, private, dating, sensitive, uncertainty, invent. Found aiService.js which only handles text/hashtag generation.</t>
        </is>
      </c>
      <c r="AJ470" s="29" t="inlineStr">
        <is>
          <t>Not verified</t>
        </is>
      </c>
      <c r="AK470" s="29" t="inlineStr">
        <is>
          <t>EV-23-0001</t>
        </is>
      </c>
      <c r="AL470" s="29" t="inlineStr"/>
      <c r="AM470" s="29" t="inlineStr"/>
      <c r="AN470" s="29" t="inlineStr"/>
      <c r="AO470" s="29" t="inlineStr">
        <is>
          <t>8bc0dcb2a1da1b21368c5536aaeef829d587f316</t>
        </is>
      </c>
      <c r="AP470" s="29" t="inlineStr">
        <is>
          <t>High</t>
        </is>
      </c>
      <c r="AQ470" s="29" t="inlineStr">
        <is>
          <t>Not assessed</t>
        </is>
      </c>
      <c r="AR470" s="29" t="inlineStr">
        <is>
          <t>Not assessed</t>
        </is>
      </c>
      <c r="AS470" s="29" t="inlineStr">
        <is>
          <t>Not assessed</t>
        </is>
      </c>
      <c r="AT470" s="29" t="inlineStr">
        <is>
          <t>Not assessed</t>
        </is>
      </c>
      <c r="AU470" s="29" t="inlineStr">
        <is>
          <t>Not assessed</t>
        </is>
      </c>
      <c r="AV470" s="29" t="inlineStr">
        <is>
          <t>Not assessed</t>
        </is>
      </c>
      <c r="AW470" s="29" t="inlineStr">
        <is>
          <t>Not assessed</t>
        </is>
      </c>
      <c r="AX470" s="29" t="inlineStr">
        <is>
          <t>Not assessed</t>
        </is>
      </c>
      <c r="AY470" s="29" t="inlineStr">
        <is>
          <t>Not assessed</t>
        </is>
      </c>
      <c r="AZ470" s="29" t="inlineStr">
        <is>
          <t>Not assessed</t>
        </is>
      </c>
      <c r="BA470" s="29" t="inlineStr">
        <is>
          <t>Not assessed</t>
        </is>
      </c>
      <c r="BB470" s="29" t="inlineStr">
        <is>
          <t>Not assessed</t>
        </is>
      </c>
      <c r="BC470" s="29" t="inlineStr">
        <is>
          <t>Not assessed</t>
        </is>
      </c>
      <c r="BD470" s="29" t="inlineStr">
        <is>
          <t>Not assessed</t>
        </is>
      </c>
      <c r="BE470" s="29" t="inlineStr">
        <is>
          <t>Development required</t>
        </is>
      </c>
      <c r="BF470"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70" s="29" t="inlineStr">
        <is>
          <t>Not assessed</t>
        </is>
      </c>
      <c r="BH470" s="29" t="inlineStr"/>
      <c r="BI470" s="29" t="inlineStr"/>
      <c r="BJ470" s="29" t="inlineStr"/>
      <c r="BK470" s="29" t="inlineStr">
        <is>
          <t>Evidence reconciled against the reviewed source revision. No production approval is inferred from implementation or file presence.</t>
        </is>
      </c>
      <c r="BL470" s="29" t="inlineStr">
        <is>
          <t>2026-08-02</t>
        </is>
      </c>
    </row>
    <row r="471" ht="42" customHeight="1">
      <c r="A471" s="29" t="inlineStr">
        <is>
          <t>BLYP-23-010</t>
        </is>
      </c>
      <c r="B471" s="29" t="inlineStr"/>
      <c r="C471" s="29" t="inlineStr">
        <is>
          <t>AI permissions and action safety</t>
        </is>
      </c>
      <c r="D471" s="29" t="n">
        <v>23</v>
      </c>
      <c r="E471" s="29" t="n">
        <v>10</v>
      </c>
      <c r="F471" s="29" t="inlineStr">
        <is>
          <t>Feature</t>
        </is>
      </c>
      <c r="G471" s="29" t="inlineStr">
        <is>
          <t>Cancel a pending AI action</t>
        </is>
      </c>
      <c r="H471" s="29" t="inlineStr">
        <is>
          <t>Cancel a pending AI action</t>
        </is>
      </c>
      <c r="I471" s="29" t="inlineStr">
        <is>
          <t>/home/ubuntu/blyp_product_requirements.md :: Section 23 — AI permissions and action safety</t>
        </is>
      </c>
      <c r="J471" s="29" t="inlineStr">
        <is>
          <t>/home/ubuntu/BLYP_COMPLETE_FEATURE_LIST.md:595</t>
        </is>
      </c>
      <c r="K471" s="29" t="inlineStr">
        <is>
          <t>Required</t>
        </is>
      </c>
      <c r="L471" s="29" t="inlineStr">
        <is>
          <t>Applicable BLYP member</t>
        </is>
      </c>
      <c r="M471" s="29" t="inlineStr">
        <is>
          <t>BLYP mobile application and supporting production services</t>
        </is>
      </c>
      <c r="N471" s="29" t="inlineStr">
        <is>
          <t>Cancel a pending AI action</t>
        </is>
      </c>
      <c r="O471" s="29" t="inlineStr">
        <is>
          <t>Not explicitly defined in the product source; requires accountable product approval before production sign-off.</t>
        </is>
      </c>
      <c r="P471" s="29" t="inlineStr"/>
      <c r="Q471" s="29" t="inlineStr">
        <is>
          <t>No evidence</t>
        </is>
      </c>
      <c r="R471" s="29" t="inlineStr"/>
      <c r="S471" s="29" t="inlineStr">
        <is>
          <t>Not found</t>
        </is>
      </c>
      <c r="T471" s="29" t="inlineStr">
        <is>
          <t>Unknown</t>
        </is>
      </c>
      <c r="U471" s="29" t="inlineStr">
        <is>
          <t>Unknown</t>
        </is>
      </c>
      <c r="V471" s="29" t="inlineStr">
        <is>
          <t>Unknown</t>
        </is>
      </c>
      <c r="W471" s="29" t="inlineStr">
        <is>
          <t>Unknown</t>
        </is>
      </c>
      <c r="X471" s="29" t="inlineStr">
        <is>
          <t>Unknown</t>
        </is>
      </c>
      <c r="Y471" s="29" t="inlineStr">
        <is>
          <t>Unknown</t>
        </is>
      </c>
      <c r="Z471" s="29" t="inlineStr">
        <is>
          <t>Unknown</t>
        </is>
      </c>
      <c r="AA471" s="29" t="inlineStr">
        <is>
          <t>Unknown</t>
        </is>
      </c>
      <c r="AB471" s="29" t="inlineStr">
        <is>
          <t>Unknown</t>
        </is>
      </c>
      <c r="AC471" s="29" t="inlineStr"/>
      <c r="AD471" s="29" t="inlineStr">
        <is>
          <t>Unknown</t>
        </is>
      </c>
      <c r="AE471" s="29" t="inlineStr">
        <is>
          <t>Unknown</t>
        </is>
      </c>
      <c r="AF471" s="29" t="inlineStr"/>
      <c r="AG471" s="29" t="inlineStr">
        <is>
          <t>Unknown</t>
        </is>
      </c>
      <c r="AH471" s="29" t="inlineStr">
        <is>
          <t>Unknown</t>
        </is>
      </c>
      <c r="AI471" s="29" t="inlineStr">
        <is>
          <t>Searched for AI action dispatcher, permissions, safety, cancel, reverse, private, dating, sensitive, uncertainty, invent. Found aiService.js which only handles text/hashtag generation.</t>
        </is>
      </c>
      <c r="AJ471" s="29" t="inlineStr">
        <is>
          <t>Not verified</t>
        </is>
      </c>
      <c r="AK471" s="29" t="inlineStr">
        <is>
          <t>EV-23-0001</t>
        </is>
      </c>
      <c r="AL471" s="29" t="inlineStr"/>
      <c r="AM471" s="29" t="inlineStr"/>
      <c r="AN471" s="29" t="inlineStr"/>
      <c r="AO471" s="29" t="inlineStr">
        <is>
          <t>8bc0dcb2a1da1b21368c5536aaeef829d587f316</t>
        </is>
      </c>
      <c r="AP471" s="29" t="inlineStr">
        <is>
          <t>High</t>
        </is>
      </c>
      <c r="AQ471" s="29" t="inlineStr">
        <is>
          <t>Not assessed</t>
        </is>
      </c>
      <c r="AR471" s="29" t="inlineStr">
        <is>
          <t>Not assessed</t>
        </is>
      </c>
      <c r="AS471" s="29" t="inlineStr">
        <is>
          <t>Not assessed</t>
        </is>
      </c>
      <c r="AT471" s="29" t="inlineStr">
        <is>
          <t>Not assessed</t>
        </is>
      </c>
      <c r="AU471" s="29" t="inlineStr">
        <is>
          <t>Not assessed</t>
        </is>
      </c>
      <c r="AV471" s="29" t="inlineStr">
        <is>
          <t>Not assessed</t>
        </is>
      </c>
      <c r="AW471" s="29" t="inlineStr">
        <is>
          <t>Not assessed</t>
        </is>
      </c>
      <c r="AX471" s="29" t="inlineStr">
        <is>
          <t>Not assessed</t>
        </is>
      </c>
      <c r="AY471" s="29" t="inlineStr">
        <is>
          <t>Not assessed</t>
        </is>
      </c>
      <c r="AZ471" s="29" t="inlineStr">
        <is>
          <t>Not assessed</t>
        </is>
      </c>
      <c r="BA471" s="29" t="inlineStr">
        <is>
          <t>Not assessed</t>
        </is>
      </c>
      <c r="BB471" s="29" t="inlineStr">
        <is>
          <t>Not assessed</t>
        </is>
      </c>
      <c r="BC471" s="29" t="inlineStr">
        <is>
          <t>Not assessed</t>
        </is>
      </c>
      <c r="BD471" s="29" t="inlineStr">
        <is>
          <t>Not assessed</t>
        </is>
      </c>
      <c r="BE471" s="29" t="inlineStr">
        <is>
          <t>Development required</t>
        </is>
      </c>
      <c r="BF471"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71" s="29" t="inlineStr">
        <is>
          <t>Not assessed</t>
        </is>
      </c>
      <c r="BH471" s="29" t="inlineStr"/>
      <c r="BI471" s="29" t="inlineStr"/>
      <c r="BJ471" s="29" t="inlineStr"/>
      <c r="BK471" s="29" t="inlineStr">
        <is>
          <t>Evidence reconciled against the reviewed source revision. No production approval is inferred from implementation or file presence.</t>
        </is>
      </c>
      <c r="BL471" s="29" t="inlineStr">
        <is>
          <t>2026-08-02</t>
        </is>
      </c>
    </row>
    <row r="472" ht="42" customHeight="1">
      <c r="A472" s="29" t="inlineStr">
        <is>
          <t>BLYP-23-011</t>
        </is>
      </c>
      <c r="B472" s="29" t="inlineStr"/>
      <c r="C472" s="29" t="inlineStr">
        <is>
          <t>AI permissions and action safety</t>
        </is>
      </c>
      <c r="D472" s="29" t="n">
        <v>23</v>
      </c>
      <c r="E472" s="29" t="n">
        <v>11</v>
      </c>
      <c r="F472" s="29" t="inlineStr">
        <is>
          <t>Feature</t>
        </is>
      </c>
      <c r="G472" s="29" t="inlineStr">
        <is>
          <t>Reverse an AI action where possible</t>
        </is>
      </c>
      <c r="H472" s="29" t="inlineStr">
        <is>
          <t>Reverse an AI action where possible</t>
        </is>
      </c>
      <c r="I472" s="29" t="inlineStr">
        <is>
          <t>/home/ubuntu/blyp_product_requirements.md :: Section 23 — AI permissions and action safety</t>
        </is>
      </c>
      <c r="J472" s="29" t="inlineStr">
        <is>
          <t>/home/ubuntu/BLYP_COMPLETE_FEATURE_LIST.md:596</t>
        </is>
      </c>
      <c r="K472" s="29" t="inlineStr">
        <is>
          <t>Required</t>
        </is>
      </c>
      <c r="L472" s="29" t="inlineStr">
        <is>
          <t>Applicable BLYP member</t>
        </is>
      </c>
      <c r="M472" s="29" t="inlineStr">
        <is>
          <t>BLYP mobile application and supporting production services</t>
        </is>
      </c>
      <c r="N472" s="29" t="inlineStr">
        <is>
          <t>Reverse an AI action where possible</t>
        </is>
      </c>
      <c r="O472" s="29" t="inlineStr">
        <is>
          <t>Not explicitly defined in the product source; requires accountable product approval before production sign-off.</t>
        </is>
      </c>
      <c r="P472" s="29" t="inlineStr"/>
      <c r="Q472" s="29" t="inlineStr">
        <is>
          <t>No evidence</t>
        </is>
      </c>
      <c r="R472" s="29" t="inlineStr"/>
      <c r="S472" s="29" t="inlineStr">
        <is>
          <t>Not found</t>
        </is>
      </c>
      <c r="T472" s="29" t="inlineStr">
        <is>
          <t>Unknown</t>
        </is>
      </c>
      <c r="U472" s="29" t="inlineStr">
        <is>
          <t>Unknown</t>
        </is>
      </c>
      <c r="V472" s="29" t="inlineStr">
        <is>
          <t>Unknown</t>
        </is>
      </c>
      <c r="W472" s="29" t="inlineStr">
        <is>
          <t>Unknown</t>
        </is>
      </c>
      <c r="X472" s="29" t="inlineStr">
        <is>
          <t>Unknown</t>
        </is>
      </c>
      <c r="Y472" s="29" t="inlineStr">
        <is>
          <t>Unknown</t>
        </is>
      </c>
      <c r="Z472" s="29" t="inlineStr">
        <is>
          <t>Unknown</t>
        </is>
      </c>
      <c r="AA472" s="29" t="inlineStr">
        <is>
          <t>Unknown</t>
        </is>
      </c>
      <c r="AB472" s="29" t="inlineStr">
        <is>
          <t>Unknown</t>
        </is>
      </c>
      <c r="AC472" s="29" t="inlineStr"/>
      <c r="AD472" s="29" t="inlineStr">
        <is>
          <t>Unknown</t>
        </is>
      </c>
      <c r="AE472" s="29" t="inlineStr">
        <is>
          <t>Unknown</t>
        </is>
      </c>
      <c r="AF472" s="29" t="inlineStr"/>
      <c r="AG472" s="29" t="inlineStr">
        <is>
          <t>Unknown</t>
        </is>
      </c>
      <c r="AH472" s="29" t="inlineStr">
        <is>
          <t>Unknown</t>
        </is>
      </c>
      <c r="AI472" s="29" t="inlineStr">
        <is>
          <t>Searched for AI action dispatcher, permissions, safety, cancel, reverse, private, dating, sensitive, uncertainty, invent. Found aiService.js which only handles text/hashtag generation.</t>
        </is>
      </c>
      <c r="AJ472" s="29" t="inlineStr">
        <is>
          <t>Not verified</t>
        </is>
      </c>
      <c r="AK472" s="29" t="inlineStr">
        <is>
          <t>EV-23-0001</t>
        </is>
      </c>
      <c r="AL472" s="29" t="inlineStr"/>
      <c r="AM472" s="29" t="inlineStr"/>
      <c r="AN472" s="29" t="inlineStr"/>
      <c r="AO472" s="29" t="inlineStr">
        <is>
          <t>8bc0dcb2a1da1b21368c5536aaeef829d587f316</t>
        </is>
      </c>
      <c r="AP472" s="29" t="inlineStr">
        <is>
          <t>High</t>
        </is>
      </c>
      <c r="AQ472" s="29" t="inlineStr">
        <is>
          <t>Not assessed</t>
        </is>
      </c>
      <c r="AR472" s="29" t="inlineStr">
        <is>
          <t>Not assessed</t>
        </is>
      </c>
      <c r="AS472" s="29" t="inlineStr">
        <is>
          <t>Not assessed</t>
        </is>
      </c>
      <c r="AT472" s="29" t="inlineStr">
        <is>
          <t>Not assessed</t>
        </is>
      </c>
      <c r="AU472" s="29" t="inlineStr">
        <is>
          <t>Not assessed</t>
        </is>
      </c>
      <c r="AV472" s="29" t="inlineStr">
        <is>
          <t>Not assessed</t>
        </is>
      </c>
      <c r="AW472" s="29" t="inlineStr">
        <is>
          <t>Not assessed</t>
        </is>
      </c>
      <c r="AX472" s="29" t="inlineStr">
        <is>
          <t>Not assessed</t>
        </is>
      </c>
      <c r="AY472" s="29" t="inlineStr">
        <is>
          <t>Not assessed</t>
        </is>
      </c>
      <c r="AZ472" s="29" t="inlineStr">
        <is>
          <t>Not assessed</t>
        </is>
      </c>
      <c r="BA472" s="29" t="inlineStr">
        <is>
          <t>Not assessed</t>
        </is>
      </c>
      <c r="BB472" s="29" t="inlineStr">
        <is>
          <t>Not assessed</t>
        </is>
      </c>
      <c r="BC472" s="29" t="inlineStr">
        <is>
          <t>Not assessed</t>
        </is>
      </c>
      <c r="BD472" s="29" t="inlineStr">
        <is>
          <t>Not assessed</t>
        </is>
      </c>
      <c r="BE472" s="29" t="inlineStr">
        <is>
          <t>Development required</t>
        </is>
      </c>
      <c r="BF472"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72" s="29" t="inlineStr">
        <is>
          <t>Not assessed</t>
        </is>
      </c>
      <c r="BH472" s="29" t="inlineStr"/>
      <c r="BI472" s="29" t="inlineStr"/>
      <c r="BJ472" s="29" t="inlineStr"/>
      <c r="BK472" s="29" t="inlineStr">
        <is>
          <t>Evidence reconciled against the reviewed source revision. No production approval is inferred from implementation or file presence.</t>
        </is>
      </c>
      <c r="BL472" s="29" t="inlineStr">
        <is>
          <t>2026-08-02</t>
        </is>
      </c>
    </row>
    <row r="473" ht="42" customHeight="1">
      <c r="A473" s="29" t="inlineStr">
        <is>
          <t>BLYP-23-012</t>
        </is>
      </c>
      <c r="B473" s="29" t="inlineStr"/>
      <c r="C473" s="29" t="inlineStr">
        <is>
          <t>AI permissions and action safety</t>
        </is>
      </c>
      <c r="D473" s="29" t="n">
        <v>23</v>
      </c>
      <c r="E473" s="29" t="n">
        <v>12</v>
      </c>
      <c r="F473" s="29" t="inlineStr">
        <is>
          <t>Rule</t>
        </is>
      </c>
      <c r="G473" s="29" t="inlineStr">
        <is>
          <t>Private messages excluded from AI by default</t>
        </is>
      </c>
      <c r="H473" s="29" t="inlineStr">
        <is>
          <t>Private messages excluded from AI by default</t>
        </is>
      </c>
      <c r="I473" s="29" t="inlineStr">
        <is>
          <t>/home/ubuntu/blyp_product_requirements.md :: Section 23 — AI permissions and action safety</t>
        </is>
      </c>
      <c r="J473" s="29" t="inlineStr">
        <is>
          <t>/home/ubuntu/BLYP_COMPLETE_FEATURE_LIST.md:597</t>
        </is>
      </c>
      <c r="K473" s="29" t="inlineStr">
        <is>
          <t>Required</t>
        </is>
      </c>
      <c r="L473" s="29" t="inlineStr">
        <is>
          <t>Applicable BLYP member</t>
        </is>
      </c>
      <c r="M473" s="29" t="inlineStr">
        <is>
          <t>BLYP mobile application and supporting production services</t>
        </is>
      </c>
      <c r="N473" s="29" t="inlineStr">
        <is>
          <t>Private messages excluded from AI by default</t>
        </is>
      </c>
      <c r="O473" s="29" t="inlineStr">
        <is>
          <t>Not explicitly defined in the product source; requires accountable product approval before production sign-off.</t>
        </is>
      </c>
      <c r="P473" s="29" t="inlineStr"/>
      <c r="Q473" s="29" t="inlineStr">
        <is>
          <t>Partial</t>
        </is>
      </c>
      <c r="R473" s="29" t="inlineStr">
        <is>
          <t>the dispatcher has no private-message action path.</t>
        </is>
      </c>
      <c r="S473" s="29" t="inlineStr">
        <is>
          <t>Unknown</t>
        </is>
      </c>
      <c r="T473" s="29" t="inlineStr">
        <is>
          <t>Unknown</t>
        </is>
      </c>
      <c r="U473" s="29" t="inlineStr">
        <is>
          <t>Unknown</t>
        </is>
      </c>
      <c r="V473" s="29" t="inlineStr">
        <is>
          <t>Unknown</t>
        </is>
      </c>
      <c r="W473" s="29" t="inlineStr">
        <is>
          <t>Unknown</t>
        </is>
      </c>
      <c r="X473" s="29" t="inlineStr">
        <is>
          <t>Unknown</t>
        </is>
      </c>
      <c r="Y473" s="29" t="inlineStr">
        <is>
          <t>Unknown</t>
        </is>
      </c>
      <c r="Z473" s="29" t="inlineStr">
        <is>
          <t>Unknown</t>
        </is>
      </c>
      <c r="AA473" s="29" t="inlineStr">
        <is>
          <t>Unknown</t>
        </is>
      </c>
      <c r="AB473" s="29" t="inlineStr">
        <is>
          <t>Unknown</t>
        </is>
      </c>
      <c r="AC473" s="29" t="inlineStr"/>
      <c r="AD473" s="29" t="inlineStr">
        <is>
          <t>Unknown</t>
        </is>
      </c>
      <c r="AE473" s="29" t="inlineStr">
        <is>
          <t>Unknown</t>
        </is>
      </c>
      <c r="AF473" s="29" t="inlineStr">
        <is>
          <t>No exact feature-level physical path was resolved from the reviewed evidence.</t>
        </is>
      </c>
      <c r="AG473" s="29" t="inlineStr">
        <is>
          <t>Unknown</t>
        </is>
      </c>
      <c r="AH473" s="29" t="inlineStr">
        <is>
          <t>Unknown</t>
        </is>
      </c>
      <c r="AI473" s="29" t="inlineStr">
        <is>
          <t>the dispatcher has no private-message action path.; A prior area review labelled this 'Partial', but did not supply a feature-level physical mapping; the authoritative state is therefore Unknown.</t>
        </is>
      </c>
      <c r="AJ473" s="29" t="inlineStr">
        <is>
          <t>Unknown</t>
        </is>
      </c>
      <c r="AK473" s="29" t="inlineStr">
        <is>
          <t>EV-23-0001</t>
        </is>
      </c>
      <c r="AL473" s="29" t="inlineStr"/>
      <c r="AM473" s="29" t="inlineStr"/>
      <c r="AN473" s="29" t="inlineStr"/>
      <c r="AO473" s="29" t="inlineStr">
        <is>
          <t>8bc0dcb2a1da1b21368c5536aaeef829d587f316</t>
        </is>
      </c>
      <c r="AP473" s="29" t="inlineStr">
        <is>
          <t>Low</t>
        </is>
      </c>
      <c r="AQ473" s="29" t="inlineStr">
        <is>
          <t>Not assessed</t>
        </is>
      </c>
      <c r="AR473" s="29" t="inlineStr">
        <is>
          <t>Not assessed</t>
        </is>
      </c>
      <c r="AS473" s="29" t="inlineStr">
        <is>
          <t>Not assessed</t>
        </is>
      </c>
      <c r="AT473" s="29" t="inlineStr">
        <is>
          <t>Not assessed</t>
        </is>
      </c>
      <c r="AU473" s="29" t="inlineStr">
        <is>
          <t>Not assessed</t>
        </is>
      </c>
      <c r="AV473" s="29" t="inlineStr">
        <is>
          <t>Not assessed</t>
        </is>
      </c>
      <c r="AW473" s="29" t="inlineStr">
        <is>
          <t>Not assessed</t>
        </is>
      </c>
      <c r="AX473" s="29" t="inlineStr">
        <is>
          <t>Not assessed</t>
        </is>
      </c>
      <c r="AY473" s="29" t="inlineStr">
        <is>
          <t>Not assessed</t>
        </is>
      </c>
      <c r="AZ473" s="29" t="inlineStr">
        <is>
          <t>Not assessed</t>
        </is>
      </c>
      <c r="BA473" s="29" t="inlineStr">
        <is>
          <t>Not assessed</t>
        </is>
      </c>
      <c r="BB473" s="29" t="inlineStr">
        <is>
          <t>Not assessed</t>
        </is>
      </c>
      <c r="BC473" s="29" t="inlineStr">
        <is>
          <t>Not assessed</t>
        </is>
      </c>
      <c r="BD473" s="29" t="inlineStr">
        <is>
          <t>Not assessed</t>
        </is>
      </c>
      <c r="BE473" s="29" t="inlineStr">
        <is>
          <t>Not assessed</t>
        </is>
      </c>
      <c r="BF473" s="29" t="inlineStr">
        <is>
          <t>Production readiness cannot be assessed until the exact physical implementation and runtime path are traced.</t>
        </is>
      </c>
      <c r="BG473" s="29" t="inlineStr">
        <is>
          <t>Map the feature to exact client, server, data, worker and configuration locations, then verify its runtime path.</t>
        </is>
      </c>
      <c r="BH473" s="29" t="inlineStr"/>
      <c r="BI473" s="29" t="inlineStr"/>
      <c r="BJ473" s="29" t="inlineStr"/>
      <c r="BK473" s="29" t="inlineStr">
        <is>
          <t>Evidence reconciled against the reviewed source revision. No production approval is inferred from implementation or file presence.</t>
        </is>
      </c>
      <c r="BL473" s="29" t="inlineStr">
        <is>
          <t>2026-08-02</t>
        </is>
      </c>
    </row>
    <row r="474" ht="42" customHeight="1">
      <c r="A474" s="29" t="inlineStr">
        <is>
          <t>BLYP-23-013</t>
        </is>
      </c>
      <c r="B474" s="29" t="inlineStr"/>
      <c r="C474" s="29" t="inlineStr">
        <is>
          <t>AI permissions and action safety</t>
        </is>
      </c>
      <c r="D474" s="29" t="n">
        <v>23</v>
      </c>
      <c r="E474" s="29" t="n">
        <v>13</v>
      </c>
      <c r="F474" s="29" t="inlineStr">
        <is>
          <t>Rule</t>
        </is>
      </c>
      <c r="G474" s="29" t="inlineStr">
        <is>
          <t>Dating activity excluded from AI by default</t>
        </is>
      </c>
      <c r="H474" s="29" t="inlineStr">
        <is>
          <t>Dating activity excluded from AI by default</t>
        </is>
      </c>
      <c r="I474" s="29" t="inlineStr">
        <is>
          <t>/home/ubuntu/blyp_product_requirements.md :: Section 23 — AI permissions and action safety</t>
        </is>
      </c>
      <c r="J474" s="29" t="inlineStr">
        <is>
          <t>/home/ubuntu/BLYP_COMPLETE_FEATURE_LIST.md:598</t>
        </is>
      </c>
      <c r="K474" s="29" t="inlineStr">
        <is>
          <t>Required</t>
        </is>
      </c>
      <c r="L474" s="29" t="inlineStr">
        <is>
          <t>Applicable BLYP member</t>
        </is>
      </c>
      <c r="M474" s="29" t="inlineStr">
        <is>
          <t>BLYP mobile application and supporting production services</t>
        </is>
      </c>
      <c r="N474" s="29" t="inlineStr">
        <is>
          <t>Dating activity excluded from AI by default</t>
        </is>
      </c>
      <c r="O474" s="29" t="inlineStr">
        <is>
          <t>Not explicitly defined in the product source; requires accountable product approval before production sign-off.</t>
        </is>
      </c>
      <c r="P474" s="29" t="inlineStr"/>
      <c r="Q474" s="29" t="inlineStr">
        <is>
          <t>No evidence</t>
        </is>
      </c>
      <c r="R474" s="29" t="inlineStr"/>
      <c r="S474" s="29" t="inlineStr">
        <is>
          <t>Not found</t>
        </is>
      </c>
      <c r="T474" s="29" t="inlineStr">
        <is>
          <t>Unknown</t>
        </is>
      </c>
      <c r="U474" s="29" t="inlineStr">
        <is>
          <t>Unknown</t>
        </is>
      </c>
      <c r="V474" s="29" t="inlineStr">
        <is>
          <t>Unknown</t>
        </is>
      </c>
      <c r="W474" s="29" t="inlineStr">
        <is>
          <t>Unknown</t>
        </is>
      </c>
      <c r="X474" s="29" t="inlineStr">
        <is>
          <t>Unknown</t>
        </is>
      </c>
      <c r="Y474" s="29" t="inlineStr">
        <is>
          <t>Unknown</t>
        </is>
      </c>
      <c r="Z474" s="29" t="inlineStr">
        <is>
          <t>Unknown</t>
        </is>
      </c>
      <c r="AA474" s="29" t="inlineStr">
        <is>
          <t>Unknown</t>
        </is>
      </c>
      <c r="AB474" s="29" t="inlineStr">
        <is>
          <t>Unknown</t>
        </is>
      </c>
      <c r="AC474" s="29" t="inlineStr"/>
      <c r="AD474" s="29" t="inlineStr">
        <is>
          <t>Unknown</t>
        </is>
      </c>
      <c r="AE474" s="29" t="inlineStr">
        <is>
          <t>Unknown</t>
        </is>
      </c>
      <c r="AF474" s="29" t="inlineStr"/>
      <c r="AG474" s="29" t="inlineStr">
        <is>
          <t>Unknown</t>
        </is>
      </c>
      <c r="AH474" s="29" t="inlineStr">
        <is>
          <t>Unknown</t>
        </is>
      </c>
      <c r="AI474" s="29" t="inlineStr">
        <is>
          <t>Searched for AI action dispatcher, permissions, safety, cancel, reverse, private, dating, sensitive, uncertainty, invent. Found aiService.js which only handles text/hashtag generation.</t>
        </is>
      </c>
      <c r="AJ474" s="29" t="inlineStr">
        <is>
          <t>Not verified</t>
        </is>
      </c>
      <c r="AK474" s="29" t="inlineStr">
        <is>
          <t>EV-23-0001</t>
        </is>
      </c>
      <c r="AL474" s="29" t="inlineStr"/>
      <c r="AM474" s="29" t="inlineStr"/>
      <c r="AN474" s="29" t="inlineStr"/>
      <c r="AO474" s="29" t="inlineStr">
        <is>
          <t>8bc0dcb2a1da1b21368c5536aaeef829d587f316</t>
        </is>
      </c>
      <c r="AP474" s="29" t="inlineStr">
        <is>
          <t>High</t>
        </is>
      </c>
      <c r="AQ474" s="29" t="inlineStr">
        <is>
          <t>Not assessed</t>
        </is>
      </c>
      <c r="AR474" s="29" t="inlineStr">
        <is>
          <t>Not assessed</t>
        </is>
      </c>
      <c r="AS474" s="29" t="inlineStr">
        <is>
          <t>Not assessed</t>
        </is>
      </c>
      <c r="AT474" s="29" t="inlineStr">
        <is>
          <t>Not assessed</t>
        </is>
      </c>
      <c r="AU474" s="29" t="inlineStr">
        <is>
          <t>Not assessed</t>
        </is>
      </c>
      <c r="AV474" s="29" t="inlineStr">
        <is>
          <t>Not assessed</t>
        </is>
      </c>
      <c r="AW474" s="29" t="inlineStr">
        <is>
          <t>Not assessed</t>
        </is>
      </c>
      <c r="AX474" s="29" t="inlineStr">
        <is>
          <t>Not assessed</t>
        </is>
      </c>
      <c r="AY474" s="29" t="inlineStr">
        <is>
          <t>Not assessed</t>
        </is>
      </c>
      <c r="AZ474" s="29" t="inlineStr">
        <is>
          <t>Not assessed</t>
        </is>
      </c>
      <c r="BA474" s="29" t="inlineStr">
        <is>
          <t>Not assessed</t>
        </is>
      </c>
      <c r="BB474" s="29" t="inlineStr">
        <is>
          <t>Not assessed</t>
        </is>
      </c>
      <c r="BC474" s="29" t="inlineStr">
        <is>
          <t>Not assessed</t>
        </is>
      </c>
      <c r="BD474" s="29" t="inlineStr">
        <is>
          <t>Not assessed</t>
        </is>
      </c>
      <c r="BE474" s="29" t="inlineStr">
        <is>
          <t>Development required</t>
        </is>
      </c>
      <c r="BF474"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74" s="29" t="inlineStr">
        <is>
          <t>Not assessed</t>
        </is>
      </c>
      <c r="BH474" s="29" t="inlineStr"/>
      <c r="BI474" s="29" t="inlineStr"/>
      <c r="BJ474" s="29" t="inlineStr"/>
      <c r="BK474" s="29" t="inlineStr">
        <is>
          <t>Evidence reconciled against the reviewed source revision. No production approval is inferred from implementation or file presence.</t>
        </is>
      </c>
      <c r="BL474" s="29" t="inlineStr">
        <is>
          <t>2026-08-02</t>
        </is>
      </c>
    </row>
    <row r="475" ht="42" customHeight="1">
      <c r="A475" s="29" t="inlineStr">
        <is>
          <t>BLYP-23-014</t>
        </is>
      </c>
      <c r="B475" s="29" t="inlineStr"/>
      <c r="C475" s="29" t="inlineStr">
        <is>
          <t>AI permissions and action safety</t>
        </is>
      </c>
      <c r="D475" s="29" t="n">
        <v>23</v>
      </c>
      <c r="E475" s="29" t="n">
        <v>14</v>
      </c>
      <c r="F475" s="29" t="inlineStr">
        <is>
          <t>Rule</t>
        </is>
      </c>
      <c r="G475" s="29" t="inlineStr">
        <is>
          <t>Sensitive account data excluded from AI by default</t>
        </is>
      </c>
      <c r="H475" s="29" t="inlineStr">
        <is>
          <t>Sensitive account data excluded from AI by default</t>
        </is>
      </c>
      <c r="I475" s="29" t="inlineStr">
        <is>
          <t>/home/ubuntu/blyp_product_requirements.md :: Section 23 — AI permissions and action safety</t>
        </is>
      </c>
      <c r="J475" s="29" t="inlineStr">
        <is>
          <t>/home/ubuntu/BLYP_COMPLETE_FEATURE_LIST.md:599</t>
        </is>
      </c>
      <c r="K475" s="29" t="inlineStr">
        <is>
          <t>Required</t>
        </is>
      </c>
      <c r="L475" s="29" t="inlineStr">
        <is>
          <t>Applicable BLYP member</t>
        </is>
      </c>
      <c r="M475" s="29" t="inlineStr">
        <is>
          <t>BLYP mobile application and supporting production services</t>
        </is>
      </c>
      <c r="N475" s="29" t="inlineStr">
        <is>
          <t>Sensitive account data excluded from AI by default</t>
        </is>
      </c>
      <c r="O475" s="29" t="inlineStr">
        <is>
          <t>Not explicitly defined in the product source; requires accountable product approval before production sign-off.</t>
        </is>
      </c>
      <c r="P475" s="29" t="inlineStr"/>
      <c r="Q475" s="29" t="inlineStr">
        <is>
          <t>Partial</t>
        </is>
      </c>
      <c r="R475" s="29" t="inlineStr"/>
      <c r="S475" s="29" t="inlineStr">
        <is>
          <t>Unknown</t>
        </is>
      </c>
      <c r="T475" s="29" t="inlineStr">
        <is>
          <t>Unknown</t>
        </is>
      </c>
      <c r="U475" s="29" t="inlineStr">
        <is>
          <t>Unknown</t>
        </is>
      </c>
      <c r="V475" s="29" t="inlineStr">
        <is>
          <t>Unknown</t>
        </is>
      </c>
      <c r="W475" s="29" t="inlineStr">
        <is>
          <t>Unknown</t>
        </is>
      </c>
      <c r="X475" s="29" t="inlineStr">
        <is>
          <t>Unknown</t>
        </is>
      </c>
      <c r="Y475" s="29" t="inlineStr">
        <is>
          <t>Unknown</t>
        </is>
      </c>
      <c r="Z475" s="29" t="inlineStr">
        <is>
          <t>Unknown</t>
        </is>
      </c>
      <c r="AA475" s="29" t="inlineStr">
        <is>
          <t>Unknown</t>
        </is>
      </c>
      <c r="AB475" s="29" t="inlineStr">
        <is>
          <t>Unknown</t>
        </is>
      </c>
      <c r="AC475" s="29" t="inlineStr"/>
      <c r="AD475" s="29" t="inlineStr">
        <is>
          <t>Unknown</t>
        </is>
      </c>
      <c r="AE475" s="29" t="inlineStr">
        <is>
          <t>Unknown</t>
        </is>
      </c>
      <c r="AF475" s="29" t="inlineStr">
        <is>
          <t>No exact feature-level physical path was resolved from the reviewed evidence.</t>
        </is>
      </c>
      <c r="AG475" s="29" t="inlineStr">
        <is>
          <t>Unknown</t>
        </is>
      </c>
      <c r="AH475" s="29" t="inlineStr">
        <is>
          <t>Unknown</t>
        </is>
      </c>
      <c r="AI475" s="29" t="inlineStr">
        <is>
          <t>Searched for AI action dispatcher, permissions, safety, cancel, reverse, private, dating, sensitive, uncertainty, invent. Found aiService.js which only handles text/hashtag generation.; A prior area review labelled this 'Partial', but did not supply a feature-level physical mapping; the authoritative state is therefore Unknown.</t>
        </is>
      </c>
      <c r="AJ475" s="29" t="inlineStr">
        <is>
          <t>Unknown</t>
        </is>
      </c>
      <c r="AK475" s="29" t="inlineStr">
        <is>
          <t>EV-23-0001</t>
        </is>
      </c>
      <c r="AL475" s="29" t="inlineStr"/>
      <c r="AM475" s="29" t="inlineStr"/>
      <c r="AN475" s="29" t="inlineStr"/>
      <c r="AO475" s="29" t="inlineStr">
        <is>
          <t>8bc0dcb2a1da1b21368c5536aaeef829d587f316</t>
        </is>
      </c>
      <c r="AP475" s="29" t="inlineStr">
        <is>
          <t>Low</t>
        </is>
      </c>
      <c r="AQ475" s="29" t="inlineStr">
        <is>
          <t>Not assessed</t>
        </is>
      </c>
      <c r="AR475" s="29" t="inlineStr">
        <is>
          <t>Not assessed</t>
        </is>
      </c>
      <c r="AS475" s="29" t="inlineStr">
        <is>
          <t>Not assessed</t>
        </is>
      </c>
      <c r="AT475" s="29" t="inlineStr">
        <is>
          <t>Not assessed</t>
        </is>
      </c>
      <c r="AU475" s="29" t="inlineStr">
        <is>
          <t>Not assessed</t>
        </is>
      </c>
      <c r="AV475" s="29" t="inlineStr">
        <is>
          <t>Not assessed</t>
        </is>
      </c>
      <c r="AW475" s="29" t="inlineStr">
        <is>
          <t>Not assessed</t>
        </is>
      </c>
      <c r="AX475" s="29" t="inlineStr">
        <is>
          <t>Not assessed</t>
        </is>
      </c>
      <c r="AY475" s="29" t="inlineStr">
        <is>
          <t>Not assessed</t>
        </is>
      </c>
      <c r="AZ475" s="29" t="inlineStr">
        <is>
          <t>Not assessed</t>
        </is>
      </c>
      <c r="BA475" s="29" t="inlineStr">
        <is>
          <t>Not assessed</t>
        </is>
      </c>
      <c r="BB475" s="29" t="inlineStr">
        <is>
          <t>Not assessed</t>
        </is>
      </c>
      <c r="BC475" s="29" t="inlineStr">
        <is>
          <t>Not assessed</t>
        </is>
      </c>
      <c r="BD475" s="29" t="inlineStr">
        <is>
          <t>Not assessed</t>
        </is>
      </c>
      <c r="BE475" s="29" t="inlineStr">
        <is>
          <t>Not assessed</t>
        </is>
      </c>
      <c r="BF475" s="29" t="inlineStr">
        <is>
          <t>Production readiness cannot be assessed until the exact physical implementation and runtime path are traced.</t>
        </is>
      </c>
      <c r="BG475" s="29" t="inlineStr">
        <is>
          <t>Map the feature to exact client, server, data, worker and configuration locations, then verify its runtime path.</t>
        </is>
      </c>
      <c r="BH475" s="29" t="inlineStr"/>
      <c r="BI475" s="29" t="inlineStr"/>
      <c r="BJ475" s="29" t="inlineStr"/>
      <c r="BK475" s="29" t="inlineStr">
        <is>
          <t>Evidence reconciled against the reviewed source revision. No production approval is inferred from implementation or file presence.</t>
        </is>
      </c>
      <c r="BL475" s="29" t="inlineStr">
        <is>
          <t>2026-08-02</t>
        </is>
      </c>
    </row>
    <row r="476" ht="42" customHeight="1">
      <c r="A476" s="29" t="inlineStr">
        <is>
          <t>BLYP-23-015</t>
        </is>
      </c>
      <c r="B476" s="29" t="inlineStr"/>
      <c r="C476" s="29" t="inlineStr">
        <is>
          <t>AI permissions and action safety</t>
        </is>
      </c>
      <c r="D476" s="29" t="n">
        <v>23</v>
      </c>
      <c r="E476" s="29" t="n">
        <v>15</v>
      </c>
      <c r="F476" s="29" t="inlineStr">
        <is>
          <t>Rule</t>
        </is>
      </c>
      <c r="G476" s="29" t="inlineStr">
        <is>
          <t>Explicit permission for narrowly defined sensitive access</t>
        </is>
      </c>
      <c r="H476" s="29" t="inlineStr">
        <is>
          <t>Explicit permission for narrowly defined sensitive access</t>
        </is>
      </c>
      <c r="I476" s="29" t="inlineStr">
        <is>
          <t>/home/ubuntu/blyp_product_requirements.md :: Section 23 — AI permissions and action safety</t>
        </is>
      </c>
      <c r="J476" s="29" t="inlineStr">
        <is>
          <t>/home/ubuntu/BLYP_COMPLETE_FEATURE_LIST.md:600</t>
        </is>
      </c>
      <c r="K476" s="29" t="inlineStr">
        <is>
          <t>Required</t>
        </is>
      </c>
      <c r="L476" s="29" t="inlineStr">
        <is>
          <t>Applicable BLYP member</t>
        </is>
      </c>
      <c r="M476" s="29" t="inlineStr">
        <is>
          <t>BLYP mobile application and supporting production services</t>
        </is>
      </c>
      <c r="N476" s="29" t="inlineStr">
        <is>
          <t>Explicit permission for narrowly defined sensitive access</t>
        </is>
      </c>
      <c r="O476" s="29" t="inlineStr">
        <is>
          <t>Not explicitly defined in the product source; requires accountable product approval before production sign-off.</t>
        </is>
      </c>
      <c r="P476" s="29" t="inlineStr"/>
      <c r="Q476" s="29" t="inlineStr">
        <is>
          <t>No evidence</t>
        </is>
      </c>
      <c r="R476" s="29" t="inlineStr"/>
      <c r="S476" s="29" t="inlineStr">
        <is>
          <t>Not found</t>
        </is>
      </c>
      <c r="T476" s="29" t="inlineStr">
        <is>
          <t>Unknown</t>
        </is>
      </c>
      <c r="U476" s="29" t="inlineStr">
        <is>
          <t>Unknown</t>
        </is>
      </c>
      <c r="V476" s="29" t="inlineStr">
        <is>
          <t>Unknown</t>
        </is>
      </c>
      <c r="W476" s="29" t="inlineStr">
        <is>
          <t>Unknown</t>
        </is>
      </c>
      <c r="X476" s="29" t="inlineStr">
        <is>
          <t>Unknown</t>
        </is>
      </c>
      <c r="Y476" s="29" t="inlineStr">
        <is>
          <t>Unknown</t>
        </is>
      </c>
      <c r="Z476" s="29" t="inlineStr">
        <is>
          <t>Unknown</t>
        </is>
      </c>
      <c r="AA476" s="29" t="inlineStr">
        <is>
          <t>Unknown</t>
        </is>
      </c>
      <c r="AB476" s="29" t="inlineStr">
        <is>
          <t>Unknown</t>
        </is>
      </c>
      <c r="AC476" s="29" t="inlineStr"/>
      <c r="AD476" s="29" t="inlineStr">
        <is>
          <t>Unknown</t>
        </is>
      </c>
      <c r="AE476" s="29" t="inlineStr">
        <is>
          <t>Unknown</t>
        </is>
      </c>
      <c r="AF476" s="29" t="inlineStr"/>
      <c r="AG476" s="29" t="inlineStr">
        <is>
          <t>Unknown</t>
        </is>
      </c>
      <c r="AH476" s="29" t="inlineStr">
        <is>
          <t>Unknown</t>
        </is>
      </c>
      <c r="AI476" s="29" t="inlineStr">
        <is>
          <t>Searched for AI action dispatcher, permissions, safety, cancel, reverse, private, dating, sensitive, uncertainty, invent. Found aiService.js which only handles text/hashtag generation.</t>
        </is>
      </c>
      <c r="AJ476" s="29" t="inlineStr">
        <is>
          <t>Not verified</t>
        </is>
      </c>
      <c r="AK476" s="29" t="inlineStr">
        <is>
          <t>EV-23-0001</t>
        </is>
      </c>
      <c r="AL476" s="29" t="inlineStr"/>
      <c r="AM476" s="29" t="inlineStr"/>
      <c r="AN476" s="29" t="inlineStr"/>
      <c r="AO476" s="29" t="inlineStr">
        <is>
          <t>8bc0dcb2a1da1b21368c5536aaeef829d587f316</t>
        </is>
      </c>
      <c r="AP476" s="29" t="inlineStr">
        <is>
          <t>High</t>
        </is>
      </c>
      <c r="AQ476" s="29" t="inlineStr">
        <is>
          <t>Not assessed</t>
        </is>
      </c>
      <c r="AR476" s="29" t="inlineStr">
        <is>
          <t>Not assessed</t>
        </is>
      </c>
      <c r="AS476" s="29" t="inlineStr">
        <is>
          <t>Not assessed</t>
        </is>
      </c>
      <c r="AT476" s="29" t="inlineStr">
        <is>
          <t>Not assessed</t>
        </is>
      </c>
      <c r="AU476" s="29" t="inlineStr">
        <is>
          <t>Not assessed</t>
        </is>
      </c>
      <c r="AV476" s="29" t="inlineStr">
        <is>
          <t>Not assessed</t>
        </is>
      </c>
      <c r="AW476" s="29" t="inlineStr">
        <is>
          <t>Not assessed</t>
        </is>
      </c>
      <c r="AX476" s="29" t="inlineStr">
        <is>
          <t>Not assessed</t>
        </is>
      </c>
      <c r="AY476" s="29" t="inlineStr">
        <is>
          <t>Not assessed</t>
        </is>
      </c>
      <c r="AZ476" s="29" t="inlineStr">
        <is>
          <t>Not assessed</t>
        </is>
      </c>
      <c r="BA476" s="29" t="inlineStr">
        <is>
          <t>Not assessed</t>
        </is>
      </c>
      <c r="BB476" s="29" t="inlineStr">
        <is>
          <t>Not assessed</t>
        </is>
      </c>
      <c r="BC476" s="29" t="inlineStr">
        <is>
          <t>Not assessed</t>
        </is>
      </c>
      <c r="BD476" s="29" t="inlineStr">
        <is>
          <t>Not assessed</t>
        </is>
      </c>
      <c r="BE476" s="29" t="inlineStr">
        <is>
          <t>Development required</t>
        </is>
      </c>
      <c r="BF476"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76" s="29" t="inlineStr">
        <is>
          <t>Not assessed</t>
        </is>
      </c>
      <c r="BH476" s="29" t="inlineStr"/>
      <c r="BI476" s="29" t="inlineStr"/>
      <c r="BJ476" s="29" t="inlineStr"/>
      <c r="BK476" s="29" t="inlineStr">
        <is>
          <t>Evidence reconciled against the reviewed source revision. No production approval is inferred from implementation or file presence.</t>
        </is>
      </c>
      <c r="BL476" s="29" t="inlineStr">
        <is>
          <t>2026-08-02</t>
        </is>
      </c>
    </row>
    <row r="477" ht="42" customHeight="1">
      <c r="A477" s="29" t="inlineStr">
        <is>
          <t>BLYP-23-016</t>
        </is>
      </c>
      <c r="B477" s="29" t="inlineStr"/>
      <c r="C477" s="29" t="inlineStr">
        <is>
          <t>AI permissions and action safety</t>
        </is>
      </c>
      <c r="D477" s="29" t="n">
        <v>23</v>
      </c>
      <c r="E477" s="29" t="n">
        <v>16</v>
      </c>
      <c r="F477" s="29" t="inlineStr">
        <is>
          <t>Feature</t>
        </is>
      </c>
      <c r="G477" s="29" t="inlineStr">
        <is>
          <t>AI acknowledges uncertainty</t>
        </is>
      </c>
      <c r="H477" s="29" t="inlineStr">
        <is>
          <t>AI acknowledges uncertainty</t>
        </is>
      </c>
      <c r="I477" s="29" t="inlineStr">
        <is>
          <t>/home/ubuntu/blyp_product_requirements.md :: Section 23 — AI permissions and action safety</t>
        </is>
      </c>
      <c r="J477" s="29" t="inlineStr">
        <is>
          <t>/home/ubuntu/BLYP_COMPLETE_FEATURE_LIST.md:601</t>
        </is>
      </c>
      <c r="K477" s="29" t="inlineStr">
        <is>
          <t>Required</t>
        </is>
      </c>
      <c r="L477" s="29" t="inlineStr">
        <is>
          <t>Applicable BLYP member</t>
        </is>
      </c>
      <c r="M477" s="29" t="inlineStr">
        <is>
          <t>BLYP mobile application and supporting production services</t>
        </is>
      </c>
      <c r="N477" s="29" t="inlineStr">
        <is>
          <t>AI acknowledges uncertainty</t>
        </is>
      </c>
      <c r="O477" s="29" t="inlineStr">
        <is>
          <t>Not explicitly defined in the product source; requires accountable product approval before production sign-off.</t>
        </is>
      </c>
      <c r="P477" s="29" t="inlineStr"/>
      <c r="Q477" s="29" t="inlineStr">
        <is>
          <t>Needs verification</t>
        </is>
      </c>
      <c r="R477" s="29" t="inlineStr"/>
      <c r="S477" s="29" t="inlineStr">
        <is>
          <t>Not found</t>
        </is>
      </c>
      <c r="T477" s="29" t="inlineStr">
        <is>
          <t>Unknown</t>
        </is>
      </c>
      <c r="U477" s="29" t="inlineStr">
        <is>
          <t>Unknown</t>
        </is>
      </c>
      <c r="V477" s="29" t="inlineStr">
        <is>
          <t>Unknown</t>
        </is>
      </c>
      <c r="W477" s="29" t="inlineStr">
        <is>
          <t>Unknown</t>
        </is>
      </c>
      <c r="X477" s="29" t="inlineStr">
        <is>
          <t>Unknown</t>
        </is>
      </c>
      <c r="Y477" s="29" t="inlineStr">
        <is>
          <t>Unknown</t>
        </is>
      </c>
      <c r="Z477" s="29" t="inlineStr">
        <is>
          <t>Unknown</t>
        </is>
      </c>
      <c r="AA477" s="29" t="inlineStr">
        <is>
          <t>Unknown</t>
        </is>
      </c>
      <c r="AB477" s="29" t="inlineStr">
        <is>
          <t>Unknown</t>
        </is>
      </c>
      <c r="AC477" s="29" t="inlineStr"/>
      <c r="AD477" s="29" t="inlineStr">
        <is>
          <t>Unknown</t>
        </is>
      </c>
      <c r="AE477" s="29" t="inlineStr">
        <is>
          <t>Unknown</t>
        </is>
      </c>
      <c r="AF477" s="29" t="inlineStr"/>
      <c r="AG477" s="29" t="inlineStr">
        <is>
          <t>Unknown</t>
        </is>
      </c>
      <c r="AH477" s="29" t="inlineStr">
        <is>
          <t>Unknown</t>
        </is>
      </c>
      <c r="AI477" s="29" t="inlineStr">
        <is>
          <t>Searched for AI action dispatcher, permissions, safety, cancel, reverse, private, dating, sensitive, uncertainty, invent. Found aiService.js which only handles text/hashtag generation.</t>
        </is>
      </c>
      <c r="AJ477" s="29" t="inlineStr">
        <is>
          <t>Not verified</t>
        </is>
      </c>
      <c r="AK477" s="29" t="inlineStr">
        <is>
          <t>EV-23-0001</t>
        </is>
      </c>
      <c r="AL477" s="29" t="inlineStr"/>
      <c r="AM477" s="29" t="inlineStr"/>
      <c r="AN477" s="29" t="inlineStr"/>
      <c r="AO477" s="29" t="inlineStr">
        <is>
          <t>8bc0dcb2a1da1b21368c5536aaeef829d587f316</t>
        </is>
      </c>
      <c r="AP477" s="29" t="inlineStr">
        <is>
          <t>High</t>
        </is>
      </c>
      <c r="AQ477" s="29" t="inlineStr">
        <is>
          <t>Not assessed</t>
        </is>
      </c>
      <c r="AR477" s="29" t="inlineStr">
        <is>
          <t>Not assessed</t>
        </is>
      </c>
      <c r="AS477" s="29" t="inlineStr">
        <is>
          <t>Not assessed</t>
        </is>
      </c>
      <c r="AT477" s="29" t="inlineStr">
        <is>
          <t>Not assessed</t>
        </is>
      </c>
      <c r="AU477" s="29" t="inlineStr">
        <is>
          <t>Not assessed</t>
        </is>
      </c>
      <c r="AV477" s="29" t="inlineStr">
        <is>
          <t>Not assessed</t>
        </is>
      </c>
      <c r="AW477" s="29" t="inlineStr">
        <is>
          <t>Not assessed</t>
        </is>
      </c>
      <c r="AX477" s="29" t="inlineStr">
        <is>
          <t>Not assessed</t>
        </is>
      </c>
      <c r="AY477" s="29" t="inlineStr">
        <is>
          <t>Not assessed</t>
        </is>
      </c>
      <c r="AZ477" s="29" t="inlineStr">
        <is>
          <t>Not assessed</t>
        </is>
      </c>
      <c r="BA477" s="29" t="inlineStr">
        <is>
          <t>Not assessed</t>
        </is>
      </c>
      <c r="BB477" s="29" t="inlineStr">
        <is>
          <t>Not assessed</t>
        </is>
      </c>
      <c r="BC477" s="29" t="inlineStr">
        <is>
          <t>Not assessed</t>
        </is>
      </c>
      <c r="BD477" s="29" t="inlineStr">
        <is>
          <t>Not assessed</t>
        </is>
      </c>
      <c r="BE477" s="29" t="inlineStr">
        <is>
          <t>Development required</t>
        </is>
      </c>
      <c r="BF477"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77" s="29" t="inlineStr">
        <is>
          <t>Not assessed</t>
        </is>
      </c>
      <c r="BH477" s="29" t="inlineStr"/>
      <c r="BI477" s="29" t="inlineStr"/>
      <c r="BJ477" s="29" t="inlineStr"/>
      <c r="BK477" s="29" t="inlineStr">
        <is>
          <t>Evidence reconciled against the reviewed source revision. No production approval is inferred from implementation or file presence.</t>
        </is>
      </c>
      <c r="BL477" s="29" t="inlineStr">
        <is>
          <t>2026-08-02</t>
        </is>
      </c>
    </row>
    <row r="478" ht="42" customHeight="1">
      <c r="A478" s="29" t="inlineStr">
        <is>
          <t>BLYP-23-017</t>
        </is>
      </c>
      <c r="B478" s="29" t="inlineStr"/>
      <c r="C478" s="29" t="inlineStr">
        <is>
          <t>AI permissions and action safety</t>
        </is>
      </c>
      <c r="D478" s="29" t="n">
        <v>23</v>
      </c>
      <c r="E478" s="29" t="n">
        <v>17</v>
      </c>
      <c r="F478" s="29" t="inlineStr">
        <is>
          <t>Feature</t>
        </is>
      </c>
      <c r="G478" s="29" t="inlineStr">
        <is>
          <t>AI does not invent app/account facts</t>
        </is>
      </c>
      <c r="H478" s="29" t="inlineStr">
        <is>
          <t>AI does not invent app/account facts</t>
        </is>
      </c>
      <c r="I478" s="29" t="inlineStr">
        <is>
          <t>/home/ubuntu/blyp_product_requirements.md :: Section 23 — AI permissions and action safety</t>
        </is>
      </c>
      <c r="J478" s="29" t="inlineStr">
        <is>
          <t>/home/ubuntu/BLYP_COMPLETE_FEATURE_LIST.md:602</t>
        </is>
      </c>
      <c r="K478" s="29" t="inlineStr">
        <is>
          <t>Required</t>
        </is>
      </c>
      <c r="L478" s="29" t="inlineStr">
        <is>
          <t>Applicable BLYP member</t>
        </is>
      </c>
      <c r="M478" s="29" t="inlineStr">
        <is>
          <t>BLYP mobile application and supporting production services</t>
        </is>
      </c>
      <c r="N478" s="29" t="inlineStr">
        <is>
          <t>AI does not invent app/account facts</t>
        </is>
      </c>
      <c r="O478" s="29" t="inlineStr">
        <is>
          <t>Not explicitly defined in the product source; requires accountable product approval before production sign-off.</t>
        </is>
      </c>
      <c r="P478" s="29" t="inlineStr"/>
      <c r="Q478" s="29" t="inlineStr">
        <is>
          <t>Needs verification</t>
        </is>
      </c>
      <c r="R478" s="29" t="inlineStr"/>
      <c r="S478" s="29" t="inlineStr">
        <is>
          <t>Not found</t>
        </is>
      </c>
      <c r="T478" s="29" t="inlineStr">
        <is>
          <t>Unknown</t>
        </is>
      </c>
      <c r="U478" s="29" t="inlineStr">
        <is>
          <t>Unknown</t>
        </is>
      </c>
      <c r="V478" s="29" t="inlineStr">
        <is>
          <t>Unknown</t>
        </is>
      </c>
      <c r="W478" s="29" t="inlineStr">
        <is>
          <t>Unknown</t>
        </is>
      </c>
      <c r="X478" s="29" t="inlineStr">
        <is>
          <t>Unknown</t>
        </is>
      </c>
      <c r="Y478" s="29" t="inlineStr">
        <is>
          <t>Unknown</t>
        </is>
      </c>
      <c r="Z478" s="29" t="inlineStr">
        <is>
          <t>Unknown</t>
        </is>
      </c>
      <c r="AA478" s="29" t="inlineStr">
        <is>
          <t>Unknown</t>
        </is>
      </c>
      <c r="AB478" s="29" t="inlineStr">
        <is>
          <t>Unknown</t>
        </is>
      </c>
      <c r="AC478" s="29" t="inlineStr"/>
      <c r="AD478" s="29" t="inlineStr">
        <is>
          <t>Unknown</t>
        </is>
      </c>
      <c r="AE478" s="29" t="inlineStr">
        <is>
          <t>Unknown</t>
        </is>
      </c>
      <c r="AF478" s="29" t="inlineStr"/>
      <c r="AG478" s="29" t="inlineStr">
        <is>
          <t>Unknown</t>
        </is>
      </c>
      <c r="AH478" s="29" t="inlineStr">
        <is>
          <t>Unknown</t>
        </is>
      </c>
      <c r="AI478" s="29" t="inlineStr">
        <is>
          <t>Searched for AI action dispatcher, permissions, safety, cancel, reverse, private, dating, sensitive, uncertainty, invent. Found aiService.js which only handles text/hashtag generation.</t>
        </is>
      </c>
      <c r="AJ478" s="29" t="inlineStr">
        <is>
          <t>Not verified</t>
        </is>
      </c>
      <c r="AK478" s="29" t="inlineStr">
        <is>
          <t>EV-23-0001</t>
        </is>
      </c>
      <c r="AL478" s="29" t="inlineStr"/>
      <c r="AM478" s="29" t="inlineStr"/>
      <c r="AN478" s="29" t="inlineStr"/>
      <c r="AO478" s="29" t="inlineStr">
        <is>
          <t>8bc0dcb2a1da1b21368c5536aaeef829d587f316</t>
        </is>
      </c>
      <c r="AP478" s="29" t="inlineStr">
        <is>
          <t>High</t>
        </is>
      </c>
      <c r="AQ478" s="29" t="inlineStr">
        <is>
          <t>Not assessed</t>
        </is>
      </c>
      <c r="AR478" s="29" t="inlineStr">
        <is>
          <t>Not assessed</t>
        </is>
      </c>
      <c r="AS478" s="29" t="inlineStr">
        <is>
          <t>Not assessed</t>
        </is>
      </c>
      <c r="AT478" s="29" t="inlineStr">
        <is>
          <t>Not assessed</t>
        </is>
      </c>
      <c r="AU478" s="29" t="inlineStr">
        <is>
          <t>Not assessed</t>
        </is>
      </c>
      <c r="AV478" s="29" t="inlineStr">
        <is>
          <t>Not assessed</t>
        </is>
      </c>
      <c r="AW478" s="29" t="inlineStr">
        <is>
          <t>Not assessed</t>
        </is>
      </c>
      <c r="AX478" s="29" t="inlineStr">
        <is>
          <t>Not assessed</t>
        </is>
      </c>
      <c r="AY478" s="29" t="inlineStr">
        <is>
          <t>Not assessed</t>
        </is>
      </c>
      <c r="AZ478" s="29" t="inlineStr">
        <is>
          <t>Not assessed</t>
        </is>
      </c>
      <c r="BA478" s="29" t="inlineStr">
        <is>
          <t>Not assessed</t>
        </is>
      </c>
      <c r="BB478" s="29" t="inlineStr">
        <is>
          <t>Not assessed</t>
        </is>
      </c>
      <c r="BC478" s="29" t="inlineStr">
        <is>
          <t>Not assessed</t>
        </is>
      </c>
      <c r="BD478" s="29" t="inlineStr">
        <is>
          <t>Not assessed</t>
        </is>
      </c>
      <c r="BE478" s="29" t="inlineStr">
        <is>
          <t>Development required</t>
        </is>
      </c>
      <c r="BF478" s="29" t="inlineStr">
        <is>
          <t>Not assessed; Physical implementation is not complete against the stated requirement.; Searched for AI action dispatcher, permissions, safety, cancel, reverse, private, dating, sensitive, uncertainty, invent. Found aiService.js which only handles text/hashtag generation.</t>
        </is>
      </c>
      <c r="BG478" s="29" t="inlineStr">
        <is>
          <t>Not assessed</t>
        </is>
      </c>
      <c r="BH478" s="29" t="inlineStr"/>
      <c r="BI478" s="29" t="inlineStr"/>
      <c r="BJ478" s="29" t="inlineStr"/>
      <c r="BK478" s="29" t="inlineStr">
        <is>
          <t>Evidence reconciled against the reviewed source revision. No production approval is inferred from implementation or file presence.</t>
        </is>
      </c>
      <c r="BL478" s="29" t="inlineStr">
        <is>
          <t>2026-08-02</t>
        </is>
      </c>
    </row>
    <row r="479" ht="42" customHeight="1">
      <c r="A479" s="29" t="inlineStr">
        <is>
          <t>BLYP-24-001</t>
        </is>
      </c>
      <c r="B479" s="29" t="inlineStr"/>
      <c r="C479" s="29" t="inlineStr">
        <is>
          <t>Defined subscriber-only Dating experience</t>
        </is>
      </c>
      <c r="D479" s="29" t="n">
        <v>24</v>
      </c>
      <c r="E479" s="29" t="n">
        <v>1</v>
      </c>
      <c r="F479" s="29" t="inlineStr">
        <is>
          <t>Feature</t>
        </is>
      </c>
      <c r="G479" s="29" t="inlineStr">
        <is>
          <t>£4.99 access entitlement</t>
        </is>
      </c>
      <c r="H479" s="29" t="inlineStr">
        <is>
          <t>£4.99 access entitlement</t>
        </is>
      </c>
      <c r="I479" s="29" t="inlineStr">
        <is>
          <t>/home/ubuntu/blyp_product_requirements.md :: Section 24 — Defined subscriber-only Dating experience</t>
        </is>
      </c>
      <c r="J479" s="29" t="inlineStr">
        <is>
          <t>/home/ubuntu/BLYP_COMPLETE_FEATURE_LIST.md:608</t>
        </is>
      </c>
      <c r="K479" s="29" t="inlineStr">
        <is>
          <t>Required</t>
        </is>
      </c>
      <c r="L479" s="29" t="inlineStr">
        <is>
          <t>Applicable BLYP member</t>
        </is>
      </c>
      <c r="M479" s="29" t="inlineStr">
        <is>
          <t>Production platform, service and operator controls</t>
        </is>
      </c>
      <c r="N479" s="29" t="inlineStr">
        <is>
          <t>£4.99 access entitlement</t>
        </is>
      </c>
      <c r="O479" s="29" t="inlineStr">
        <is>
          <t>Not explicitly defined in the product source; requires accountable product approval before production sign-off.</t>
        </is>
      </c>
      <c r="P479" s="29" t="inlineStr">
        <is>
          <t>Not assessed</t>
        </is>
      </c>
      <c r="Q479" s="29" t="inlineStr">
        <is>
          <t>No evidence</t>
        </is>
      </c>
      <c r="R479" s="29" t="inlineStr"/>
      <c r="S479" s="29" t="inlineStr">
        <is>
          <t>Not found</t>
        </is>
      </c>
      <c r="T479" s="29" t="inlineStr">
        <is>
          <t>Not assessed</t>
        </is>
      </c>
      <c r="U479" s="29" t="inlineStr">
        <is>
          <t>Not assessed</t>
        </is>
      </c>
      <c r="V479" s="29" t="inlineStr">
        <is>
          <t>Not assessed</t>
        </is>
      </c>
      <c r="W479" s="29" t="inlineStr">
        <is>
          <t>Not assessed</t>
        </is>
      </c>
      <c r="X479" s="29" t="inlineStr">
        <is>
          <t>Not assessed</t>
        </is>
      </c>
      <c r="Y479" s="29" t="inlineStr">
        <is>
          <t>Not assessed</t>
        </is>
      </c>
      <c r="Z479" s="29" t="inlineStr">
        <is>
          <t>Not assessed</t>
        </is>
      </c>
      <c r="AA479" s="29" t="inlineStr">
        <is>
          <t>Not assessed</t>
        </is>
      </c>
      <c r="AB479" s="29" t="inlineStr">
        <is>
          <t>Not assessed</t>
        </is>
      </c>
      <c r="AC479" s="29" t="inlineStr"/>
      <c r="AD479" s="29" t="inlineStr"/>
      <c r="AE479" s="29" t="inlineStr">
        <is>
          <t>Unknown</t>
        </is>
      </c>
      <c r="AF479" s="29" t="inlineStr">
        <is>
          <t>Not assessed</t>
        </is>
      </c>
      <c r="AG479" s="29" t="inlineStr">
        <is>
          <t>Unknown</t>
        </is>
      </c>
      <c r="AH479" s="29" t="inlineStr">
        <is>
          <t>Unknown</t>
        </is>
      </c>
      <c r="AI479" s="29" t="inlineStr">
        <is>
          <t>Searched for dating, match, unmatch, subscriber in source code, no relevant implementation found.</t>
        </is>
      </c>
      <c r="AJ479" s="29" t="inlineStr">
        <is>
          <t>Not verified</t>
        </is>
      </c>
      <c r="AK479" s="29" t="inlineStr"/>
      <c r="AL479" s="29" t="inlineStr"/>
      <c r="AM479" s="29" t="inlineStr"/>
      <c r="AN479" s="29" t="inlineStr"/>
      <c r="AO479" s="29" t="inlineStr">
        <is>
          <t>8bc0dcb2a1da1b21368c5536aaeef829d587f316</t>
        </is>
      </c>
      <c r="AP479" s="29" t="inlineStr">
        <is>
          <t>Unrated</t>
        </is>
      </c>
      <c r="AQ479" s="29" t="inlineStr">
        <is>
          <t>Not assessed</t>
        </is>
      </c>
      <c r="AR479" s="29" t="inlineStr">
        <is>
          <t>Not assessed</t>
        </is>
      </c>
      <c r="AS479" s="29" t="inlineStr">
        <is>
          <t>Not assessed</t>
        </is>
      </c>
      <c r="AT479" s="29" t="inlineStr">
        <is>
          <t>Not assessed</t>
        </is>
      </c>
      <c r="AU479" s="29" t="inlineStr">
        <is>
          <t>Not assessed</t>
        </is>
      </c>
      <c r="AV479" s="29" t="inlineStr">
        <is>
          <t>Not assessed</t>
        </is>
      </c>
      <c r="AW479" s="29" t="inlineStr">
        <is>
          <t>Not assessed</t>
        </is>
      </c>
      <c r="AX479" s="29" t="inlineStr">
        <is>
          <t>Not assessed</t>
        </is>
      </c>
      <c r="AY479" s="29" t="inlineStr">
        <is>
          <t>Not assessed</t>
        </is>
      </c>
      <c r="AZ479" s="29" t="inlineStr">
        <is>
          <t>Not assessed</t>
        </is>
      </c>
      <c r="BA479" s="29" t="inlineStr">
        <is>
          <t>Not assessed</t>
        </is>
      </c>
      <c r="BB479" s="29" t="inlineStr">
        <is>
          <t>Not assessed</t>
        </is>
      </c>
      <c r="BC479" s="29" t="inlineStr">
        <is>
          <t>Not assessed</t>
        </is>
      </c>
      <c r="BD479" s="29" t="inlineStr">
        <is>
          <t>Not assessed</t>
        </is>
      </c>
      <c r="BE479" s="29" t="inlineStr">
        <is>
          <t>Development required</t>
        </is>
      </c>
      <c r="BF479" s="29" t="inlineStr">
        <is>
          <t>Physical implementation is not complete against the stated requirement.; Searched for dating, match, unmatch, subscriber in source code, no relevant implementation found.</t>
        </is>
      </c>
      <c r="BG479" s="29" t="inlineStr"/>
      <c r="BH479" s="29" t="inlineStr"/>
      <c r="BI479" s="29" t="inlineStr"/>
      <c r="BJ479" s="29" t="inlineStr"/>
      <c r="BK479" s="29" t="inlineStr">
        <is>
          <t>Evidence reconciled against the reviewed source revision. No production approval is inferred from implementation or file presence.</t>
        </is>
      </c>
      <c r="BL479" s="29" t="inlineStr">
        <is>
          <t>2026-08-02</t>
        </is>
      </c>
    </row>
    <row r="480" ht="42" customHeight="1">
      <c r="A480" s="29" t="inlineStr">
        <is>
          <t>BLYP-24-002</t>
        </is>
      </c>
      <c r="B480" s="29" t="inlineStr"/>
      <c r="C480" s="29" t="inlineStr">
        <is>
          <t>Defined subscriber-only Dating experience</t>
        </is>
      </c>
      <c r="D480" s="29" t="n">
        <v>24</v>
      </c>
      <c r="E480" s="29" t="n">
        <v>2</v>
      </c>
      <c r="F480" s="29" t="inlineStr">
        <is>
          <t>Feature</t>
        </is>
      </c>
      <c r="G480" s="29" t="inlineStr">
        <is>
          <t>Opt-in adult-only Dating area</t>
        </is>
      </c>
      <c r="H480" s="29" t="inlineStr">
        <is>
          <t>Opt-in adult-only Dating area</t>
        </is>
      </c>
      <c r="I480" s="29" t="inlineStr">
        <is>
          <t>/home/ubuntu/blyp_product_requirements.md :: Section 24 — Defined subscriber-only Dating experience</t>
        </is>
      </c>
      <c r="J480" s="29" t="inlineStr">
        <is>
          <t>/home/ubuntu/BLYP_COMPLETE_FEATURE_LIST.md:609</t>
        </is>
      </c>
      <c r="K480" s="29" t="inlineStr">
        <is>
          <t>Required</t>
        </is>
      </c>
      <c r="L480" s="29" t="inlineStr">
        <is>
          <t>Applicable BLYP member</t>
        </is>
      </c>
      <c r="M480" s="29" t="inlineStr">
        <is>
          <t>Production platform, service and operator controls</t>
        </is>
      </c>
      <c r="N480" s="29" t="inlineStr">
        <is>
          <t>Opt-in adult-only Dating area</t>
        </is>
      </c>
      <c r="O480" s="29" t="inlineStr">
        <is>
          <t>Not explicitly defined in the product source; requires accountable product approval before production sign-off.</t>
        </is>
      </c>
      <c r="P480" s="29" t="inlineStr">
        <is>
          <t>Not assessed</t>
        </is>
      </c>
      <c r="Q480" s="29" t="inlineStr">
        <is>
          <t>No evidence</t>
        </is>
      </c>
      <c r="R480" s="29" t="inlineStr"/>
      <c r="S480" s="29" t="inlineStr">
        <is>
          <t>Not found</t>
        </is>
      </c>
      <c r="T480" s="29" t="inlineStr">
        <is>
          <t>Not assessed</t>
        </is>
      </c>
      <c r="U480" s="29" t="inlineStr">
        <is>
          <t>Not assessed</t>
        </is>
      </c>
      <c r="V480" s="29" t="inlineStr">
        <is>
          <t>Not assessed</t>
        </is>
      </c>
      <c r="W480" s="29" t="inlineStr">
        <is>
          <t>Not assessed</t>
        </is>
      </c>
      <c r="X480" s="29" t="inlineStr">
        <is>
          <t>Not assessed</t>
        </is>
      </c>
      <c r="Y480" s="29" t="inlineStr">
        <is>
          <t>Not assessed</t>
        </is>
      </c>
      <c r="Z480" s="29" t="inlineStr">
        <is>
          <t>Not assessed</t>
        </is>
      </c>
      <c r="AA480" s="29" t="inlineStr">
        <is>
          <t>Not assessed</t>
        </is>
      </c>
      <c r="AB480" s="29" t="inlineStr">
        <is>
          <t>Not assessed</t>
        </is>
      </c>
      <c r="AC480" s="29" t="inlineStr"/>
      <c r="AD480" s="29" t="inlineStr"/>
      <c r="AE480" s="29" t="inlineStr">
        <is>
          <t>Unknown</t>
        </is>
      </c>
      <c r="AF480" s="29" t="inlineStr">
        <is>
          <t>Not assessed</t>
        </is>
      </c>
      <c r="AG480" s="29" t="inlineStr">
        <is>
          <t>Unknown</t>
        </is>
      </c>
      <c r="AH480" s="29" t="inlineStr">
        <is>
          <t>Unknown</t>
        </is>
      </c>
      <c r="AI480" s="29" t="inlineStr">
        <is>
          <t>Searched for dating, match, unmatch, subscriber in source code, no relevant implementation found.</t>
        </is>
      </c>
      <c r="AJ480" s="29" t="inlineStr">
        <is>
          <t>Not verified</t>
        </is>
      </c>
      <c r="AK480" s="29" t="inlineStr"/>
      <c r="AL480" s="29" t="inlineStr"/>
      <c r="AM480" s="29" t="inlineStr"/>
      <c r="AN480" s="29" t="inlineStr"/>
      <c r="AO480" s="29" t="inlineStr">
        <is>
          <t>8bc0dcb2a1da1b21368c5536aaeef829d587f316</t>
        </is>
      </c>
      <c r="AP480" s="29" t="inlineStr">
        <is>
          <t>Unrated</t>
        </is>
      </c>
      <c r="AQ480" s="29" t="inlineStr">
        <is>
          <t>Not assessed</t>
        </is>
      </c>
      <c r="AR480" s="29" t="inlineStr">
        <is>
          <t>Not assessed</t>
        </is>
      </c>
      <c r="AS480" s="29" t="inlineStr">
        <is>
          <t>Not assessed</t>
        </is>
      </c>
      <c r="AT480" s="29" t="inlineStr">
        <is>
          <t>Not assessed</t>
        </is>
      </c>
      <c r="AU480" s="29" t="inlineStr">
        <is>
          <t>Not assessed</t>
        </is>
      </c>
      <c r="AV480" s="29" t="inlineStr">
        <is>
          <t>Not assessed</t>
        </is>
      </c>
      <c r="AW480" s="29" t="inlineStr">
        <is>
          <t>Not assessed</t>
        </is>
      </c>
      <c r="AX480" s="29" t="inlineStr">
        <is>
          <t>Not assessed</t>
        </is>
      </c>
      <c r="AY480" s="29" t="inlineStr">
        <is>
          <t>Not assessed</t>
        </is>
      </c>
      <c r="AZ480" s="29" t="inlineStr">
        <is>
          <t>Not assessed</t>
        </is>
      </c>
      <c r="BA480" s="29" t="inlineStr">
        <is>
          <t>Not assessed</t>
        </is>
      </c>
      <c r="BB480" s="29" t="inlineStr">
        <is>
          <t>Not assessed</t>
        </is>
      </c>
      <c r="BC480" s="29" t="inlineStr">
        <is>
          <t>Not assessed</t>
        </is>
      </c>
      <c r="BD480" s="29" t="inlineStr">
        <is>
          <t>Not assessed</t>
        </is>
      </c>
      <c r="BE480" s="29" t="inlineStr">
        <is>
          <t>Development required</t>
        </is>
      </c>
      <c r="BF480" s="29" t="inlineStr">
        <is>
          <t>Physical implementation is not complete against the stated requirement.; Searched for dating, match, unmatch, subscriber in source code, no relevant implementation found.</t>
        </is>
      </c>
      <c r="BG480" s="29" t="inlineStr"/>
      <c r="BH480" s="29" t="inlineStr"/>
      <c r="BI480" s="29" t="inlineStr"/>
      <c r="BJ480" s="29" t="inlineStr"/>
      <c r="BK480" s="29" t="inlineStr">
        <is>
          <t>Evidence reconciled against the reviewed source revision. No production approval is inferred from implementation or file presence.</t>
        </is>
      </c>
      <c r="BL480" s="29" t="inlineStr">
        <is>
          <t>2026-08-02</t>
        </is>
      </c>
    </row>
    <row r="481" ht="42" customHeight="1">
      <c r="A481" s="29" t="inlineStr">
        <is>
          <t>BLYP-24-003</t>
        </is>
      </c>
      <c r="B481" s="29" t="inlineStr"/>
      <c r="C481" s="29" t="inlineStr">
        <is>
          <t>Defined subscriber-only Dating experience</t>
        </is>
      </c>
      <c r="D481" s="29" t="n">
        <v>24</v>
      </c>
      <c r="E481" s="29" t="n">
        <v>3</v>
      </c>
      <c r="F481" s="29" t="inlineStr">
        <is>
          <t>Feature</t>
        </is>
      </c>
      <c r="G481" s="29" t="inlineStr">
        <is>
          <t>Distinct Dating profile</t>
        </is>
      </c>
      <c r="H481" s="29" t="inlineStr">
        <is>
          <t>Distinct Dating profile</t>
        </is>
      </c>
      <c r="I481" s="29" t="inlineStr">
        <is>
          <t>/home/ubuntu/blyp_product_requirements.md :: Section 24 — Defined subscriber-only Dating experience</t>
        </is>
      </c>
      <c r="J481" s="29" t="inlineStr">
        <is>
          <t>/home/ubuntu/BLYP_COMPLETE_FEATURE_LIST.md:610</t>
        </is>
      </c>
      <c r="K481" s="29" t="inlineStr">
        <is>
          <t>Required</t>
        </is>
      </c>
      <c r="L481" s="29" t="inlineStr">
        <is>
          <t>Applicable BLYP member</t>
        </is>
      </c>
      <c r="M481" s="29" t="inlineStr">
        <is>
          <t>Production platform, service and operator controls</t>
        </is>
      </c>
      <c r="N481" s="29" t="inlineStr">
        <is>
          <t>Distinct Dating profile</t>
        </is>
      </c>
      <c r="O481" s="29" t="inlineStr">
        <is>
          <t>Not explicitly defined in the product source; requires accountable product approval before production sign-off.</t>
        </is>
      </c>
      <c r="P481" s="29" t="inlineStr">
        <is>
          <t>Not assessed</t>
        </is>
      </c>
      <c r="Q481" s="29" t="inlineStr">
        <is>
          <t>No evidence</t>
        </is>
      </c>
      <c r="R481" s="29" t="inlineStr"/>
      <c r="S481" s="29" t="inlineStr">
        <is>
          <t>Not found</t>
        </is>
      </c>
      <c r="T481" s="29" t="inlineStr">
        <is>
          <t>Not assessed</t>
        </is>
      </c>
      <c r="U481" s="29" t="inlineStr">
        <is>
          <t>Not assessed</t>
        </is>
      </c>
      <c r="V481" s="29" t="inlineStr">
        <is>
          <t>Not assessed</t>
        </is>
      </c>
      <c r="W481" s="29" t="inlineStr">
        <is>
          <t>Not assessed</t>
        </is>
      </c>
      <c r="X481" s="29" t="inlineStr">
        <is>
          <t>Not assessed</t>
        </is>
      </c>
      <c r="Y481" s="29" t="inlineStr">
        <is>
          <t>Not assessed</t>
        </is>
      </c>
      <c r="Z481" s="29" t="inlineStr">
        <is>
          <t>Not assessed</t>
        </is>
      </c>
      <c r="AA481" s="29" t="inlineStr">
        <is>
          <t>Not assessed</t>
        </is>
      </c>
      <c r="AB481" s="29" t="inlineStr">
        <is>
          <t>Not assessed</t>
        </is>
      </c>
      <c r="AC481" s="29" t="inlineStr"/>
      <c r="AD481" s="29" t="inlineStr"/>
      <c r="AE481" s="29" t="inlineStr">
        <is>
          <t>Unknown</t>
        </is>
      </c>
      <c r="AF481" s="29" t="inlineStr">
        <is>
          <t>Not assessed</t>
        </is>
      </c>
      <c r="AG481" s="29" t="inlineStr">
        <is>
          <t>Unknown</t>
        </is>
      </c>
      <c r="AH481" s="29" t="inlineStr">
        <is>
          <t>Unknown</t>
        </is>
      </c>
      <c r="AI481" s="29" t="inlineStr">
        <is>
          <t>Searched for dating, match, unmatch, subscriber in source code, no relevant implementation found.</t>
        </is>
      </c>
      <c r="AJ481" s="29" t="inlineStr">
        <is>
          <t>Not verified</t>
        </is>
      </c>
      <c r="AK481" s="29" t="inlineStr"/>
      <c r="AL481" s="29" t="inlineStr"/>
      <c r="AM481" s="29" t="inlineStr"/>
      <c r="AN481" s="29" t="inlineStr"/>
      <c r="AO481" s="29" t="inlineStr">
        <is>
          <t>8bc0dcb2a1da1b21368c5536aaeef829d587f316</t>
        </is>
      </c>
      <c r="AP481" s="29" t="inlineStr">
        <is>
          <t>Unrated</t>
        </is>
      </c>
      <c r="AQ481" s="29" t="inlineStr">
        <is>
          <t>Not assessed</t>
        </is>
      </c>
      <c r="AR481" s="29" t="inlineStr">
        <is>
          <t>Not assessed</t>
        </is>
      </c>
      <c r="AS481" s="29" t="inlineStr">
        <is>
          <t>Not assessed</t>
        </is>
      </c>
      <c r="AT481" s="29" t="inlineStr">
        <is>
          <t>Not assessed</t>
        </is>
      </c>
      <c r="AU481" s="29" t="inlineStr">
        <is>
          <t>Not assessed</t>
        </is>
      </c>
      <c r="AV481" s="29" t="inlineStr">
        <is>
          <t>Not assessed</t>
        </is>
      </c>
      <c r="AW481" s="29" t="inlineStr">
        <is>
          <t>Not assessed</t>
        </is>
      </c>
      <c r="AX481" s="29" t="inlineStr">
        <is>
          <t>Not assessed</t>
        </is>
      </c>
      <c r="AY481" s="29" t="inlineStr">
        <is>
          <t>Not assessed</t>
        </is>
      </c>
      <c r="AZ481" s="29" t="inlineStr">
        <is>
          <t>Not assessed</t>
        </is>
      </c>
      <c r="BA481" s="29" t="inlineStr">
        <is>
          <t>Not assessed</t>
        </is>
      </c>
      <c r="BB481" s="29" t="inlineStr">
        <is>
          <t>Not assessed</t>
        </is>
      </c>
      <c r="BC481" s="29" t="inlineStr">
        <is>
          <t>Not assessed</t>
        </is>
      </c>
      <c r="BD481" s="29" t="inlineStr">
        <is>
          <t>Not assessed</t>
        </is>
      </c>
      <c r="BE481" s="29" t="inlineStr">
        <is>
          <t>Development required</t>
        </is>
      </c>
      <c r="BF481" s="29" t="inlineStr">
        <is>
          <t>Physical implementation is not complete against the stated requirement.; Searched for dating, match, unmatch, subscriber in source code, no relevant implementation found.</t>
        </is>
      </c>
      <c r="BG481" s="29" t="inlineStr"/>
      <c r="BH481" s="29" t="inlineStr"/>
      <c r="BI481" s="29" t="inlineStr"/>
      <c r="BJ481" s="29" t="inlineStr"/>
      <c r="BK481" s="29" t="inlineStr">
        <is>
          <t>Evidence reconciled against the reviewed source revision. No production approval is inferred from implementation or file presence.</t>
        </is>
      </c>
      <c r="BL481" s="29" t="inlineStr">
        <is>
          <t>2026-08-02</t>
        </is>
      </c>
    </row>
    <row r="482" ht="42" customHeight="1">
      <c r="A482" s="29" t="inlineStr">
        <is>
          <t>BLYP-24-004</t>
        </is>
      </c>
      <c r="B482" s="29" t="inlineStr"/>
      <c r="C482" s="29" t="inlineStr">
        <is>
          <t>Defined subscriber-only Dating experience</t>
        </is>
      </c>
      <c r="D482" s="29" t="n">
        <v>24</v>
      </c>
      <c r="E482" s="29" t="n">
        <v>4</v>
      </c>
      <c r="F482" s="29" t="inlineStr">
        <is>
          <t>Feature</t>
        </is>
      </c>
      <c r="G482" s="29" t="inlineStr">
        <is>
          <t>Dating preferences</t>
        </is>
      </c>
      <c r="H482" s="29" t="inlineStr">
        <is>
          <t>Dating preferences</t>
        </is>
      </c>
      <c r="I482" s="29" t="inlineStr">
        <is>
          <t>/home/ubuntu/blyp_product_requirements.md :: Section 24 — Defined subscriber-only Dating experience</t>
        </is>
      </c>
      <c r="J482" s="29" t="inlineStr">
        <is>
          <t>/home/ubuntu/BLYP_COMPLETE_FEATURE_LIST.md:611</t>
        </is>
      </c>
      <c r="K482" s="29" t="inlineStr">
        <is>
          <t>Required</t>
        </is>
      </c>
      <c r="L482" s="29" t="inlineStr">
        <is>
          <t>Applicable BLYP member</t>
        </is>
      </c>
      <c r="M482" s="29" t="inlineStr">
        <is>
          <t>Production platform, service and operator controls</t>
        </is>
      </c>
      <c r="N482" s="29" t="inlineStr">
        <is>
          <t>Dating preferences</t>
        </is>
      </c>
      <c r="O482" s="29" t="inlineStr">
        <is>
          <t>Not explicitly defined in the product source; requires accountable product approval before production sign-off.</t>
        </is>
      </c>
      <c r="P482" s="29" t="inlineStr">
        <is>
          <t>Not assessed</t>
        </is>
      </c>
      <c r="Q482" s="29" t="inlineStr">
        <is>
          <t>No evidence</t>
        </is>
      </c>
      <c r="R482" s="29" t="inlineStr"/>
      <c r="S482" s="29" t="inlineStr">
        <is>
          <t>Not found</t>
        </is>
      </c>
      <c r="T482" s="29" t="inlineStr">
        <is>
          <t>Not assessed</t>
        </is>
      </c>
      <c r="U482" s="29" t="inlineStr">
        <is>
          <t>Not assessed</t>
        </is>
      </c>
      <c r="V482" s="29" t="inlineStr">
        <is>
          <t>Not assessed</t>
        </is>
      </c>
      <c r="W482" s="29" t="inlineStr">
        <is>
          <t>Not assessed</t>
        </is>
      </c>
      <c r="X482" s="29" t="inlineStr">
        <is>
          <t>Not assessed</t>
        </is>
      </c>
      <c r="Y482" s="29" t="inlineStr">
        <is>
          <t>Not assessed</t>
        </is>
      </c>
      <c r="Z482" s="29" t="inlineStr">
        <is>
          <t>Not assessed</t>
        </is>
      </c>
      <c r="AA482" s="29" t="inlineStr">
        <is>
          <t>Not assessed</t>
        </is>
      </c>
      <c r="AB482" s="29" t="inlineStr">
        <is>
          <t>Not assessed</t>
        </is>
      </c>
      <c r="AC482" s="29" t="inlineStr"/>
      <c r="AD482" s="29" t="inlineStr"/>
      <c r="AE482" s="29" t="inlineStr">
        <is>
          <t>Unknown</t>
        </is>
      </c>
      <c r="AF482" s="29" t="inlineStr">
        <is>
          <t>Not assessed</t>
        </is>
      </c>
      <c r="AG482" s="29" t="inlineStr">
        <is>
          <t>Unknown</t>
        </is>
      </c>
      <c r="AH482" s="29" t="inlineStr">
        <is>
          <t>Unknown</t>
        </is>
      </c>
      <c r="AI482" s="29" t="inlineStr">
        <is>
          <t>Searched for dating, match, unmatch, subscriber in source code, no relevant implementation found.</t>
        </is>
      </c>
      <c r="AJ482" s="29" t="inlineStr">
        <is>
          <t>Not verified</t>
        </is>
      </c>
      <c r="AK482" s="29" t="inlineStr"/>
      <c r="AL482" s="29" t="inlineStr"/>
      <c r="AM482" s="29" t="inlineStr"/>
      <c r="AN482" s="29" t="inlineStr"/>
      <c r="AO482" s="29" t="inlineStr">
        <is>
          <t>8bc0dcb2a1da1b21368c5536aaeef829d587f316</t>
        </is>
      </c>
      <c r="AP482" s="29" t="inlineStr">
        <is>
          <t>Unrated</t>
        </is>
      </c>
      <c r="AQ482" s="29" t="inlineStr">
        <is>
          <t>Not assessed</t>
        </is>
      </c>
      <c r="AR482" s="29" t="inlineStr">
        <is>
          <t>Not assessed</t>
        </is>
      </c>
      <c r="AS482" s="29" t="inlineStr">
        <is>
          <t>Not assessed</t>
        </is>
      </c>
      <c r="AT482" s="29" t="inlineStr">
        <is>
          <t>Not assessed</t>
        </is>
      </c>
      <c r="AU482" s="29" t="inlineStr">
        <is>
          <t>Not assessed</t>
        </is>
      </c>
      <c r="AV482" s="29" t="inlineStr">
        <is>
          <t>Not assessed</t>
        </is>
      </c>
      <c r="AW482" s="29" t="inlineStr">
        <is>
          <t>Not assessed</t>
        </is>
      </c>
      <c r="AX482" s="29" t="inlineStr">
        <is>
          <t>Not assessed</t>
        </is>
      </c>
      <c r="AY482" s="29" t="inlineStr">
        <is>
          <t>Not assessed</t>
        </is>
      </c>
      <c r="AZ482" s="29" t="inlineStr">
        <is>
          <t>Not assessed</t>
        </is>
      </c>
      <c r="BA482" s="29" t="inlineStr">
        <is>
          <t>Not assessed</t>
        </is>
      </c>
      <c r="BB482" s="29" t="inlineStr">
        <is>
          <t>Not assessed</t>
        </is>
      </c>
      <c r="BC482" s="29" t="inlineStr">
        <is>
          <t>Not assessed</t>
        </is>
      </c>
      <c r="BD482" s="29" t="inlineStr">
        <is>
          <t>Not assessed</t>
        </is>
      </c>
      <c r="BE482" s="29" t="inlineStr">
        <is>
          <t>Development required</t>
        </is>
      </c>
      <c r="BF482" s="29" t="inlineStr">
        <is>
          <t>Physical implementation is not complete against the stated requirement.; Searched for dating, match, unmatch, subscriber in source code, no relevant implementation found.</t>
        </is>
      </c>
      <c r="BG482" s="29" t="inlineStr"/>
      <c r="BH482" s="29" t="inlineStr"/>
      <c r="BI482" s="29" t="inlineStr"/>
      <c r="BJ482" s="29" t="inlineStr"/>
      <c r="BK482" s="29" t="inlineStr">
        <is>
          <t>Evidence reconciled against the reviewed source revision. No production approval is inferred from implementation or file presence.</t>
        </is>
      </c>
      <c r="BL482" s="29" t="inlineStr">
        <is>
          <t>2026-08-02</t>
        </is>
      </c>
    </row>
    <row r="483" ht="42" customHeight="1">
      <c r="A483" s="29" t="inlineStr">
        <is>
          <t>BLYP-24-005</t>
        </is>
      </c>
      <c r="B483" s="29" t="inlineStr"/>
      <c r="C483" s="29" t="inlineStr">
        <is>
          <t>Defined subscriber-only Dating experience</t>
        </is>
      </c>
      <c r="D483" s="29" t="n">
        <v>24</v>
      </c>
      <c r="E483" s="29" t="n">
        <v>5</v>
      </c>
      <c r="F483" s="29" t="inlineStr">
        <is>
          <t>Feature</t>
        </is>
      </c>
      <c r="G483" s="29" t="inlineStr">
        <is>
          <t>Approximate-distance controls</t>
        </is>
      </c>
      <c r="H483" s="29" t="inlineStr">
        <is>
          <t>Approximate-distance controls</t>
        </is>
      </c>
      <c r="I483" s="29" t="inlineStr">
        <is>
          <t>/home/ubuntu/blyp_product_requirements.md :: Section 24 — Defined subscriber-only Dating experience</t>
        </is>
      </c>
      <c r="J483" s="29" t="inlineStr">
        <is>
          <t>/home/ubuntu/BLYP_COMPLETE_FEATURE_LIST.md:612</t>
        </is>
      </c>
      <c r="K483" s="29" t="inlineStr">
        <is>
          <t>Required</t>
        </is>
      </c>
      <c r="L483" s="29" t="inlineStr">
        <is>
          <t>Applicable BLYP member</t>
        </is>
      </c>
      <c r="M483" s="29" t="inlineStr">
        <is>
          <t>Production platform, service and operator controls</t>
        </is>
      </c>
      <c r="N483" s="29" t="inlineStr">
        <is>
          <t>Approximate-distance controls</t>
        </is>
      </c>
      <c r="O483" s="29" t="inlineStr">
        <is>
          <t>Not explicitly defined in the product source; requires accountable product approval before production sign-off.</t>
        </is>
      </c>
      <c r="P483" s="29" t="inlineStr">
        <is>
          <t>Not assessed</t>
        </is>
      </c>
      <c r="Q483" s="29" t="inlineStr">
        <is>
          <t>No evidence</t>
        </is>
      </c>
      <c r="R483" s="29" t="inlineStr"/>
      <c r="S483" s="29" t="inlineStr">
        <is>
          <t>Not found</t>
        </is>
      </c>
      <c r="T483" s="29" t="inlineStr">
        <is>
          <t>Not assessed</t>
        </is>
      </c>
      <c r="U483" s="29" t="inlineStr">
        <is>
          <t>Not assessed</t>
        </is>
      </c>
      <c r="V483" s="29" t="inlineStr">
        <is>
          <t>Not assessed</t>
        </is>
      </c>
      <c r="W483" s="29" t="inlineStr">
        <is>
          <t>Not assessed</t>
        </is>
      </c>
      <c r="X483" s="29" t="inlineStr">
        <is>
          <t>Not assessed</t>
        </is>
      </c>
      <c r="Y483" s="29" t="inlineStr">
        <is>
          <t>Not assessed</t>
        </is>
      </c>
      <c r="Z483" s="29" t="inlineStr">
        <is>
          <t>Not assessed</t>
        </is>
      </c>
      <c r="AA483" s="29" t="inlineStr">
        <is>
          <t>Not assessed</t>
        </is>
      </c>
      <c r="AB483" s="29" t="inlineStr">
        <is>
          <t>Not assessed</t>
        </is>
      </c>
      <c r="AC483" s="29" t="inlineStr"/>
      <c r="AD483" s="29" t="inlineStr"/>
      <c r="AE483" s="29" t="inlineStr">
        <is>
          <t>Unknown</t>
        </is>
      </c>
      <c r="AF483" s="29" t="inlineStr">
        <is>
          <t>Not assessed</t>
        </is>
      </c>
      <c r="AG483" s="29" t="inlineStr">
        <is>
          <t>Unknown</t>
        </is>
      </c>
      <c r="AH483" s="29" t="inlineStr">
        <is>
          <t>Unknown</t>
        </is>
      </c>
      <c r="AI483" s="29" t="inlineStr">
        <is>
          <t>Searched for dating, match, unmatch, subscriber in source code, no relevant implementation found.</t>
        </is>
      </c>
      <c r="AJ483" s="29" t="inlineStr">
        <is>
          <t>Not verified</t>
        </is>
      </c>
      <c r="AK483" s="29" t="inlineStr"/>
      <c r="AL483" s="29" t="inlineStr"/>
      <c r="AM483" s="29" t="inlineStr"/>
      <c r="AN483" s="29" t="inlineStr"/>
      <c r="AO483" s="29" t="inlineStr">
        <is>
          <t>8bc0dcb2a1da1b21368c5536aaeef829d587f316</t>
        </is>
      </c>
      <c r="AP483" s="29" t="inlineStr">
        <is>
          <t>Unrated</t>
        </is>
      </c>
      <c r="AQ483" s="29" t="inlineStr">
        <is>
          <t>Not assessed</t>
        </is>
      </c>
      <c r="AR483" s="29" t="inlineStr">
        <is>
          <t>Not assessed</t>
        </is>
      </c>
      <c r="AS483" s="29" t="inlineStr">
        <is>
          <t>Not assessed</t>
        </is>
      </c>
      <c r="AT483" s="29" t="inlineStr">
        <is>
          <t>Not assessed</t>
        </is>
      </c>
      <c r="AU483" s="29" t="inlineStr">
        <is>
          <t>Not assessed</t>
        </is>
      </c>
      <c r="AV483" s="29" t="inlineStr">
        <is>
          <t>Not assessed</t>
        </is>
      </c>
      <c r="AW483" s="29" t="inlineStr">
        <is>
          <t>Not assessed</t>
        </is>
      </c>
      <c r="AX483" s="29" t="inlineStr">
        <is>
          <t>Not assessed</t>
        </is>
      </c>
      <c r="AY483" s="29" t="inlineStr">
        <is>
          <t>Not assessed</t>
        </is>
      </c>
      <c r="AZ483" s="29" t="inlineStr">
        <is>
          <t>Not assessed</t>
        </is>
      </c>
      <c r="BA483" s="29" t="inlineStr">
        <is>
          <t>Not assessed</t>
        </is>
      </c>
      <c r="BB483" s="29" t="inlineStr">
        <is>
          <t>Not assessed</t>
        </is>
      </c>
      <c r="BC483" s="29" t="inlineStr">
        <is>
          <t>Not assessed</t>
        </is>
      </c>
      <c r="BD483" s="29" t="inlineStr">
        <is>
          <t>Not assessed</t>
        </is>
      </c>
      <c r="BE483" s="29" t="inlineStr">
        <is>
          <t>Development required</t>
        </is>
      </c>
      <c r="BF483" s="29" t="inlineStr">
        <is>
          <t>Physical implementation is not complete against the stated requirement.; Searched for dating, match, unmatch, subscriber in source code, no relevant implementation found.</t>
        </is>
      </c>
      <c r="BG483" s="29" t="inlineStr"/>
      <c r="BH483" s="29" t="inlineStr"/>
      <c r="BI483" s="29" t="inlineStr"/>
      <c r="BJ483" s="29" t="inlineStr"/>
      <c r="BK483" s="29" t="inlineStr">
        <is>
          <t>Evidence reconciled against the reviewed source revision. No production approval is inferred from implementation or file presence.</t>
        </is>
      </c>
      <c r="BL483" s="29" t="inlineStr">
        <is>
          <t>2026-08-02</t>
        </is>
      </c>
    </row>
    <row r="484" ht="42" customHeight="1">
      <c r="A484" s="29" t="inlineStr">
        <is>
          <t>BLYP-24-006</t>
        </is>
      </c>
      <c r="B484" s="29" t="inlineStr"/>
      <c r="C484" s="29" t="inlineStr">
        <is>
          <t>Defined subscriber-only Dating experience</t>
        </is>
      </c>
      <c r="D484" s="29" t="n">
        <v>24</v>
      </c>
      <c r="E484" s="29" t="n">
        <v>6</v>
      </c>
      <c r="F484" s="29" t="inlineStr">
        <is>
          <t>Feature</t>
        </is>
      </c>
      <c r="G484" s="29" t="inlineStr">
        <is>
          <t>Compatible-member discovery</t>
        </is>
      </c>
      <c r="H484" s="29" t="inlineStr">
        <is>
          <t>Compatible-member discovery</t>
        </is>
      </c>
      <c r="I484" s="29" t="inlineStr">
        <is>
          <t>/home/ubuntu/blyp_product_requirements.md :: Section 24 — Defined subscriber-only Dating experience</t>
        </is>
      </c>
      <c r="J484" s="29" t="inlineStr">
        <is>
          <t>/home/ubuntu/BLYP_COMPLETE_FEATURE_LIST.md:613</t>
        </is>
      </c>
      <c r="K484" s="29" t="inlineStr">
        <is>
          <t>Required</t>
        </is>
      </c>
      <c r="L484" s="29" t="inlineStr">
        <is>
          <t>Applicable BLYP member</t>
        </is>
      </c>
      <c r="M484" s="29" t="inlineStr">
        <is>
          <t>Production platform, service and operator controls</t>
        </is>
      </c>
      <c r="N484" s="29" t="inlineStr">
        <is>
          <t>Compatible-member discovery</t>
        </is>
      </c>
      <c r="O484" s="29" t="inlineStr">
        <is>
          <t>Not explicitly defined in the product source; requires accountable product approval before production sign-off.</t>
        </is>
      </c>
      <c r="P484" s="29" t="inlineStr">
        <is>
          <t>Not assessed</t>
        </is>
      </c>
      <c r="Q484" s="29" t="inlineStr">
        <is>
          <t>No evidence</t>
        </is>
      </c>
      <c r="R484" s="29" t="inlineStr"/>
      <c r="S484" s="29" t="inlineStr">
        <is>
          <t>Not found</t>
        </is>
      </c>
      <c r="T484" s="29" t="inlineStr">
        <is>
          <t>Not assessed</t>
        </is>
      </c>
      <c r="U484" s="29" t="inlineStr">
        <is>
          <t>Not assessed</t>
        </is>
      </c>
      <c r="V484" s="29" t="inlineStr">
        <is>
          <t>Not assessed</t>
        </is>
      </c>
      <c r="W484" s="29" t="inlineStr">
        <is>
          <t>Not assessed</t>
        </is>
      </c>
      <c r="X484" s="29" t="inlineStr">
        <is>
          <t>Not assessed</t>
        </is>
      </c>
      <c r="Y484" s="29" t="inlineStr">
        <is>
          <t>Not assessed</t>
        </is>
      </c>
      <c r="Z484" s="29" t="inlineStr">
        <is>
          <t>Not assessed</t>
        </is>
      </c>
      <c r="AA484" s="29" t="inlineStr">
        <is>
          <t>Not assessed</t>
        </is>
      </c>
      <c r="AB484" s="29" t="inlineStr">
        <is>
          <t>Not assessed</t>
        </is>
      </c>
      <c r="AC484" s="29" t="inlineStr"/>
      <c r="AD484" s="29" t="inlineStr"/>
      <c r="AE484" s="29" t="inlineStr">
        <is>
          <t>Unknown</t>
        </is>
      </c>
      <c r="AF484" s="29" t="inlineStr">
        <is>
          <t>Not assessed</t>
        </is>
      </c>
      <c r="AG484" s="29" t="inlineStr">
        <is>
          <t>Unknown</t>
        </is>
      </c>
      <c r="AH484" s="29" t="inlineStr">
        <is>
          <t>Unknown</t>
        </is>
      </c>
      <c r="AI484" s="29" t="inlineStr">
        <is>
          <t>Searched for dating, match, unmatch, subscriber in source code, no relevant implementation found.</t>
        </is>
      </c>
      <c r="AJ484" s="29" t="inlineStr">
        <is>
          <t>Not verified</t>
        </is>
      </c>
      <c r="AK484" s="29" t="inlineStr"/>
      <c r="AL484" s="29" t="inlineStr"/>
      <c r="AM484" s="29" t="inlineStr"/>
      <c r="AN484" s="29" t="inlineStr"/>
      <c r="AO484" s="29" t="inlineStr">
        <is>
          <t>8bc0dcb2a1da1b21368c5536aaeef829d587f316</t>
        </is>
      </c>
      <c r="AP484" s="29" t="inlineStr">
        <is>
          <t>Unrated</t>
        </is>
      </c>
      <c r="AQ484" s="29" t="inlineStr">
        <is>
          <t>Not assessed</t>
        </is>
      </c>
      <c r="AR484" s="29" t="inlineStr">
        <is>
          <t>Not assessed</t>
        </is>
      </c>
      <c r="AS484" s="29" t="inlineStr">
        <is>
          <t>Not assessed</t>
        </is>
      </c>
      <c r="AT484" s="29" t="inlineStr">
        <is>
          <t>Not assessed</t>
        </is>
      </c>
      <c r="AU484" s="29" t="inlineStr">
        <is>
          <t>Not assessed</t>
        </is>
      </c>
      <c r="AV484" s="29" t="inlineStr">
        <is>
          <t>Not assessed</t>
        </is>
      </c>
      <c r="AW484" s="29" t="inlineStr">
        <is>
          <t>Not assessed</t>
        </is>
      </c>
      <c r="AX484" s="29" t="inlineStr">
        <is>
          <t>Not assessed</t>
        </is>
      </c>
      <c r="AY484" s="29" t="inlineStr">
        <is>
          <t>Not assessed</t>
        </is>
      </c>
      <c r="AZ484" s="29" t="inlineStr">
        <is>
          <t>Not assessed</t>
        </is>
      </c>
      <c r="BA484" s="29" t="inlineStr">
        <is>
          <t>Not assessed</t>
        </is>
      </c>
      <c r="BB484" s="29" t="inlineStr">
        <is>
          <t>Not assessed</t>
        </is>
      </c>
      <c r="BC484" s="29" t="inlineStr">
        <is>
          <t>Not assessed</t>
        </is>
      </c>
      <c r="BD484" s="29" t="inlineStr">
        <is>
          <t>Not assessed</t>
        </is>
      </c>
      <c r="BE484" s="29" t="inlineStr">
        <is>
          <t>Development required</t>
        </is>
      </c>
      <c r="BF484" s="29" t="inlineStr">
        <is>
          <t>Physical implementation is not complete against the stated requirement.; Searched for dating, match, unmatch, subscriber in source code, no relevant implementation found.</t>
        </is>
      </c>
      <c r="BG484" s="29" t="inlineStr"/>
      <c r="BH484" s="29" t="inlineStr"/>
      <c r="BI484" s="29" t="inlineStr"/>
      <c r="BJ484" s="29" t="inlineStr"/>
      <c r="BK484" s="29" t="inlineStr">
        <is>
          <t>Evidence reconciled against the reviewed source revision. No production approval is inferred from implementation or file presence.</t>
        </is>
      </c>
      <c r="BL484" s="29" t="inlineStr">
        <is>
          <t>2026-08-02</t>
        </is>
      </c>
    </row>
    <row r="485" ht="42" customHeight="1">
      <c r="A485" s="29" t="inlineStr">
        <is>
          <t>BLYP-24-007</t>
        </is>
      </c>
      <c r="B485" s="29" t="inlineStr"/>
      <c r="C485" s="29" t="inlineStr">
        <is>
          <t>Defined subscriber-only Dating experience</t>
        </is>
      </c>
      <c r="D485" s="29" t="n">
        <v>24</v>
      </c>
      <c r="E485" s="29" t="n">
        <v>7</v>
      </c>
      <c r="F485" s="29" t="inlineStr">
        <is>
          <t>Feature</t>
        </is>
      </c>
      <c r="G485" s="29" t="inlineStr">
        <is>
          <t>Mutual matching</t>
        </is>
      </c>
      <c r="H485" s="29" t="inlineStr">
        <is>
          <t>Mutual matching</t>
        </is>
      </c>
      <c r="I485" s="29" t="inlineStr">
        <is>
          <t>/home/ubuntu/blyp_product_requirements.md :: Section 24 — Defined subscriber-only Dating experience</t>
        </is>
      </c>
      <c r="J485" s="29" t="inlineStr">
        <is>
          <t>/home/ubuntu/BLYP_COMPLETE_FEATURE_LIST.md:614</t>
        </is>
      </c>
      <c r="K485" s="29" t="inlineStr">
        <is>
          <t>Required</t>
        </is>
      </c>
      <c r="L485" s="29" t="inlineStr">
        <is>
          <t>Applicable BLYP member</t>
        </is>
      </c>
      <c r="M485" s="29" t="inlineStr">
        <is>
          <t>Production platform, service and operator controls</t>
        </is>
      </c>
      <c r="N485" s="29" t="inlineStr">
        <is>
          <t>Mutual matching</t>
        </is>
      </c>
      <c r="O485" s="29" t="inlineStr">
        <is>
          <t>Not explicitly defined in the product source; requires accountable product approval before production sign-off.</t>
        </is>
      </c>
      <c r="P485" s="29" t="inlineStr">
        <is>
          <t>Not assessed</t>
        </is>
      </c>
      <c r="Q485" s="29" t="inlineStr">
        <is>
          <t>No evidence</t>
        </is>
      </c>
      <c r="R485" s="29" t="inlineStr"/>
      <c r="S485" s="29" t="inlineStr">
        <is>
          <t>Not found</t>
        </is>
      </c>
      <c r="T485" s="29" t="inlineStr">
        <is>
          <t>Not assessed</t>
        </is>
      </c>
      <c r="U485" s="29" t="inlineStr">
        <is>
          <t>Not assessed</t>
        </is>
      </c>
      <c r="V485" s="29" t="inlineStr">
        <is>
          <t>Not assessed</t>
        </is>
      </c>
      <c r="W485" s="29" t="inlineStr">
        <is>
          <t>Not assessed</t>
        </is>
      </c>
      <c r="X485" s="29" t="inlineStr">
        <is>
          <t>Not assessed</t>
        </is>
      </c>
      <c r="Y485" s="29" t="inlineStr">
        <is>
          <t>Not assessed</t>
        </is>
      </c>
      <c r="Z485" s="29" t="inlineStr">
        <is>
          <t>Not assessed</t>
        </is>
      </c>
      <c r="AA485" s="29" t="inlineStr">
        <is>
          <t>Not assessed</t>
        </is>
      </c>
      <c r="AB485" s="29" t="inlineStr">
        <is>
          <t>Not assessed</t>
        </is>
      </c>
      <c r="AC485" s="29" t="inlineStr"/>
      <c r="AD485" s="29" t="inlineStr"/>
      <c r="AE485" s="29" t="inlineStr">
        <is>
          <t>Unknown</t>
        </is>
      </c>
      <c r="AF485" s="29" t="inlineStr">
        <is>
          <t>Not assessed</t>
        </is>
      </c>
      <c r="AG485" s="29" t="inlineStr">
        <is>
          <t>Unknown</t>
        </is>
      </c>
      <c r="AH485" s="29" t="inlineStr">
        <is>
          <t>Unknown</t>
        </is>
      </c>
      <c r="AI485" s="29" t="inlineStr">
        <is>
          <t>Searched for dating, match, unmatch, subscriber in source code, no relevant implementation found.</t>
        </is>
      </c>
      <c r="AJ485" s="29" t="inlineStr">
        <is>
          <t>Not verified</t>
        </is>
      </c>
      <c r="AK485" s="29" t="inlineStr"/>
      <c r="AL485" s="29" t="inlineStr"/>
      <c r="AM485" s="29" t="inlineStr"/>
      <c r="AN485" s="29" t="inlineStr"/>
      <c r="AO485" s="29" t="inlineStr">
        <is>
          <t>8bc0dcb2a1da1b21368c5536aaeef829d587f316</t>
        </is>
      </c>
      <c r="AP485" s="29" t="inlineStr">
        <is>
          <t>Unrated</t>
        </is>
      </c>
      <c r="AQ485" s="29" t="inlineStr">
        <is>
          <t>Not assessed</t>
        </is>
      </c>
      <c r="AR485" s="29" t="inlineStr">
        <is>
          <t>Not assessed</t>
        </is>
      </c>
      <c r="AS485" s="29" t="inlineStr">
        <is>
          <t>Not assessed</t>
        </is>
      </c>
      <c r="AT485" s="29" t="inlineStr">
        <is>
          <t>Not assessed</t>
        </is>
      </c>
      <c r="AU485" s="29" t="inlineStr">
        <is>
          <t>Not assessed</t>
        </is>
      </c>
      <c r="AV485" s="29" t="inlineStr">
        <is>
          <t>Not assessed</t>
        </is>
      </c>
      <c r="AW485" s="29" t="inlineStr">
        <is>
          <t>Not assessed</t>
        </is>
      </c>
      <c r="AX485" s="29" t="inlineStr">
        <is>
          <t>Not assessed</t>
        </is>
      </c>
      <c r="AY485" s="29" t="inlineStr">
        <is>
          <t>Not assessed</t>
        </is>
      </c>
      <c r="AZ485" s="29" t="inlineStr">
        <is>
          <t>Not assessed</t>
        </is>
      </c>
      <c r="BA485" s="29" t="inlineStr">
        <is>
          <t>Not assessed</t>
        </is>
      </c>
      <c r="BB485" s="29" t="inlineStr">
        <is>
          <t>Not assessed</t>
        </is>
      </c>
      <c r="BC485" s="29" t="inlineStr">
        <is>
          <t>Not assessed</t>
        </is>
      </c>
      <c r="BD485" s="29" t="inlineStr">
        <is>
          <t>Not assessed</t>
        </is>
      </c>
      <c r="BE485" s="29" t="inlineStr">
        <is>
          <t>Development required</t>
        </is>
      </c>
      <c r="BF485" s="29" t="inlineStr">
        <is>
          <t>Physical implementation is not complete against the stated requirement.; Searched for dating, match, unmatch, subscriber in source code, no relevant implementation found.</t>
        </is>
      </c>
      <c r="BG485" s="29" t="inlineStr"/>
      <c r="BH485" s="29" t="inlineStr"/>
      <c r="BI485" s="29" t="inlineStr"/>
      <c r="BJ485" s="29" t="inlineStr"/>
      <c r="BK485" s="29" t="inlineStr">
        <is>
          <t>Evidence reconciled against the reviewed source revision. No production approval is inferred from implementation or file presence.</t>
        </is>
      </c>
      <c r="BL485" s="29" t="inlineStr">
        <is>
          <t>2026-08-02</t>
        </is>
      </c>
    </row>
    <row r="486" ht="42" customHeight="1">
      <c r="A486" s="29" t="inlineStr">
        <is>
          <t>BLYP-24-008</t>
        </is>
      </c>
      <c r="B486" s="29" t="inlineStr"/>
      <c r="C486" s="29" t="inlineStr">
        <is>
          <t>Defined subscriber-only Dating experience</t>
        </is>
      </c>
      <c r="D486" s="29" t="n">
        <v>24</v>
      </c>
      <c r="E486" s="29" t="n">
        <v>8</v>
      </c>
      <c r="F486" s="29" t="inlineStr">
        <is>
          <t>Rule</t>
        </is>
      </c>
      <c r="G486" s="29" t="inlineStr">
        <is>
          <t>Private conversation only after matching</t>
        </is>
      </c>
      <c r="H486" s="29" t="inlineStr">
        <is>
          <t>Private conversation only after matching</t>
        </is>
      </c>
      <c r="I486" s="29" t="inlineStr">
        <is>
          <t>/home/ubuntu/blyp_product_requirements.md :: Section 24 — Defined subscriber-only Dating experience</t>
        </is>
      </c>
      <c r="J486" s="29" t="inlineStr">
        <is>
          <t>/home/ubuntu/BLYP_COMPLETE_FEATURE_LIST.md:615</t>
        </is>
      </c>
      <c r="K486" s="29" t="inlineStr">
        <is>
          <t>Required</t>
        </is>
      </c>
      <c r="L486" s="29" t="inlineStr">
        <is>
          <t>Applicable BLYP member</t>
        </is>
      </c>
      <c r="M486" s="29" t="inlineStr">
        <is>
          <t>Production platform, service and operator controls</t>
        </is>
      </c>
      <c r="N486" s="29" t="inlineStr">
        <is>
          <t>Private conversation only after matching</t>
        </is>
      </c>
      <c r="O486" s="29" t="inlineStr">
        <is>
          <t>Not explicitly defined in the product source; requires accountable product approval before production sign-off.</t>
        </is>
      </c>
      <c r="P486" s="29" t="inlineStr">
        <is>
          <t>Not assessed</t>
        </is>
      </c>
      <c r="Q486" s="29" t="inlineStr">
        <is>
          <t>No evidence</t>
        </is>
      </c>
      <c r="R486" s="29" t="inlineStr"/>
      <c r="S486" s="29" t="inlineStr">
        <is>
          <t>Not found</t>
        </is>
      </c>
      <c r="T486" s="29" t="inlineStr">
        <is>
          <t>Not assessed</t>
        </is>
      </c>
      <c r="U486" s="29" t="inlineStr">
        <is>
          <t>Not assessed</t>
        </is>
      </c>
      <c r="V486" s="29" t="inlineStr">
        <is>
          <t>Not assessed</t>
        </is>
      </c>
      <c r="W486" s="29" t="inlineStr">
        <is>
          <t>Not assessed</t>
        </is>
      </c>
      <c r="X486" s="29" t="inlineStr">
        <is>
          <t>Not assessed</t>
        </is>
      </c>
      <c r="Y486" s="29" t="inlineStr">
        <is>
          <t>Not assessed</t>
        </is>
      </c>
      <c r="Z486" s="29" t="inlineStr">
        <is>
          <t>Not assessed</t>
        </is>
      </c>
      <c r="AA486" s="29" t="inlineStr">
        <is>
          <t>Not assessed</t>
        </is>
      </c>
      <c r="AB486" s="29" t="inlineStr">
        <is>
          <t>Not assessed</t>
        </is>
      </c>
      <c r="AC486" s="29" t="inlineStr"/>
      <c r="AD486" s="29" t="inlineStr"/>
      <c r="AE486" s="29" t="inlineStr">
        <is>
          <t>Unknown</t>
        </is>
      </c>
      <c r="AF486" s="29" t="inlineStr">
        <is>
          <t>Not assessed</t>
        </is>
      </c>
      <c r="AG486" s="29" t="inlineStr">
        <is>
          <t>Unknown</t>
        </is>
      </c>
      <c r="AH486" s="29" t="inlineStr">
        <is>
          <t>Unknown</t>
        </is>
      </c>
      <c r="AI486" s="29" t="inlineStr">
        <is>
          <t>Searched for dating, match, unmatch, subscriber in source code, no relevant implementation found.</t>
        </is>
      </c>
      <c r="AJ486" s="29" t="inlineStr">
        <is>
          <t>Not verified</t>
        </is>
      </c>
      <c r="AK486" s="29" t="inlineStr"/>
      <c r="AL486" s="29" t="inlineStr"/>
      <c r="AM486" s="29" t="inlineStr"/>
      <c r="AN486" s="29" t="inlineStr"/>
      <c r="AO486" s="29" t="inlineStr">
        <is>
          <t>8bc0dcb2a1da1b21368c5536aaeef829d587f316</t>
        </is>
      </c>
      <c r="AP486" s="29" t="inlineStr">
        <is>
          <t>Unrated</t>
        </is>
      </c>
      <c r="AQ486" s="29" t="inlineStr">
        <is>
          <t>Not assessed</t>
        </is>
      </c>
      <c r="AR486" s="29" t="inlineStr">
        <is>
          <t>Not assessed</t>
        </is>
      </c>
      <c r="AS486" s="29" t="inlineStr">
        <is>
          <t>Not assessed</t>
        </is>
      </c>
      <c r="AT486" s="29" t="inlineStr">
        <is>
          <t>Not assessed</t>
        </is>
      </c>
      <c r="AU486" s="29" t="inlineStr">
        <is>
          <t>Not assessed</t>
        </is>
      </c>
      <c r="AV486" s="29" t="inlineStr">
        <is>
          <t>Not assessed</t>
        </is>
      </c>
      <c r="AW486" s="29" t="inlineStr">
        <is>
          <t>Not assessed</t>
        </is>
      </c>
      <c r="AX486" s="29" t="inlineStr">
        <is>
          <t>Not assessed</t>
        </is>
      </c>
      <c r="AY486" s="29" t="inlineStr">
        <is>
          <t>Not assessed</t>
        </is>
      </c>
      <c r="AZ486" s="29" t="inlineStr">
        <is>
          <t>Not assessed</t>
        </is>
      </c>
      <c r="BA486" s="29" t="inlineStr">
        <is>
          <t>Not assessed</t>
        </is>
      </c>
      <c r="BB486" s="29" t="inlineStr">
        <is>
          <t>Not assessed</t>
        </is>
      </c>
      <c r="BC486" s="29" t="inlineStr">
        <is>
          <t>Not assessed</t>
        </is>
      </c>
      <c r="BD486" s="29" t="inlineStr">
        <is>
          <t>Not assessed</t>
        </is>
      </c>
      <c r="BE486" s="29" t="inlineStr">
        <is>
          <t>Development required</t>
        </is>
      </c>
      <c r="BF486" s="29" t="inlineStr">
        <is>
          <t>Physical implementation is not complete against the stated requirement.; Searched for dating, match, unmatch, subscriber in source code, no relevant implementation found.</t>
        </is>
      </c>
      <c r="BG486" s="29" t="inlineStr"/>
      <c r="BH486" s="29" t="inlineStr"/>
      <c r="BI486" s="29" t="inlineStr"/>
      <c r="BJ486" s="29" t="inlineStr"/>
      <c r="BK486" s="29" t="inlineStr">
        <is>
          <t>Evidence reconciled against the reviewed source revision. No production approval is inferred from implementation or file presence.</t>
        </is>
      </c>
      <c r="BL486" s="29" t="inlineStr">
        <is>
          <t>2026-08-02</t>
        </is>
      </c>
    </row>
    <row r="487" ht="42" customHeight="1">
      <c r="A487" s="29" t="inlineStr">
        <is>
          <t>BLYP-24-009</t>
        </is>
      </c>
      <c r="B487" s="29" t="inlineStr"/>
      <c r="C487" s="29" t="inlineStr">
        <is>
          <t>Defined subscriber-only Dating experience</t>
        </is>
      </c>
      <c r="D487" s="29" t="n">
        <v>24</v>
      </c>
      <c r="E487" s="29" t="n">
        <v>9</v>
      </c>
      <c r="F487" s="29" t="inlineStr">
        <is>
          <t>Feature</t>
        </is>
      </c>
      <c r="G487" s="29" t="inlineStr">
        <is>
          <t>Live speed-dating rooms</t>
        </is>
      </c>
      <c r="H487" s="29" t="inlineStr">
        <is>
          <t>Live speed-dating rooms</t>
        </is>
      </c>
      <c r="I487" s="29" t="inlineStr">
        <is>
          <t>/home/ubuntu/blyp_product_requirements.md :: Section 24 — Defined subscriber-only Dating experience</t>
        </is>
      </c>
      <c r="J487" s="29" t="inlineStr">
        <is>
          <t>/home/ubuntu/BLYP_COMPLETE_FEATURE_LIST.md:616</t>
        </is>
      </c>
      <c r="K487" s="29" t="inlineStr">
        <is>
          <t>Required</t>
        </is>
      </c>
      <c r="L487" s="29" t="inlineStr">
        <is>
          <t>Applicable BLYP member</t>
        </is>
      </c>
      <c r="M487" s="29" t="inlineStr">
        <is>
          <t>Production platform, service and operator controls</t>
        </is>
      </c>
      <c r="N487" s="29" t="inlineStr">
        <is>
          <t>Live speed-dating rooms</t>
        </is>
      </c>
      <c r="O487" s="29" t="inlineStr">
        <is>
          <t>Not explicitly defined in the product source; requires accountable product approval before production sign-off.</t>
        </is>
      </c>
      <c r="P487" s="29" t="inlineStr">
        <is>
          <t>Not assessed</t>
        </is>
      </c>
      <c r="Q487" s="29" t="inlineStr">
        <is>
          <t>No evidence</t>
        </is>
      </c>
      <c r="R487" s="29" t="inlineStr"/>
      <c r="S487" s="29" t="inlineStr">
        <is>
          <t>Not found</t>
        </is>
      </c>
      <c r="T487" s="29" t="inlineStr">
        <is>
          <t>Not assessed</t>
        </is>
      </c>
      <c r="U487" s="29" t="inlineStr">
        <is>
          <t>Not assessed</t>
        </is>
      </c>
      <c r="V487" s="29" t="inlineStr">
        <is>
          <t>Not assessed</t>
        </is>
      </c>
      <c r="W487" s="29" t="inlineStr">
        <is>
          <t>Not assessed</t>
        </is>
      </c>
      <c r="X487" s="29" t="inlineStr">
        <is>
          <t>Not assessed</t>
        </is>
      </c>
      <c r="Y487" s="29" t="inlineStr">
        <is>
          <t>Not assessed</t>
        </is>
      </c>
      <c r="Z487" s="29" t="inlineStr">
        <is>
          <t>Not assessed</t>
        </is>
      </c>
      <c r="AA487" s="29" t="inlineStr">
        <is>
          <t>Not assessed</t>
        </is>
      </c>
      <c r="AB487" s="29" t="inlineStr">
        <is>
          <t>Not assessed</t>
        </is>
      </c>
      <c r="AC487" s="29" t="inlineStr"/>
      <c r="AD487" s="29" t="inlineStr"/>
      <c r="AE487" s="29" t="inlineStr">
        <is>
          <t>Unknown</t>
        </is>
      </c>
      <c r="AF487" s="29" t="inlineStr">
        <is>
          <t>Not assessed</t>
        </is>
      </c>
      <c r="AG487" s="29" t="inlineStr">
        <is>
          <t>Unknown</t>
        </is>
      </c>
      <c r="AH487" s="29" t="inlineStr">
        <is>
          <t>Unknown</t>
        </is>
      </c>
      <c r="AI487" s="29" t="inlineStr">
        <is>
          <t>Searched for dating, match, unmatch, subscriber in source code, no relevant implementation found.</t>
        </is>
      </c>
      <c r="AJ487" s="29" t="inlineStr">
        <is>
          <t>Not verified</t>
        </is>
      </c>
      <c r="AK487" s="29" t="inlineStr"/>
      <c r="AL487" s="29" t="inlineStr"/>
      <c r="AM487" s="29" t="inlineStr"/>
      <c r="AN487" s="29" t="inlineStr"/>
      <c r="AO487" s="29" t="inlineStr">
        <is>
          <t>8bc0dcb2a1da1b21368c5536aaeef829d587f316</t>
        </is>
      </c>
      <c r="AP487" s="29" t="inlineStr">
        <is>
          <t>Unrated</t>
        </is>
      </c>
      <c r="AQ487" s="29" t="inlineStr">
        <is>
          <t>Not assessed</t>
        </is>
      </c>
      <c r="AR487" s="29" t="inlineStr">
        <is>
          <t>Not assessed</t>
        </is>
      </c>
      <c r="AS487" s="29" t="inlineStr">
        <is>
          <t>Not assessed</t>
        </is>
      </c>
      <c r="AT487" s="29" t="inlineStr">
        <is>
          <t>Not assessed</t>
        </is>
      </c>
      <c r="AU487" s="29" t="inlineStr">
        <is>
          <t>Not assessed</t>
        </is>
      </c>
      <c r="AV487" s="29" t="inlineStr">
        <is>
          <t>Not assessed</t>
        </is>
      </c>
      <c r="AW487" s="29" t="inlineStr">
        <is>
          <t>Not assessed</t>
        </is>
      </c>
      <c r="AX487" s="29" t="inlineStr">
        <is>
          <t>Not assessed</t>
        </is>
      </c>
      <c r="AY487" s="29" t="inlineStr">
        <is>
          <t>Not assessed</t>
        </is>
      </c>
      <c r="AZ487" s="29" t="inlineStr">
        <is>
          <t>Not assessed</t>
        </is>
      </c>
      <c r="BA487" s="29" t="inlineStr">
        <is>
          <t>Not assessed</t>
        </is>
      </c>
      <c r="BB487" s="29" t="inlineStr">
        <is>
          <t>Not assessed</t>
        </is>
      </c>
      <c r="BC487" s="29" t="inlineStr">
        <is>
          <t>Not assessed</t>
        </is>
      </c>
      <c r="BD487" s="29" t="inlineStr">
        <is>
          <t>Not assessed</t>
        </is>
      </c>
      <c r="BE487" s="29" t="inlineStr">
        <is>
          <t>Development required</t>
        </is>
      </c>
      <c r="BF487" s="29" t="inlineStr">
        <is>
          <t>Physical implementation is not complete against the stated requirement.; Searched for dating, match, unmatch, subscriber in source code, no relevant implementation found.</t>
        </is>
      </c>
      <c r="BG487" s="29" t="inlineStr"/>
      <c r="BH487" s="29" t="inlineStr"/>
      <c r="BI487" s="29" t="inlineStr"/>
      <c r="BJ487" s="29" t="inlineStr"/>
      <c r="BK487" s="29" t="inlineStr">
        <is>
          <t>Evidence reconciled against the reviewed source revision. No production approval is inferred from implementation or file presence.</t>
        </is>
      </c>
      <c r="BL487" s="29" t="inlineStr">
        <is>
          <t>2026-08-02</t>
        </is>
      </c>
    </row>
    <row r="488" ht="42" customHeight="1">
      <c r="A488" s="29" t="inlineStr">
        <is>
          <t>BLYP-24-010</t>
        </is>
      </c>
      <c r="B488" s="29" t="inlineStr"/>
      <c r="C488" s="29" t="inlineStr">
        <is>
          <t>Defined subscriber-only Dating experience</t>
        </is>
      </c>
      <c r="D488" s="29" t="n">
        <v>24</v>
      </c>
      <c r="E488" s="29" t="n">
        <v>10</v>
      </c>
      <c r="F488" s="29" t="inlineStr">
        <is>
          <t>Feature</t>
        </is>
      </c>
      <c r="G488" s="29" t="inlineStr">
        <is>
          <t>Dating social rooms</t>
        </is>
      </c>
      <c r="H488" s="29" t="inlineStr">
        <is>
          <t>Dating social rooms</t>
        </is>
      </c>
      <c r="I488" s="29" t="inlineStr">
        <is>
          <t>/home/ubuntu/blyp_product_requirements.md :: Section 24 — Defined subscriber-only Dating experience</t>
        </is>
      </c>
      <c r="J488" s="29" t="inlineStr">
        <is>
          <t>/home/ubuntu/BLYP_COMPLETE_FEATURE_LIST.md:617</t>
        </is>
      </c>
      <c r="K488" s="29" t="inlineStr">
        <is>
          <t>Required</t>
        </is>
      </c>
      <c r="L488" s="29" t="inlineStr">
        <is>
          <t>Applicable BLYP member</t>
        </is>
      </c>
      <c r="M488" s="29" t="inlineStr">
        <is>
          <t>Production platform, service and operator controls</t>
        </is>
      </c>
      <c r="N488" s="29" t="inlineStr">
        <is>
          <t>Dating social rooms</t>
        </is>
      </c>
      <c r="O488" s="29" t="inlineStr">
        <is>
          <t>Not explicitly defined in the product source; requires accountable product approval before production sign-off.</t>
        </is>
      </c>
      <c r="P488" s="29" t="inlineStr">
        <is>
          <t>Not assessed</t>
        </is>
      </c>
      <c r="Q488" s="29" t="inlineStr">
        <is>
          <t>No evidence</t>
        </is>
      </c>
      <c r="R488" s="29" t="inlineStr"/>
      <c r="S488" s="29" t="inlineStr">
        <is>
          <t>Not found</t>
        </is>
      </c>
      <c r="T488" s="29" t="inlineStr">
        <is>
          <t>Not assessed</t>
        </is>
      </c>
      <c r="U488" s="29" t="inlineStr">
        <is>
          <t>Not assessed</t>
        </is>
      </c>
      <c r="V488" s="29" t="inlineStr">
        <is>
          <t>Not assessed</t>
        </is>
      </c>
      <c r="W488" s="29" t="inlineStr">
        <is>
          <t>Not assessed</t>
        </is>
      </c>
      <c r="X488" s="29" t="inlineStr">
        <is>
          <t>Not assessed</t>
        </is>
      </c>
      <c r="Y488" s="29" t="inlineStr">
        <is>
          <t>Not assessed</t>
        </is>
      </c>
      <c r="Z488" s="29" t="inlineStr">
        <is>
          <t>Not assessed</t>
        </is>
      </c>
      <c r="AA488" s="29" t="inlineStr">
        <is>
          <t>Not assessed</t>
        </is>
      </c>
      <c r="AB488" s="29" t="inlineStr">
        <is>
          <t>Not assessed</t>
        </is>
      </c>
      <c r="AC488" s="29" t="inlineStr"/>
      <c r="AD488" s="29" t="inlineStr"/>
      <c r="AE488" s="29" t="inlineStr">
        <is>
          <t>Unknown</t>
        </is>
      </c>
      <c r="AF488" s="29" t="inlineStr">
        <is>
          <t>Not assessed</t>
        </is>
      </c>
      <c r="AG488" s="29" t="inlineStr">
        <is>
          <t>Unknown</t>
        </is>
      </c>
      <c r="AH488" s="29" t="inlineStr">
        <is>
          <t>Unknown</t>
        </is>
      </c>
      <c r="AI488" s="29" t="inlineStr">
        <is>
          <t>Searched for dating, match, unmatch, subscriber in source code, no relevant implementation found.</t>
        </is>
      </c>
      <c r="AJ488" s="29" t="inlineStr">
        <is>
          <t>Not verified</t>
        </is>
      </c>
      <c r="AK488" s="29" t="inlineStr"/>
      <c r="AL488" s="29" t="inlineStr"/>
      <c r="AM488" s="29" t="inlineStr"/>
      <c r="AN488" s="29" t="inlineStr"/>
      <c r="AO488" s="29" t="inlineStr">
        <is>
          <t>8bc0dcb2a1da1b21368c5536aaeef829d587f316</t>
        </is>
      </c>
      <c r="AP488" s="29" t="inlineStr">
        <is>
          <t>Unrated</t>
        </is>
      </c>
      <c r="AQ488" s="29" t="inlineStr">
        <is>
          <t>Not assessed</t>
        </is>
      </c>
      <c r="AR488" s="29" t="inlineStr">
        <is>
          <t>Not assessed</t>
        </is>
      </c>
      <c r="AS488" s="29" t="inlineStr">
        <is>
          <t>Not assessed</t>
        </is>
      </c>
      <c r="AT488" s="29" t="inlineStr">
        <is>
          <t>Not assessed</t>
        </is>
      </c>
      <c r="AU488" s="29" t="inlineStr">
        <is>
          <t>Not assessed</t>
        </is>
      </c>
      <c r="AV488" s="29" t="inlineStr">
        <is>
          <t>Not assessed</t>
        </is>
      </c>
      <c r="AW488" s="29" t="inlineStr">
        <is>
          <t>Not assessed</t>
        </is>
      </c>
      <c r="AX488" s="29" t="inlineStr">
        <is>
          <t>Not assessed</t>
        </is>
      </c>
      <c r="AY488" s="29" t="inlineStr">
        <is>
          <t>Not assessed</t>
        </is>
      </c>
      <c r="AZ488" s="29" t="inlineStr">
        <is>
          <t>Not assessed</t>
        </is>
      </c>
      <c r="BA488" s="29" t="inlineStr">
        <is>
          <t>Not assessed</t>
        </is>
      </c>
      <c r="BB488" s="29" t="inlineStr">
        <is>
          <t>Not assessed</t>
        </is>
      </c>
      <c r="BC488" s="29" t="inlineStr">
        <is>
          <t>Not assessed</t>
        </is>
      </c>
      <c r="BD488" s="29" t="inlineStr">
        <is>
          <t>Not assessed</t>
        </is>
      </c>
      <c r="BE488" s="29" t="inlineStr">
        <is>
          <t>Development required</t>
        </is>
      </c>
      <c r="BF488" s="29" t="inlineStr">
        <is>
          <t>Physical implementation is not complete against the stated requirement.; Searched for dating, match, unmatch, subscriber in source code, no relevant implementation found.</t>
        </is>
      </c>
      <c r="BG488" s="29" t="inlineStr"/>
      <c r="BH488" s="29" t="inlineStr"/>
      <c r="BI488" s="29" t="inlineStr"/>
      <c r="BJ488" s="29" t="inlineStr"/>
      <c r="BK488" s="29" t="inlineStr">
        <is>
          <t>Evidence reconciled against the reviewed source revision. No production approval is inferred from implementation or file presence.</t>
        </is>
      </c>
      <c r="BL488" s="29" t="inlineStr">
        <is>
          <t>2026-08-02</t>
        </is>
      </c>
    </row>
    <row r="489" ht="42" customHeight="1">
      <c r="A489" s="29" t="inlineStr">
        <is>
          <t>BLYP-24-011</t>
        </is>
      </c>
      <c r="B489" s="29" t="inlineStr"/>
      <c r="C489" s="29" t="inlineStr">
        <is>
          <t>Defined subscriber-only Dating experience</t>
        </is>
      </c>
      <c r="D489" s="29" t="n">
        <v>24</v>
      </c>
      <c r="E489" s="29" t="n">
        <v>11</v>
      </c>
      <c r="F489" s="29" t="inlineStr">
        <is>
          <t>Feature</t>
        </is>
      </c>
      <c r="G489" s="29" t="inlineStr">
        <is>
          <t>Exact-location protection</t>
        </is>
      </c>
      <c r="H489" s="29" t="inlineStr">
        <is>
          <t>Exact-location protection</t>
        </is>
      </c>
      <c r="I489" s="29" t="inlineStr">
        <is>
          <t>/home/ubuntu/blyp_product_requirements.md :: Section 24 — Defined subscriber-only Dating experience</t>
        </is>
      </c>
      <c r="J489" s="29" t="inlineStr">
        <is>
          <t>/home/ubuntu/BLYP_COMPLETE_FEATURE_LIST.md:618</t>
        </is>
      </c>
      <c r="K489" s="29" t="inlineStr">
        <is>
          <t>Required</t>
        </is>
      </c>
      <c r="L489" s="29" t="inlineStr">
        <is>
          <t>Applicable BLYP member</t>
        </is>
      </c>
      <c r="M489" s="29" t="inlineStr">
        <is>
          <t>Production platform, service and operator controls</t>
        </is>
      </c>
      <c r="N489" s="29" t="inlineStr">
        <is>
          <t>Exact-location protection</t>
        </is>
      </c>
      <c r="O489" s="29" t="inlineStr">
        <is>
          <t>Not explicitly defined in the product source; requires accountable product approval before production sign-off.</t>
        </is>
      </c>
      <c r="P489" s="29" t="inlineStr">
        <is>
          <t>Not assessed</t>
        </is>
      </c>
      <c r="Q489" s="29" t="inlineStr">
        <is>
          <t>No evidence</t>
        </is>
      </c>
      <c r="R489" s="29" t="inlineStr"/>
      <c r="S489" s="29" t="inlineStr">
        <is>
          <t>Not found</t>
        </is>
      </c>
      <c r="T489" s="29" t="inlineStr">
        <is>
          <t>Not assessed</t>
        </is>
      </c>
      <c r="U489" s="29" t="inlineStr">
        <is>
          <t>Not assessed</t>
        </is>
      </c>
      <c r="V489" s="29" t="inlineStr">
        <is>
          <t>Not assessed</t>
        </is>
      </c>
      <c r="W489" s="29" t="inlineStr">
        <is>
          <t>Not assessed</t>
        </is>
      </c>
      <c r="X489" s="29" t="inlineStr">
        <is>
          <t>Not assessed</t>
        </is>
      </c>
      <c r="Y489" s="29" t="inlineStr">
        <is>
          <t>Not assessed</t>
        </is>
      </c>
      <c r="Z489" s="29" t="inlineStr">
        <is>
          <t>Not assessed</t>
        </is>
      </c>
      <c r="AA489" s="29" t="inlineStr">
        <is>
          <t>Not assessed</t>
        </is>
      </c>
      <c r="AB489" s="29" t="inlineStr">
        <is>
          <t>Not assessed</t>
        </is>
      </c>
      <c r="AC489" s="29" t="inlineStr"/>
      <c r="AD489" s="29" t="inlineStr"/>
      <c r="AE489" s="29" t="inlineStr">
        <is>
          <t>Unknown</t>
        </is>
      </c>
      <c r="AF489" s="29" t="inlineStr">
        <is>
          <t>Not assessed</t>
        </is>
      </c>
      <c r="AG489" s="29" t="inlineStr">
        <is>
          <t>Unknown</t>
        </is>
      </c>
      <c r="AH489" s="29" t="inlineStr">
        <is>
          <t>Unknown</t>
        </is>
      </c>
      <c r="AI489" s="29" t="inlineStr">
        <is>
          <t>Searched for dating, match, unmatch, subscriber in source code, no relevant implementation found.</t>
        </is>
      </c>
      <c r="AJ489" s="29" t="inlineStr">
        <is>
          <t>Not verified</t>
        </is>
      </c>
      <c r="AK489" s="29" t="inlineStr"/>
      <c r="AL489" s="29" t="inlineStr"/>
      <c r="AM489" s="29" t="inlineStr"/>
      <c r="AN489" s="29" t="inlineStr"/>
      <c r="AO489" s="29" t="inlineStr">
        <is>
          <t>8bc0dcb2a1da1b21368c5536aaeef829d587f316</t>
        </is>
      </c>
      <c r="AP489" s="29" t="inlineStr">
        <is>
          <t>Unrated</t>
        </is>
      </c>
      <c r="AQ489" s="29" t="inlineStr">
        <is>
          <t>Not assessed</t>
        </is>
      </c>
      <c r="AR489" s="29" t="inlineStr">
        <is>
          <t>Not assessed</t>
        </is>
      </c>
      <c r="AS489" s="29" t="inlineStr">
        <is>
          <t>Not assessed</t>
        </is>
      </c>
      <c r="AT489" s="29" t="inlineStr">
        <is>
          <t>Not assessed</t>
        </is>
      </c>
      <c r="AU489" s="29" t="inlineStr">
        <is>
          <t>Not assessed</t>
        </is>
      </c>
      <c r="AV489" s="29" t="inlineStr">
        <is>
          <t>Not assessed</t>
        </is>
      </c>
      <c r="AW489" s="29" t="inlineStr">
        <is>
          <t>Not assessed</t>
        </is>
      </c>
      <c r="AX489" s="29" t="inlineStr">
        <is>
          <t>Not assessed</t>
        </is>
      </c>
      <c r="AY489" s="29" t="inlineStr">
        <is>
          <t>Not assessed</t>
        </is>
      </c>
      <c r="AZ489" s="29" t="inlineStr">
        <is>
          <t>Not assessed</t>
        </is>
      </c>
      <c r="BA489" s="29" t="inlineStr">
        <is>
          <t>Not assessed</t>
        </is>
      </c>
      <c r="BB489" s="29" t="inlineStr">
        <is>
          <t>Not assessed</t>
        </is>
      </c>
      <c r="BC489" s="29" t="inlineStr">
        <is>
          <t>Not assessed</t>
        </is>
      </c>
      <c r="BD489" s="29" t="inlineStr">
        <is>
          <t>Not assessed</t>
        </is>
      </c>
      <c r="BE489" s="29" t="inlineStr">
        <is>
          <t>Development required</t>
        </is>
      </c>
      <c r="BF489" s="29" t="inlineStr">
        <is>
          <t>Physical implementation is not complete against the stated requirement.; Searched for dating, match, unmatch, subscriber in source code, no relevant implementation found.</t>
        </is>
      </c>
      <c r="BG489" s="29" t="inlineStr"/>
      <c r="BH489" s="29" t="inlineStr"/>
      <c r="BI489" s="29" t="inlineStr"/>
      <c r="BJ489" s="29" t="inlineStr"/>
      <c r="BK489" s="29" t="inlineStr">
        <is>
          <t>Evidence reconciled against the reviewed source revision. No production approval is inferred from implementation or file presence.</t>
        </is>
      </c>
      <c r="BL489" s="29" t="inlineStr">
        <is>
          <t>2026-08-02</t>
        </is>
      </c>
    </row>
    <row r="490" ht="42" customHeight="1">
      <c r="A490" s="29" t="inlineStr">
        <is>
          <t>BLYP-24-012</t>
        </is>
      </c>
      <c r="B490" s="29" t="inlineStr"/>
      <c r="C490" s="29" t="inlineStr">
        <is>
          <t>Defined subscriber-only Dating experience</t>
        </is>
      </c>
      <c r="D490" s="29" t="n">
        <v>24</v>
      </c>
      <c r="E490" s="29" t="n">
        <v>12</v>
      </c>
      <c r="F490" s="29" t="inlineStr">
        <is>
          <t>Feature</t>
        </is>
      </c>
      <c r="G490" s="29" t="inlineStr">
        <is>
          <t>Hide Dating use from ordinary followers</t>
        </is>
      </c>
      <c r="H490" s="29" t="inlineStr">
        <is>
          <t>Hide Dating use from ordinary followers</t>
        </is>
      </c>
      <c r="I490" s="29" t="inlineStr">
        <is>
          <t>/home/ubuntu/blyp_product_requirements.md :: Section 24 — Defined subscriber-only Dating experience</t>
        </is>
      </c>
      <c r="J490" s="29" t="inlineStr">
        <is>
          <t>/home/ubuntu/BLYP_COMPLETE_FEATURE_LIST.md:619</t>
        </is>
      </c>
      <c r="K490" s="29" t="inlineStr">
        <is>
          <t>Required</t>
        </is>
      </c>
      <c r="L490" s="29" t="inlineStr">
        <is>
          <t>Applicable BLYP member</t>
        </is>
      </c>
      <c r="M490" s="29" t="inlineStr">
        <is>
          <t>Production platform, service and operator controls</t>
        </is>
      </c>
      <c r="N490" s="29" t="inlineStr">
        <is>
          <t>Hide Dating use from ordinary followers</t>
        </is>
      </c>
      <c r="O490" s="29" t="inlineStr">
        <is>
          <t>Not explicitly defined in the product source; requires accountable product approval before production sign-off.</t>
        </is>
      </c>
      <c r="P490" s="29" t="inlineStr">
        <is>
          <t>Not assessed</t>
        </is>
      </c>
      <c r="Q490" s="29" t="inlineStr">
        <is>
          <t>No evidence</t>
        </is>
      </c>
      <c r="R490" s="29" t="inlineStr"/>
      <c r="S490" s="29" t="inlineStr">
        <is>
          <t>Not found</t>
        </is>
      </c>
      <c r="T490" s="29" t="inlineStr">
        <is>
          <t>Not assessed</t>
        </is>
      </c>
      <c r="U490" s="29" t="inlineStr">
        <is>
          <t>Not assessed</t>
        </is>
      </c>
      <c r="V490" s="29" t="inlineStr">
        <is>
          <t>Not assessed</t>
        </is>
      </c>
      <c r="W490" s="29" t="inlineStr">
        <is>
          <t>Not assessed</t>
        </is>
      </c>
      <c r="X490" s="29" t="inlineStr">
        <is>
          <t>Not assessed</t>
        </is>
      </c>
      <c r="Y490" s="29" t="inlineStr">
        <is>
          <t>Not assessed</t>
        </is>
      </c>
      <c r="Z490" s="29" t="inlineStr">
        <is>
          <t>Not assessed</t>
        </is>
      </c>
      <c r="AA490" s="29" t="inlineStr">
        <is>
          <t>Not assessed</t>
        </is>
      </c>
      <c r="AB490" s="29" t="inlineStr">
        <is>
          <t>Not assessed</t>
        </is>
      </c>
      <c r="AC490" s="29" t="inlineStr"/>
      <c r="AD490" s="29" t="inlineStr"/>
      <c r="AE490" s="29" t="inlineStr">
        <is>
          <t>Unknown</t>
        </is>
      </c>
      <c r="AF490" s="29" t="inlineStr">
        <is>
          <t>Not assessed</t>
        </is>
      </c>
      <c r="AG490" s="29" t="inlineStr">
        <is>
          <t>Unknown</t>
        </is>
      </c>
      <c r="AH490" s="29" t="inlineStr">
        <is>
          <t>Unknown</t>
        </is>
      </c>
      <c r="AI490" s="29" t="inlineStr">
        <is>
          <t>Searched for dating, match, unmatch, subscriber in source code, no relevant implementation found.</t>
        </is>
      </c>
      <c r="AJ490" s="29" t="inlineStr">
        <is>
          <t>Not verified</t>
        </is>
      </c>
      <c r="AK490" s="29" t="inlineStr"/>
      <c r="AL490" s="29" t="inlineStr"/>
      <c r="AM490" s="29" t="inlineStr"/>
      <c r="AN490" s="29" t="inlineStr"/>
      <c r="AO490" s="29" t="inlineStr">
        <is>
          <t>8bc0dcb2a1da1b21368c5536aaeef829d587f316</t>
        </is>
      </c>
      <c r="AP490" s="29" t="inlineStr">
        <is>
          <t>Unrated</t>
        </is>
      </c>
      <c r="AQ490" s="29" t="inlineStr">
        <is>
          <t>Not assessed</t>
        </is>
      </c>
      <c r="AR490" s="29" t="inlineStr">
        <is>
          <t>Not assessed</t>
        </is>
      </c>
      <c r="AS490" s="29" t="inlineStr">
        <is>
          <t>Not assessed</t>
        </is>
      </c>
      <c r="AT490" s="29" t="inlineStr">
        <is>
          <t>Not assessed</t>
        </is>
      </c>
      <c r="AU490" s="29" t="inlineStr">
        <is>
          <t>Not assessed</t>
        </is>
      </c>
      <c r="AV490" s="29" t="inlineStr">
        <is>
          <t>Not assessed</t>
        </is>
      </c>
      <c r="AW490" s="29" t="inlineStr">
        <is>
          <t>Not assessed</t>
        </is>
      </c>
      <c r="AX490" s="29" t="inlineStr">
        <is>
          <t>Not assessed</t>
        </is>
      </c>
      <c r="AY490" s="29" t="inlineStr">
        <is>
          <t>Not assessed</t>
        </is>
      </c>
      <c r="AZ490" s="29" t="inlineStr">
        <is>
          <t>Not assessed</t>
        </is>
      </c>
      <c r="BA490" s="29" t="inlineStr">
        <is>
          <t>Not assessed</t>
        </is>
      </c>
      <c r="BB490" s="29" t="inlineStr">
        <is>
          <t>Not assessed</t>
        </is>
      </c>
      <c r="BC490" s="29" t="inlineStr">
        <is>
          <t>Not assessed</t>
        </is>
      </c>
      <c r="BD490" s="29" t="inlineStr">
        <is>
          <t>Not assessed</t>
        </is>
      </c>
      <c r="BE490" s="29" t="inlineStr">
        <is>
          <t>Development required</t>
        </is>
      </c>
      <c r="BF490" s="29" t="inlineStr">
        <is>
          <t>Physical implementation is not complete against the stated requirement.; Searched for dating, match, unmatch, subscriber in source code, no relevant implementation found.</t>
        </is>
      </c>
      <c r="BG490" s="29" t="inlineStr"/>
      <c r="BH490" s="29" t="inlineStr"/>
      <c r="BI490" s="29" t="inlineStr"/>
      <c r="BJ490" s="29" t="inlineStr"/>
      <c r="BK490" s="29" t="inlineStr">
        <is>
          <t>Evidence reconciled against the reviewed source revision. No production approval is inferred from implementation or file presence.</t>
        </is>
      </c>
      <c r="BL490" s="29" t="inlineStr">
        <is>
          <t>2026-08-02</t>
        </is>
      </c>
    </row>
    <row r="491" ht="42" customHeight="1">
      <c r="A491" s="29" t="inlineStr">
        <is>
          <t>BLYP-24-013</t>
        </is>
      </c>
      <c r="B491" s="29" t="inlineStr"/>
      <c r="C491" s="29" t="inlineStr">
        <is>
          <t>Defined subscriber-only Dating experience</t>
        </is>
      </c>
      <c r="D491" s="29" t="n">
        <v>24</v>
      </c>
      <c r="E491" s="29" t="n">
        <v>13</v>
      </c>
      <c r="F491" s="29" t="inlineStr">
        <is>
          <t>Feature</t>
        </is>
      </c>
      <c r="G491" s="29" t="inlineStr">
        <is>
          <t>Leave Dating without deleting the main account</t>
        </is>
      </c>
      <c r="H491" s="29" t="inlineStr">
        <is>
          <t>Leave Dating without deleting the main account</t>
        </is>
      </c>
      <c r="I491" s="29" t="inlineStr">
        <is>
          <t>/home/ubuntu/blyp_product_requirements.md :: Section 24 — Defined subscriber-only Dating experience</t>
        </is>
      </c>
      <c r="J491" s="29" t="inlineStr">
        <is>
          <t>/home/ubuntu/BLYP_COMPLETE_FEATURE_LIST.md:620</t>
        </is>
      </c>
      <c r="K491" s="29" t="inlineStr">
        <is>
          <t>Required</t>
        </is>
      </c>
      <c r="L491" s="29" t="inlineStr">
        <is>
          <t>Applicable BLYP member</t>
        </is>
      </c>
      <c r="M491" s="29" t="inlineStr">
        <is>
          <t>Production platform, service and operator controls</t>
        </is>
      </c>
      <c r="N491" s="29" t="inlineStr">
        <is>
          <t>Leave Dating without deleting the main account</t>
        </is>
      </c>
      <c r="O491" s="29" t="inlineStr">
        <is>
          <t>Not explicitly defined in the product source; requires accountable product approval before production sign-off.</t>
        </is>
      </c>
      <c r="P491" s="29" t="inlineStr">
        <is>
          <t>Not assessed</t>
        </is>
      </c>
      <c r="Q491" s="29" t="inlineStr">
        <is>
          <t>No evidence</t>
        </is>
      </c>
      <c r="R491" s="29" t="inlineStr"/>
      <c r="S491" s="29" t="inlineStr">
        <is>
          <t>Not found</t>
        </is>
      </c>
      <c r="T491" s="29" t="inlineStr">
        <is>
          <t>Not assessed</t>
        </is>
      </c>
      <c r="U491" s="29" t="inlineStr">
        <is>
          <t>Not assessed</t>
        </is>
      </c>
      <c r="V491" s="29" t="inlineStr">
        <is>
          <t>Not assessed</t>
        </is>
      </c>
      <c r="W491" s="29" t="inlineStr">
        <is>
          <t>Not assessed</t>
        </is>
      </c>
      <c r="X491" s="29" t="inlineStr">
        <is>
          <t>Not assessed</t>
        </is>
      </c>
      <c r="Y491" s="29" t="inlineStr">
        <is>
          <t>Not assessed</t>
        </is>
      </c>
      <c r="Z491" s="29" t="inlineStr">
        <is>
          <t>Not assessed</t>
        </is>
      </c>
      <c r="AA491" s="29" t="inlineStr">
        <is>
          <t>Not assessed</t>
        </is>
      </c>
      <c r="AB491" s="29" t="inlineStr">
        <is>
          <t>Not assessed</t>
        </is>
      </c>
      <c r="AC491" s="29" t="inlineStr"/>
      <c r="AD491" s="29" t="inlineStr"/>
      <c r="AE491" s="29" t="inlineStr">
        <is>
          <t>Unknown</t>
        </is>
      </c>
      <c r="AF491" s="29" t="inlineStr">
        <is>
          <t>Not assessed</t>
        </is>
      </c>
      <c r="AG491" s="29" t="inlineStr">
        <is>
          <t>Unknown</t>
        </is>
      </c>
      <c r="AH491" s="29" t="inlineStr">
        <is>
          <t>Unknown</t>
        </is>
      </c>
      <c r="AI491" s="29" t="inlineStr">
        <is>
          <t>Searched for dating, match, unmatch, subscriber in source code, no relevant implementation found.</t>
        </is>
      </c>
      <c r="AJ491" s="29" t="inlineStr">
        <is>
          <t>Not verified</t>
        </is>
      </c>
      <c r="AK491" s="29" t="inlineStr"/>
      <c r="AL491" s="29" t="inlineStr"/>
      <c r="AM491" s="29" t="inlineStr"/>
      <c r="AN491" s="29" t="inlineStr"/>
      <c r="AO491" s="29" t="inlineStr">
        <is>
          <t>8bc0dcb2a1da1b21368c5536aaeef829d587f316</t>
        </is>
      </c>
      <c r="AP491" s="29" t="inlineStr">
        <is>
          <t>Unrated</t>
        </is>
      </c>
      <c r="AQ491" s="29" t="inlineStr">
        <is>
          <t>Not assessed</t>
        </is>
      </c>
      <c r="AR491" s="29" t="inlineStr">
        <is>
          <t>Not assessed</t>
        </is>
      </c>
      <c r="AS491" s="29" t="inlineStr">
        <is>
          <t>Not assessed</t>
        </is>
      </c>
      <c r="AT491" s="29" t="inlineStr">
        <is>
          <t>Not assessed</t>
        </is>
      </c>
      <c r="AU491" s="29" t="inlineStr">
        <is>
          <t>Not assessed</t>
        </is>
      </c>
      <c r="AV491" s="29" t="inlineStr">
        <is>
          <t>Not assessed</t>
        </is>
      </c>
      <c r="AW491" s="29" t="inlineStr">
        <is>
          <t>Not assessed</t>
        </is>
      </c>
      <c r="AX491" s="29" t="inlineStr">
        <is>
          <t>Not assessed</t>
        </is>
      </c>
      <c r="AY491" s="29" t="inlineStr">
        <is>
          <t>Not assessed</t>
        </is>
      </c>
      <c r="AZ491" s="29" t="inlineStr">
        <is>
          <t>Not assessed</t>
        </is>
      </c>
      <c r="BA491" s="29" t="inlineStr">
        <is>
          <t>Not assessed</t>
        </is>
      </c>
      <c r="BB491" s="29" t="inlineStr">
        <is>
          <t>Not assessed</t>
        </is>
      </c>
      <c r="BC491" s="29" t="inlineStr">
        <is>
          <t>Not assessed</t>
        </is>
      </c>
      <c r="BD491" s="29" t="inlineStr">
        <is>
          <t>Not assessed</t>
        </is>
      </c>
      <c r="BE491" s="29" t="inlineStr">
        <is>
          <t>Development required</t>
        </is>
      </c>
      <c r="BF491" s="29" t="inlineStr">
        <is>
          <t>Physical implementation is not complete against the stated requirement.; Searched for dating, match, unmatch, subscriber in source code, no relevant implementation found.</t>
        </is>
      </c>
      <c r="BG491" s="29" t="inlineStr"/>
      <c r="BH491" s="29" t="inlineStr"/>
      <c r="BI491" s="29" t="inlineStr"/>
      <c r="BJ491" s="29" t="inlineStr"/>
      <c r="BK491" s="29" t="inlineStr">
        <is>
          <t>Evidence reconciled against the reviewed source revision. No production approval is inferred from implementation or file presence.</t>
        </is>
      </c>
      <c r="BL491" s="29" t="inlineStr">
        <is>
          <t>2026-08-02</t>
        </is>
      </c>
    </row>
    <row r="492" ht="42" customHeight="1">
      <c r="A492" s="29" t="inlineStr">
        <is>
          <t>BLYP-24-014</t>
        </is>
      </c>
      <c r="B492" s="29" t="inlineStr"/>
      <c r="C492" s="29" t="inlineStr">
        <is>
          <t>Defined subscriber-only Dating experience</t>
        </is>
      </c>
      <c r="D492" s="29" t="n">
        <v>24</v>
      </c>
      <c r="E492" s="29" t="n">
        <v>14</v>
      </c>
      <c r="F492" s="29" t="inlineStr">
        <is>
          <t>Acceptance criterion</t>
        </is>
      </c>
      <c r="G492" s="29" t="inlineStr">
        <is>
          <t>Authenticity checks</t>
        </is>
      </c>
      <c r="H492" s="29" t="inlineStr">
        <is>
          <t>Authenticity checks</t>
        </is>
      </c>
      <c r="I492" s="29" t="inlineStr">
        <is>
          <t>/home/ubuntu/blyp_product_requirements.md :: Section 24 — Defined subscriber-only Dating experience</t>
        </is>
      </c>
      <c r="J492" s="29" t="inlineStr">
        <is>
          <t>/home/ubuntu/BLYP_COMPLETE_FEATURE_LIST.md:621</t>
        </is>
      </c>
      <c r="K492" s="29" t="inlineStr">
        <is>
          <t>Required</t>
        </is>
      </c>
      <c r="L492" s="29" t="inlineStr">
        <is>
          <t>Applicable BLYP member</t>
        </is>
      </c>
      <c r="M492" s="29" t="inlineStr">
        <is>
          <t>Production platform, service and operator controls</t>
        </is>
      </c>
      <c r="N492" s="29" t="inlineStr">
        <is>
          <t>Authenticity checks</t>
        </is>
      </c>
      <c r="O492" s="29" t="inlineStr">
        <is>
          <t>Not explicitly defined in the product source; requires accountable product approval before production sign-off.</t>
        </is>
      </c>
      <c r="P492" s="29" t="inlineStr">
        <is>
          <t>Not assessed</t>
        </is>
      </c>
      <c r="Q492" s="29" t="inlineStr">
        <is>
          <t>No evidence</t>
        </is>
      </c>
      <c r="R492" s="29" t="inlineStr"/>
      <c r="S492" s="29" t="inlineStr">
        <is>
          <t>Not found</t>
        </is>
      </c>
      <c r="T492" s="29" t="inlineStr">
        <is>
          <t>Not assessed</t>
        </is>
      </c>
      <c r="U492" s="29" t="inlineStr">
        <is>
          <t>Not assessed</t>
        </is>
      </c>
      <c r="V492" s="29" t="inlineStr">
        <is>
          <t>Not assessed</t>
        </is>
      </c>
      <c r="W492" s="29" t="inlineStr">
        <is>
          <t>Not assessed</t>
        </is>
      </c>
      <c r="X492" s="29" t="inlineStr">
        <is>
          <t>Not assessed</t>
        </is>
      </c>
      <c r="Y492" s="29" t="inlineStr">
        <is>
          <t>Not assessed</t>
        </is>
      </c>
      <c r="Z492" s="29" t="inlineStr">
        <is>
          <t>Not assessed</t>
        </is>
      </c>
      <c r="AA492" s="29" t="inlineStr">
        <is>
          <t>Not assessed</t>
        </is>
      </c>
      <c r="AB492" s="29" t="inlineStr">
        <is>
          <t>Not assessed</t>
        </is>
      </c>
      <c r="AC492" s="29" t="inlineStr"/>
      <c r="AD492" s="29" t="inlineStr"/>
      <c r="AE492" s="29" t="inlineStr">
        <is>
          <t>Unknown</t>
        </is>
      </c>
      <c r="AF492" s="29" t="inlineStr">
        <is>
          <t>Not assessed</t>
        </is>
      </c>
      <c r="AG492" s="29" t="inlineStr">
        <is>
          <t>Unknown</t>
        </is>
      </c>
      <c r="AH492" s="29" t="inlineStr">
        <is>
          <t>Unknown</t>
        </is>
      </c>
      <c r="AI492" s="29" t="inlineStr">
        <is>
          <t>Searched for dating, match, unmatch, subscriber in source code, no relevant implementation found.</t>
        </is>
      </c>
      <c r="AJ492" s="29" t="inlineStr">
        <is>
          <t>Not verified</t>
        </is>
      </c>
      <c r="AK492" s="29" t="inlineStr"/>
      <c r="AL492" s="29" t="inlineStr"/>
      <c r="AM492" s="29" t="inlineStr"/>
      <c r="AN492" s="29" t="inlineStr"/>
      <c r="AO492" s="29" t="inlineStr">
        <is>
          <t>8bc0dcb2a1da1b21368c5536aaeef829d587f316</t>
        </is>
      </c>
      <c r="AP492" s="29" t="inlineStr">
        <is>
          <t>Unrated</t>
        </is>
      </c>
      <c r="AQ492" s="29" t="inlineStr">
        <is>
          <t>Not assessed</t>
        </is>
      </c>
      <c r="AR492" s="29" t="inlineStr">
        <is>
          <t>Not assessed</t>
        </is>
      </c>
      <c r="AS492" s="29" t="inlineStr">
        <is>
          <t>Not assessed</t>
        </is>
      </c>
      <c r="AT492" s="29" t="inlineStr">
        <is>
          <t>Not assessed</t>
        </is>
      </c>
      <c r="AU492" s="29" t="inlineStr">
        <is>
          <t>Not assessed</t>
        </is>
      </c>
      <c r="AV492" s="29" t="inlineStr">
        <is>
          <t>Not assessed</t>
        </is>
      </c>
      <c r="AW492" s="29" t="inlineStr">
        <is>
          <t>Not assessed</t>
        </is>
      </c>
      <c r="AX492" s="29" t="inlineStr">
        <is>
          <t>Not assessed</t>
        </is>
      </c>
      <c r="AY492" s="29" t="inlineStr">
        <is>
          <t>Not assessed</t>
        </is>
      </c>
      <c r="AZ492" s="29" t="inlineStr">
        <is>
          <t>Not assessed</t>
        </is>
      </c>
      <c r="BA492" s="29" t="inlineStr">
        <is>
          <t>Not assessed</t>
        </is>
      </c>
      <c r="BB492" s="29" t="inlineStr">
        <is>
          <t>Not assessed</t>
        </is>
      </c>
      <c r="BC492" s="29" t="inlineStr">
        <is>
          <t>Not assessed</t>
        </is>
      </c>
      <c r="BD492" s="29" t="inlineStr">
        <is>
          <t>Not assessed</t>
        </is>
      </c>
      <c r="BE492" s="29" t="inlineStr">
        <is>
          <t>Development required</t>
        </is>
      </c>
      <c r="BF492" s="29" t="inlineStr">
        <is>
          <t>Physical implementation is not complete against the stated requirement.; Searched for dating, match, unmatch, subscriber in source code, no relevant implementation found.</t>
        </is>
      </c>
      <c r="BG492" s="29" t="inlineStr"/>
      <c r="BH492" s="29" t="inlineStr"/>
      <c r="BI492" s="29" t="inlineStr"/>
      <c r="BJ492" s="29" t="inlineStr"/>
      <c r="BK492" s="29" t="inlineStr">
        <is>
          <t>Evidence reconciled against the reviewed source revision. No production approval is inferred from implementation or file presence.</t>
        </is>
      </c>
      <c r="BL492" s="29" t="inlineStr">
        <is>
          <t>2026-08-02</t>
        </is>
      </c>
    </row>
    <row r="493" ht="42" customHeight="1">
      <c r="A493" s="29" t="inlineStr">
        <is>
          <t>BLYP-24-015</t>
        </is>
      </c>
      <c r="B493" s="29" t="inlineStr"/>
      <c r="C493" s="29" t="inlineStr">
        <is>
          <t>Defined subscriber-only Dating experience</t>
        </is>
      </c>
      <c r="D493" s="29" t="n">
        <v>24</v>
      </c>
      <c r="E493" s="29" t="n">
        <v>15</v>
      </c>
      <c r="F493" s="29" t="inlineStr">
        <is>
          <t>Feature</t>
        </is>
      </c>
      <c r="G493" s="29" t="inlineStr">
        <is>
          <t>Unmatch</t>
        </is>
      </c>
      <c r="H493" s="29" t="inlineStr">
        <is>
          <t>Unmatch</t>
        </is>
      </c>
      <c r="I493" s="29" t="inlineStr">
        <is>
          <t>/home/ubuntu/blyp_product_requirements.md :: Section 24 — Defined subscriber-only Dating experience</t>
        </is>
      </c>
      <c r="J493" s="29" t="inlineStr">
        <is>
          <t>/home/ubuntu/BLYP_COMPLETE_FEATURE_LIST.md:622</t>
        </is>
      </c>
      <c r="K493" s="29" t="inlineStr">
        <is>
          <t>Required</t>
        </is>
      </c>
      <c r="L493" s="29" t="inlineStr">
        <is>
          <t>Applicable BLYP member</t>
        </is>
      </c>
      <c r="M493" s="29" t="inlineStr">
        <is>
          <t>Production platform, service and operator controls</t>
        </is>
      </c>
      <c r="N493" s="29" t="inlineStr">
        <is>
          <t>Unmatch</t>
        </is>
      </c>
      <c r="O493" s="29" t="inlineStr">
        <is>
          <t>Not explicitly defined in the product source; requires accountable product approval before production sign-off.</t>
        </is>
      </c>
      <c r="P493" s="29" t="inlineStr">
        <is>
          <t>Not assessed</t>
        </is>
      </c>
      <c r="Q493" s="29" t="inlineStr">
        <is>
          <t>No evidence</t>
        </is>
      </c>
      <c r="R493" s="29" t="inlineStr"/>
      <c r="S493" s="29" t="inlineStr">
        <is>
          <t>Not found</t>
        </is>
      </c>
      <c r="T493" s="29" t="inlineStr">
        <is>
          <t>Not assessed</t>
        </is>
      </c>
      <c r="U493" s="29" t="inlineStr">
        <is>
          <t>Not assessed</t>
        </is>
      </c>
      <c r="V493" s="29" t="inlineStr">
        <is>
          <t>Not assessed</t>
        </is>
      </c>
      <c r="W493" s="29" t="inlineStr">
        <is>
          <t>Not assessed</t>
        </is>
      </c>
      <c r="X493" s="29" t="inlineStr">
        <is>
          <t>Not assessed</t>
        </is>
      </c>
      <c r="Y493" s="29" t="inlineStr">
        <is>
          <t>Not assessed</t>
        </is>
      </c>
      <c r="Z493" s="29" t="inlineStr">
        <is>
          <t>Not assessed</t>
        </is>
      </c>
      <c r="AA493" s="29" t="inlineStr">
        <is>
          <t>Not assessed</t>
        </is>
      </c>
      <c r="AB493" s="29" t="inlineStr">
        <is>
          <t>Not assessed</t>
        </is>
      </c>
      <c r="AC493" s="29" t="inlineStr"/>
      <c r="AD493" s="29" t="inlineStr"/>
      <c r="AE493" s="29" t="inlineStr">
        <is>
          <t>Unknown</t>
        </is>
      </c>
      <c r="AF493" s="29" t="inlineStr">
        <is>
          <t>Not assessed</t>
        </is>
      </c>
      <c r="AG493" s="29" t="inlineStr">
        <is>
          <t>Unknown</t>
        </is>
      </c>
      <c r="AH493" s="29" t="inlineStr">
        <is>
          <t>Unknown</t>
        </is>
      </c>
      <c r="AI493" s="29" t="inlineStr">
        <is>
          <t>Searched for dating, match, unmatch, subscriber in source code, no relevant implementation found.</t>
        </is>
      </c>
      <c r="AJ493" s="29" t="inlineStr">
        <is>
          <t>Not verified</t>
        </is>
      </c>
      <c r="AK493" s="29" t="inlineStr"/>
      <c r="AL493" s="29" t="inlineStr"/>
      <c r="AM493" s="29" t="inlineStr"/>
      <c r="AN493" s="29" t="inlineStr"/>
      <c r="AO493" s="29" t="inlineStr">
        <is>
          <t>8bc0dcb2a1da1b21368c5536aaeef829d587f316</t>
        </is>
      </c>
      <c r="AP493" s="29" t="inlineStr">
        <is>
          <t>Unrated</t>
        </is>
      </c>
      <c r="AQ493" s="29" t="inlineStr">
        <is>
          <t>Not assessed</t>
        </is>
      </c>
      <c r="AR493" s="29" t="inlineStr">
        <is>
          <t>Not assessed</t>
        </is>
      </c>
      <c r="AS493" s="29" t="inlineStr">
        <is>
          <t>Not assessed</t>
        </is>
      </c>
      <c r="AT493" s="29" t="inlineStr">
        <is>
          <t>Not assessed</t>
        </is>
      </c>
      <c r="AU493" s="29" t="inlineStr">
        <is>
          <t>Not assessed</t>
        </is>
      </c>
      <c r="AV493" s="29" t="inlineStr">
        <is>
          <t>Not assessed</t>
        </is>
      </c>
      <c r="AW493" s="29" t="inlineStr">
        <is>
          <t>Not assessed</t>
        </is>
      </c>
      <c r="AX493" s="29" t="inlineStr">
        <is>
          <t>Not assessed</t>
        </is>
      </c>
      <c r="AY493" s="29" t="inlineStr">
        <is>
          <t>Not assessed</t>
        </is>
      </c>
      <c r="AZ493" s="29" t="inlineStr">
        <is>
          <t>Not assessed</t>
        </is>
      </c>
      <c r="BA493" s="29" t="inlineStr">
        <is>
          <t>Not assessed</t>
        </is>
      </c>
      <c r="BB493" s="29" t="inlineStr">
        <is>
          <t>Not assessed</t>
        </is>
      </c>
      <c r="BC493" s="29" t="inlineStr">
        <is>
          <t>Not assessed</t>
        </is>
      </c>
      <c r="BD493" s="29" t="inlineStr">
        <is>
          <t>Not assessed</t>
        </is>
      </c>
      <c r="BE493" s="29" t="inlineStr">
        <is>
          <t>Development required</t>
        </is>
      </c>
      <c r="BF493" s="29" t="inlineStr">
        <is>
          <t>Physical implementation is not complete against the stated requirement.; Searched for dating, match, unmatch, subscriber in source code, no relevant implementation found.</t>
        </is>
      </c>
      <c r="BG493" s="29" t="inlineStr"/>
      <c r="BH493" s="29" t="inlineStr"/>
      <c r="BI493" s="29" t="inlineStr"/>
      <c r="BJ493" s="29" t="inlineStr"/>
      <c r="BK493" s="29" t="inlineStr">
        <is>
          <t>Evidence reconciled against the reviewed source revision. No production approval is inferred from implementation or file presence.</t>
        </is>
      </c>
      <c r="BL493" s="29" t="inlineStr">
        <is>
          <t>2026-08-02</t>
        </is>
      </c>
    </row>
    <row r="494" ht="42" customHeight="1">
      <c r="A494" s="29" t="inlineStr">
        <is>
          <t>BLYP-24-016</t>
        </is>
      </c>
      <c r="B494" s="29" t="inlineStr"/>
      <c r="C494" s="29" t="inlineStr">
        <is>
          <t>Defined subscriber-only Dating experience</t>
        </is>
      </c>
      <c r="D494" s="29" t="n">
        <v>24</v>
      </c>
      <c r="E494" s="29" t="n">
        <v>16</v>
      </c>
      <c r="F494" s="29" t="inlineStr">
        <is>
          <t>Feature</t>
        </is>
      </c>
      <c r="G494" s="29" t="inlineStr">
        <is>
          <t>Block and report</t>
        </is>
      </c>
      <c r="H494" s="29" t="inlineStr">
        <is>
          <t>Block and report</t>
        </is>
      </c>
      <c r="I494" s="29" t="inlineStr">
        <is>
          <t>/home/ubuntu/blyp_product_requirements.md :: Section 24 — Defined subscriber-only Dating experience</t>
        </is>
      </c>
      <c r="J494" s="29" t="inlineStr">
        <is>
          <t>/home/ubuntu/BLYP_COMPLETE_FEATURE_LIST.md:623</t>
        </is>
      </c>
      <c r="K494" s="29" t="inlineStr">
        <is>
          <t>Required</t>
        </is>
      </c>
      <c r="L494" s="29" t="inlineStr">
        <is>
          <t>Applicable BLYP member</t>
        </is>
      </c>
      <c r="M494" s="29" t="inlineStr">
        <is>
          <t>Production platform, service and operator controls</t>
        </is>
      </c>
      <c r="N494" s="29" t="inlineStr">
        <is>
          <t>Block and report</t>
        </is>
      </c>
      <c r="O494" s="29" t="inlineStr">
        <is>
          <t>Not explicitly defined in the product source; requires accountable product approval before production sign-off.</t>
        </is>
      </c>
      <c r="P494" s="29" t="inlineStr">
        <is>
          <t>Not assessed</t>
        </is>
      </c>
      <c r="Q494" s="29" t="inlineStr">
        <is>
          <t>No evidence</t>
        </is>
      </c>
      <c r="R494" s="29" t="inlineStr"/>
      <c r="S494" s="29" t="inlineStr">
        <is>
          <t>Not found</t>
        </is>
      </c>
      <c r="T494" s="29" t="inlineStr">
        <is>
          <t>Not assessed</t>
        </is>
      </c>
      <c r="U494" s="29" t="inlineStr">
        <is>
          <t>Not assessed</t>
        </is>
      </c>
      <c r="V494" s="29" t="inlineStr">
        <is>
          <t>Not assessed</t>
        </is>
      </c>
      <c r="W494" s="29" t="inlineStr">
        <is>
          <t>Not assessed</t>
        </is>
      </c>
      <c r="X494" s="29" t="inlineStr">
        <is>
          <t>Not assessed</t>
        </is>
      </c>
      <c r="Y494" s="29" t="inlineStr">
        <is>
          <t>Not assessed</t>
        </is>
      </c>
      <c r="Z494" s="29" t="inlineStr">
        <is>
          <t>Not assessed</t>
        </is>
      </c>
      <c r="AA494" s="29" t="inlineStr">
        <is>
          <t>Not assessed</t>
        </is>
      </c>
      <c r="AB494" s="29" t="inlineStr">
        <is>
          <t>Not assessed</t>
        </is>
      </c>
      <c r="AC494" s="29" t="inlineStr"/>
      <c r="AD494" s="29" t="inlineStr"/>
      <c r="AE494" s="29" t="inlineStr">
        <is>
          <t>Unknown</t>
        </is>
      </c>
      <c r="AF494" s="29" t="inlineStr">
        <is>
          <t>Not assessed</t>
        </is>
      </c>
      <c r="AG494" s="29" t="inlineStr">
        <is>
          <t>Unknown</t>
        </is>
      </c>
      <c r="AH494" s="29" t="inlineStr">
        <is>
          <t>Unknown</t>
        </is>
      </c>
      <c r="AI494" s="29" t="inlineStr">
        <is>
          <t>Searched for dating, match, unmatch, subscriber in source code, no relevant implementation found.</t>
        </is>
      </c>
      <c r="AJ494" s="29" t="inlineStr">
        <is>
          <t>Not verified</t>
        </is>
      </c>
      <c r="AK494" s="29" t="inlineStr"/>
      <c r="AL494" s="29" t="inlineStr"/>
      <c r="AM494" s="29" t="inlineStr"/>
      <c r="AN494" s="29" t="inlineStr"/>
      <c r="AO494" s="29" t="inlineStr">
        <is>
          <t>8bc0dcb2a1da1b21368c5536aaeef829d587f316</t>
        </is>
      </c>
      <c r="AP494" s="29" t="inlineStr">
        <is>
          <t>Unrated</t>
        </is>
      </c>
      <c r="AQ494" s="29" t="inlineStr">
        <is>
          <t>Not assessed</t>
        </is>
      </c>
      <c r="AR494" s="29" t="inlineStr">
        <is>
          <t>Not assessed</t>
        </is>
      </c>
      <c r="AS494" s="29" t="inlineStr">
        <is>
          <t>Not assessed</t>
        </is>
      </c>
      <c r="AT494" s="29" t="inlineStr">
        <is>
          <t>Not assessed</t>
        </is>
      </c>
      <c r="AU494" s="29" t="inlineStr">
        <is>
          <t>Not assessed</t>
        </is>
      </c>
      <c r="AV494" s="29" t="inlineStr">
        <is>
          <t>Not assessed</t>
        </is>
      </c>
      <c r="AW494" s="29" t="inlineStr">
        <is>
          <t>Not assessed</t>
        </is>
      </c>
      <c r="AX494" s="29" t="inlineStr">
        <is>
          <t>Not assessed</t>
        </is>
      </c>
      <c r="AY494" s="29" t="inlineStr">
        <is>
          <t>Not assessed</t>
        </is>
      </c>
      <c r="AZ494" s="29" t="inlineStr">
        <is>
          <t>Not assessed</t>
        </is>
      </c>
      <c r="BA494" s="29" t="inlineStr">
        <is>
          <t>Not assessed</t>
        </is>
      </c>
      <c r="BB494" s="29" t="inlineStr">
        <is>
          <t>Not assessed</t>
        </is>
      </c>
      <c r="BC494" s="29" t="inlineStr">
        <is>
          <t>Not assessed</t>
        </is>
      </c>
      <c r="BD494" s="29" t="inlineStr">
        <is>
          <t>Not assessed</t>
        </is>
      </c>
      <c r="BE494" s="29" t="inlineStr">
        <is>
          <t>Development required</t>
        </is>
      </c>
      <c r="BF494" s="29" t="inlineStr">
        <is>
          <t>Physical implementation is not complete against the stated requirement.; Searched for dating, match, unmatch, subscriber in source code, no relevant implementation found.</t>
        </is>
      </c>
      <c r="BG494" s="29" t="inlineStr"/>
      <c r="BH494" s="29" t="inlineStr"/>
      <c r="BI494" s="29" t="inlineStr"/>
      <c r="BJ494" s="29" t="inlineStr"/>
      <c r="BK494" s="29" t="inlineStr">
        <is>
          <t>Evidence reconciled against the reviewed source revision. No production approval is inferred from implementation or file presence.</t>
        </is>
      </c>
      <c r="BL494" s="29" t="inlineStr">
        <is>
          <t>2026-08-02</t>
        </is>
      </c>
    </row>
    <row r="495" ht="42" customHeight="1">
      <c r="A495" s="29" t="inlineStr">
        <is>
          <t>BLYP-24-017</t>
        </is>
      </c>
      <c r="B495" s="29" t="inlineStr"/>
      <c r="C495" s="29" t="inlineStr">
        <is>
          <t>Defined subscriber-only Dating experience</t>
        </is>
      </c>
      <c r="D495" s="29" t="n">
        <v>24</v>
      </c>
      <c r="E495" s="29" t="n">
        <v>17</v>
      </c>
      <c r="F495" s="29" t="inlineStr">
        <is>
          <t>Rule</t>
        </is>
      </c>
      <c r="G495" s="29" t="inlineStr">
        <is>
          <t>Unsolicited-contact limits</t>
        </is>
      </c>
      <c r="H495" s="29" t="inlineStr">
        <is>
          <t>Unsolicited-contact limits</t>
        </is>
      </c>
      <c r="I495" s="29" t="inlineStr">
        <is>
          <t>/home/ubuntu/blyp_product_requirements.md :: Section 24 — Defined subscriber-only Dating experience</t>
        </is>
      </c>
      <c r="J495" s="29" t="inlineStr">
        <is>
          <t>/home/ubuntu/BLYP_COMPLETE_FEATURE_LIST.md:624</t>
        </is>
      </c>
      <c r="K495" s="29" t="inlineStr">
        <is>
          <t>Required</t>
        </is>
      </c>
      <c r="L495" s="29" t="inlineStr">
        <is>
          <t>Applicable BLYP member</t>
        </is>
      </c>
      <c r="M495" s="29" t="inlineStr">
        <is>
          <t>Production platform, service and operator controls</t>
        </is>
      </c>
      <c r="N495" s="29" t="inlineStr">
        <is>
          <t>Unsolicited-contact limits</t>
        </is>
      </c>
      <c r="O495" s="29" t="inlineStr">
        <is>
          <t>Not explicitly defined in the product source; requires accountable product approval before production sign-off.</t>
        </is>
      </c>
      <c r="P495" s="29" t="inlineStr">
        <is>
          <t>Not assessed</t>
        </is>
      </c>
      <c r="Q495" s="29" t="inlineStr">
        <is>
          <t>No evidence</t>
        </is>
      </c>
      <c r="R495" s="29" t="inlineStr"/>
      <c r="S495" s="29" t="inlineStr">
        <is>
          <t>Not found</t>
        </is>
      </c>
      <c r="T495" s="29" t="inlineStr">
        <is>
          <t>Not assessed</t>
        </is>
      </c>
      <c r="U495" s="29" t="inlineStr">
        <is>
          <t>Not assessed</t>
        </is>
      </c>
      <c r="V495" s="29" t="inlineStr">
        <is>
          <t>Not assessed</t>
        </is>
      </c>
      <c r="W495" s="29" t="inlineStr">
        <is>
          <t>Not assessed</t>
        </is>
      </c>
      <c r="X495" s="29" t="inlineStr">
        <is>
          <t>Not assessed</t>
        </is>
      </c>
      <c r="Y495" s="29" t="inlineStr">
        <is>
          <t>Not assessed</t>
        </is>
      </c>
      <c r="Z495" s="29" t="inlineStr">
        <is>
          <t>Not assessed</t>
        </is>
      </c>
      <c r="AA495" s="29" t="inlineStr">
        <is>
          <t>Not assessed</t>
        </is>
      </c>
      <c r="AB495" s="29" t="inlineStr">
        <is>
          <t>Not assessed</t>
        </is>
      </c>
      <c r="AC495" s="29" t="inlineStr"/>
      <c r="AD495" s="29" t="inlineStr"/>
      <c r="AE495" s="29" t="inlineStr">
        <is>
          <t>Unknown</t>
        </is>
      </c>
      <c r="AF495" s="29" t="inlineStr">
        <is>
          <t>Not assessed</t>
        </is>
      </c>
      <c r="AG495" s="29" t="inlineStr">
        <is>
          <t>Unknown</t>
        </is>
      </c>
      <c r="AH495" s="29" t="inlineStr">
        <is>
          <t>Unknown</t>
        </is>
      </c>
      <c r="AI495" s="29" t="inlineStr">
        <is>
          <t>Searched for dating, match, unmatch, subscriber in source code, no relevant implementation found.</t>
        </is>
      </c>
      <c r="AJ495" s="29" t="inlineStr">
        <is>
          <t>Not verified</t>
        </is>
      </c>
      <c r="AK495" s="29" t="inlineStr"/>
      <c r="AL495" s="29" t="inlineStr"/>
      <c r="AM495" s="29" t="inlineStr"/>
      <c r="AN495" s="29" t="inlineStr"/>
      <c r="AO495" s="29" t="inlineStr">
        <is>
          <t>8bc0dcb2a1da1b21368c5536aaeef829d587f316</t>
        </is>
      </c>
      <c r="AP495" s="29" t="inlineStr">
        <is>
          <t>Unrated</t>
        </is>
      </c>
      <c r="AQ495" s="29" t="inlineStr">
        <is>
          <t>Not assessed</t>
        </is>
      </c>
      <c r="AR495" s="29" t="inlineStr">
        <is>
          <t>Not assessed</t>
        </is>
      </c>
      <c r="AS495" s="29" t="inlineStr">
        <is>
          <t>Not assessed</t>
        </is>
      </c>
      <c r="AT495" s="29" t="inlineStr">
        <is>
          <t>Not assessed</t>
        </is>
      </c>
      <c r="AU495" s="29" t="inlineStr">
        <is>
          <t>Not assessed</t>
        </is>
      </c>
      <c r="AV495" s="29" t="inlineStr">
        <is>
          <t>Not assessed</t>
        </is>
      </c>
      <c r="AW495" s="29" t="inlineStr">
        <is>
          <t>Not assessed</t>
        </is>
      </c>
      <c r="AX495" s="29" t="inlineStr">
        <is>
          <t>Not assessed</t>
        </is>
      </c>
      <c r="AY495" s="29" t="inlineStr">
        <is>
          <t>Not assessed</t>
        </is>
      </c>
      <c r="AZ495" s="29" t="inlineStr">
        <is>
          <t>Not assessed</t>
        </is>
      </c>
      <c r="BA495" s="29" t="inlineStr">
        <is>
          <t>Not assessed</t>
        </is>
      </c>
      <c r="BB495" s="29" t="inlineStr">
        <is>
          <t>Not assessed</t>
        </is>
      </c>
      <c r="BC495" s="29" t="inlineStr">
        <is>
          <t>Not assessed</t>
        </is>
      </c>
      <c r="BD495" s="29" t="inlineStr">
        <is>
          <t>Not assessed</t>
        </is>
      </c>
      <c r="BE495" s="29" t="inlineStr">
        <is>
          <t>Development required</t>
        </is>
      </c>
      <c r="BF495" s="29" t="inlineStr">
        <is>
          <t>Physical implementation is not complete against the stated requirement.; Searched for dating, match, unmatch, subscriber in source code, no relevant implementation found.</t>
        </is>
      </c>
      <c r="BG495" s="29" t="inlineStr"/>
      <c r="BH495" s="29" t="inlineStr"/>
      <c r="BI495" s="29" t="inlineStr"/>
      <c r="BJ495" s="29" t="inlineStr"/>
      <c r="BK495" s="29" t="inlineStr">
        <is>
          <t>Evidence reconciled against the reviewed source revision. No production approval is inferred from implementation or file presence.</t>
        </is>
      </c>
      <c r="BL495" s="29" t="inlineStr">
        <is>
          <t>2026-08-02</t>
        </is>
      </c>
    </row>
    <row r="496" ht="42" customHeight="1">
      <c r="A496" s="29" t="inlineStr">
        <is>
          <t>BLYP-24-018</t>
        </is>
      </c>
      <c r="B496" s="29" t="inlineStr"/>
      <c r="C496" s="29" t="inlineStr">
        <is>
          <t>Defined subscriber-only Dating experience</t>
        </is>
      </c>
      <c r="D496" s="29" t="n">
        <v>24</v>
      </c>
      <c r="E496" s="29" t="n">
        <v>18</v>
      </c>
      <c r="F496" s="29" t="inlineStr">
        <is>
          <t>Feature</t>
        </is>
      </c>
      <c r="G496" s="29" t="inlineStr">
        <is>
          <t>Image moderation</t>
        </is>
      </c>
      <c r="H496" s="29" t="inlineStr">
        <is>
          <t>Image moderation</t>
        </is>
      </c>
      <c r="I496" s="29" t="inlineStr">
        <is>
          <t>/home/ubuntu/blyp_product_requirements.md :: Section 24 — Defined subscriber-only Dating experience</t>
        </is>
      </c>
      <c r="J496" s="29" t="inlineStr">
        <is>
          <t>/home/ubuntu/BLYP_COMPLETE_FEATURE_LIST.md:625</t>
        </is>
      </c>
      <c r="K496" s="29" t="inlineStr">
        <is>
          <t>Required</t>
        </is>
      </c>
      <c r="L496" s="29" t="inlineStr">
        <is>
          <t>Applicable BLYP member</t>
        </is>
      </c>
      <c r="M496" s="29" t="inlineStr">
        <is>
          <t>Production platform, service and operator controls</t>
        </is>
      </c>
      <c r="N496" s="29" t="inlineStr">
        <is>
          <t>Image moderation</t>
        </is>
      </c>
      <c r="O496" s="29" t="inlineStr">
        <is>
          <t>Not explicitly defined in the product source; requires accountable product approval before production sign-off.</t>
        </is>
      </c>
      <c r="P496" s="29" t="inlineStr">
        <is>
          <t>Not assessed</t>
        </is>
      </c>
      <c r="Q496" s="29" t="inlineStr">
        <is>
          <t>No evidence</t>
        </is>
      </c>
      <c r="R496" s="29" t="inlineStr"/>
      <c r="S496" s="29" t="inlineStr">
        <is>
          <t>Not found</t>
        </is>
      </c>
      <c r="T496" s="29" t="inlineStr">
        <is>
          <t>Not assessed</t>
        </is>
      </c>
      <c r="U496" s="29" t="inlineStr">
        <is>
          <t>Not assessed</t>
        </is>
      </c>
      <c r="V496" s="29" t="inlineStr">
        <is>
          <t>Not assessed</t>
        </is>
      </c>
      <c r="W496" s="29" t="inlineStr">
        <is>
          <t>Not assessed</t>
        </is>
      </c>
      <c r="X496" s="29" t="inlineStr">
        <is>
          <t>Not assessed</t>
        </is>
      </c>
      <c r="Y496" s="29" t="inlineStr">
        <is>
          <t>Not assessed</t>
        </is>
      </c>
      <c r="Z496" s="29" t="inlineStr">
        <is>
          <t>Not assessed</t>
        </is>
      </c>
      <c r="AA496" s="29" t="inlineStr">
        <is>
          <t>Not assessed</t>
        </is>
      </c>
      <c r="AB496" s="29" t="inlineStr">
        <is>
          <t>Not assessed</t>
        </is>
      </c>
      <c r="AC496" s="29" t="inlineStr"/>
      <c r="AD496" s="29" t="inlineStr"/>
      <c r="AE496" s="29" t="inlineStr">
        <is>
          <t>Unknown</t>
        </is>
      </c>
      <c r="AF496" s="29" t="inlineStr">
        <is>
          <t>Not assessed</t>
        </is>
      </c>
      <c r="AG496" s="29" t="inlineStr">
        <is>
          <t>Unknown</t>
        </is>
      </c>
      <c r="AH496" s="29" t="inlineStr">
        <is>
          <t>Unknown</t>
        </is>
      </c>
      <c r="AI496" s="29" t="inlineStr">
        <is>
          <t>Searched for dating, match, unmatch, subscriber in source code, no relevant implementation found.</t>
        </is>
      </c>
      <c r="AJ496" s="29" t="inlineStr">
        <is>
          <t>Not verified</t>
        </is>
      </c>
      <c r="AK496" s="29" t="inlineStr"/>
      <c r="AL496" s="29" t="inlineStr"/>
      <c r="AM496" s="29" t="inlineStr"/>
      <c r="AN496" s="29" t="inlineStr"/>
      <c r="AO496" s="29" t="inlineStr">
        <is>
          <t>8bc0dcb2a1da1b21368c5536aaeef829d587f316</t>
        </is>
      </c>
      <c r="AP496" s="29" t="inlineStr">
        <is>
          <t>Unrated</t>
        </is>
      </c>
      <c r="AQ496" s="29" t="inlineStr">
        <is>
          <t>Not assessed</t>
        </is>
      </c>
      <c r="AR496" s="29" t="inlineStr">
        <is>
          <t>Not assessed</t>
        </is>
      </c>
      <c r="AS496" s="29" t="inlineStr">
        <is>
          <t>Not assessed</t>
        </is>
      </c>
      <c r="AT496" s="29" t="inlineStr">
        <is>
          <t>Not assessed</t>
        </is>
      </c>
      <c r="AU496" s="29" t="inlineStr">
        <is>
          <t>Not assessed</t>
        </is>
      </c>
      <c r="AV496" s="29" t="inlineStr">
        <is>
          <t>Not assessed</t>
        </is>
      </c>
      <c r="AW496" s="29" t="inlineStr">
        <is>
          <t>Not assessed</t>
        </is>
      </c>
      <c r="AX496" s="29" t="inlineStr">
        <is>
          <t>Not assessed</t>
        </is>
      </c>
      <c r="AY496" s="29" t="inlineStr">
        <is>
          <t>Not assessed</t>
        </is>
      </c>
      <c r="AZ496" s="29" t="inlineStr">
        <is>
          <t>Not assessed</t>
        </is>
      </c>
      <c r="BA496" s="29" t="inlineStr">
        <is>
          <t>Not assessed</t>
        </is>
      </c>
      <c r="BB496" s="29" t="inlineStr">
        <is>
          <t>Not assessed</t>
        </is>
      </c>
      <c r="BC496" s="29" t="inlineStr">
        <is>
          <t>Not assessed</t>
        </is>
      </c>
      <c r="BD496" s="29" t="inlineStr">
        <is>
          <t>Not assessed</t>
        </is>
      </c>
      <c r="BE496" s="29" t="inlineStr">
        <is>
          <t>Development required</t>
        </is>
      </c>
      <c r="BF496" s="29" t="inlineStr">
        <is>
          <t>Physical implementation is not complete against the stated requirement.; Searched for dating, match, unmatch, subscriber in source code, no relevant implementation found.</t>
        </is>
      </c>
      <c r="BG496" s="29" t="inlineStr"/>
      <c r="BH496" s="29" t="inlineStr"/>
      <c r="BI496" s="29" t="inlineStr"/>
      <c r="BJ496" s="29" t="inlineStr"/>
      <c r="BK496" s="29" t="inlineStr">
        <is>
          <t>Evidence reconciled against the reviewed source revision. No production approval is inferred from implementation or file presence.</t>
        </is>
      </c>
      <c r="BL496" s="29" t="inlineStr">
        <is>
          <t>2026-08-02</t>
        </is>
      </c>
    </row>
    <row r="497" ht="42" customHeight="1">
      <c r="A497" s="29" t="inlineStr">
        <is>
          <t>BLYP-24-019</t>
        </is>
      </c>
      <c r="B497" s="29" t="inlineStr"/>
      <c r="C497" s="29" t="inlineStr">
        <is>
          <t>Defined subscriber-only Dating experience</t>
        </is>
      </c>
      <c r="D497" s="29" t="n">
        <v>24</v>
      </c>
      <c r="E497" s="29" t="n">
        <v>19</v>
      </c>
      <c r="F497" s="29" t="inlineStr">
        <is>
          <t>Feature</t>
        </is>
      </c>
      <c r="G497" s="29" t="inlineStr">
        <is>
          <t>Scam detection</t>
        </is>
      </c>
      <c r="H497" s="29" t="inlineStr">
        <is>
          <t>Scam detection</t>
        </is>
      </c>
      <c r="I497" s="29" t="inlineStr">
        <is>
          <t>/home/ubuntu/blyp_product_requirements.md :: Section 24 — Defined subscriber-only Dating experience</t>
        </is>
      </c>
      <c r="J497" s="29" t="inlineStr">
        <is>
          <t>/home/ubuntu/BLYP_COMPLETE_FEATURE_LIST.md:626</t>
        </is>
      </c>
      <c r="K497" s="29" t="inlineStr">
        <is>
          <t>Required</t>
        </is>
      </c>
      <c r="L497" s="29" t="inlineStr">
        <is>
          <t>Applicable BLYP member</t>
        </is>
      </c>
      <c r="M497" s="29" t="inlineStr">
        <is>
          <t>Production platform, service and operator controls</t>
        </is>
      </c>
      <c r="N497" s="29" t="inlineStr">
        <is>
          <t>Scam detection</t>
        </is>
      </c>
      <c r="O497" s="29" t="inlineStr">
        <is>
          <t>Not explicitly defined in the product source; requires accountable product approval before production sign-off.</t>
        </is>
      </c>
      <c r="P497" s="29" t="inlineStr">
        <is>
          <t>Not assessed</t>
        </is>
      </c>
      <c r="Q497" s="29" t="inlineStr">
        <is>
          <t>No evidence</t>
        </is>
      </c>
      <c r="R497" s="29" t="inlineStr"/>
      <c r="S497" s="29" t="inlineStr">
        <is>
          <t>Not found</t>
        </is>
      </c>
      <c r="T497" s="29" t="inlineStr">
        <is>
          <t>Not assessed</t>
        </is>
      </c>
      <c r="U497" s="29" t="inlineStr">
        <is>
          <t>Not assessed</t>
        </is>
      </c>
      <c r="V497" s="29" t="inlineStr">
        <is>
          <t>Not assessed</t>
        </is>
      </c>
      <c r="W497" s="29" t="inlineStr">
        <is>
          <t>Not assessed</t>
        </is>
      </c>
      <c r="X497" s="29" t="inlineStr">
        <is>
          <t>Not assessed</t>
        </is>
      </c>
      <c r="Y497" s="29" t="inlineStr">
        <is>
          <t>Not assessed</t>
        </is>
      </c>
      <c r="Z497" s="29" t="inlineStr">
        <is>
          <t>Not assessed</t>
        </is>
      </c>
      <c r="AA497" s="29" t="inlineStr">
        <is>
          <t>Not assessed</t>
        </is>
      </c>
      <c r="AB497" s="29" t="inlineStr">
        <is>
          <t>Not assessed</t>
        </is>
      </c>
      <c r="AC497" s="29" t="inlineStr"/>
      <c r="AD497" s="29" t="inlineStr"/>
      <c r="AE497" s="29" t="inlineStr">
        <is>
          <t>Unknown</t>
        </is>
      </c>
      <c r="AF497" s="29" t="inlineStr">
        <is>
          <t>Not assessed</t>
        </is>
      </c>
      <c r="AG497" s="29" t="inlineStr">
        <is>
          <t>Unknown</t>
        </is>
      </c>
      <c r="AH497" s="29" t="inlineStr">
        <is>
          <t>Unknown</t>
        </is>
      </c>
      <c r="AI497" s="29" t="inlineStr">
        <is>
          <t>Searched for dating, match, unmatch, subscriber in source code, no relevant implementation found.</t>
        </is>
      </c>
      <c r="AJ497" s="29" t="inlineStr">
        <is>
          <t>Not verified</t>
        </is>
      </c>
      <c r="AK497" s="29" t="inlineStr"/>
      <c r="AL497" s="29" t="inlineStr"/>
      <c r="AM497" s="29" t="inlineStr"/>
      <c r="AN497" s="29" t="inlineStr"/>
      <c r="AO497" s="29" t="inlineStr">
        <is>
          <t>8bc0dcb2a1da1b21368c5536aaeef829d587f316</t>
        </is>
      </c>
      <c r="AP497" s="29" t="inlineStr">
        <is>
          <t>Unrated</t>
        </is>
      </c>
      <c r="AQ497" s="29" t="inlineStr">
        <is>
          <t>Not assessed</t>
        </is>
      </c>
      <c r="AR497" s="29" t="inlineStr">
        <is>
          <t>Not assessed</t>
        </is>
      </c>
      <c r="AS497" s="29" t="inlineStr">
        <is>
          <t>Not assessed</t>
        </is>
      </c>
      <c r="AT497" s="29" t="inlineStr">
        <is>
          <t>Not assessed</t>
        </is>
      </c>
      <c r="AU497" s="29" t="inlineStr">
        <is>
          <t>Not assessed</t>
        </is>
      </c>
      <c r="AV497" s="29" t="inlineStr">
        <is>
          <t>Not assessed</t>
        </is>
      </c>
      <c r="AW497" s="29" t="inlineStr">
        <is>
          <t>Not assessed</t>
        </is>
      </c>
      <c r="AX497" s="29" t="inlineStr">
        <is>
          <t>Not assessed</t>
        </is>
      </c>
      <c r="AY497" s="29" t="inlineStr">
        <is>
          <t>Not assessed</t>
        </is>
      </c>
      <c r="AZ497" s="29" t="inlineStr">
        <is>
          <t>Not assessed</t>
        </is>
      </c>
      <c r="BA497" s="29" t="inlineStr">
        <is>
          <t>Not assessed</t>
        </is>
      </c>
      <c r="BB497" s="29" t="inlineStr">
        <is>
          <t>Not assessed</t>
        </is>
      </c>
      <c r="BC497" s="29" t="inlineStr">
        <is>
          <t>Not assessed</t>
        </is>
      </c>
      <c r="BD497" s="29" t="inlineStr">
        <is>
          <t>Not assessed</t>
        </is>
      </c>
      <c r="BE497" s="29" t="inlineStr">
        <is>
          <t>Development required</t>
        </is>
      </c>
      <c r="BF497" s="29" t="inlineStr">
        <is>
          <t>Physical implementation is not complete against the stated requirement.; Searched for dating, match, unmatch, subscriber in source code, no relevant implementation found.</t>
        </is>
      </c>
      <c r="BG497" s="29" t="inlineStr"/>
      <c r="BH497" s="29" t="inlineStr"/>
      <c r="BI497" s="29" t="inlineStr"/>
      <c r="BJ497" s="29" t="inlineStr"/>
      <c r="BK497" s="29" t="inlineStr">
        <is>
          <t>Evidence reconciled against the reviewed source revision. No production approval is inferred from implementation or file presence.</t>
        </is>
      </c>
      <c r="BL497" s="29" t="inlineStr">
        <is>
          <t>2026-08-02</t>
        </is>
      </c>
    </row>
    <row r="498" ht="42" customHeight="1">
      <c r="A498" s="29" t="inlineStr">
        <is>
          <t>BLYP-24-020</t>
        </is>
      </c>
      <c r="B498" s="29" t="inlineStr"/>
      <c r="C498" s="29" t="inlineStr">
        <is>
          <t>Defined subscriber-only Dating experience</t>
        </is>
      </c>
      <c r="D498" s="29" t="n">
        <v>24</v>
      </c>
      <c r="E498" s="29" t="n">
        <v>20</v>
      </c>
      <c r="F498" s="29" t="inlineStr">
        <is>
          <t>Feature</t>
        </is>
      </c>
      <c r="G498" s="29" t="inlineStr">
        <is>
          <t>In-person safety check-in</t>
        </is>
      </c>
      <c r="H498" s="29" t="inlineStr">
        <is>
          <t>In-person safety check-in</t>
        </is>
      </c>
      <c r="I498" s="29" t="inlineStr">
        <is>
          <t>/home/ubuntu/blyp_product_requirements.md :: Section 24 — Defined subscriber-only Dating experience</t>
        </is>
      </c>
      <c r="J498" s="29" t="inlineStr">
        <is>
          <t>/home/ubuntu/BLYP_COMPLETE_FEATURE_LIST.md:627</t>
        </is>
      </c>
      <c r="K498" s="29" t="inlineStr">
        <is>
          <t>Required</t>
        </is>
      </c>
      <c r="L498" s="29" t="inlineStr">
        <is>
          <t>Applicable BLYP member</t>
        </is>
      </c>
      <c r="M498" s="29" t="inlineStr">
        <is>
          <t>Production platform, service and operator controls</t>
        </is>
      </c>
      <c r="N498" s="29" t="inlineStr">
        <is>
          <t>In-person safety check-in</t>
        </is>
      </c>
      <c r="O498" s="29" t="inlineStr">
        <is>
          <t>Not explicitly defined in the product source; requires accountable product approval before production sign-off.</t>
        </is>
      </c>
      <c r="P498" s="29" t="inlineStr">
        <is>
          <t>Not assessed</t>
        </is>
      </c>
      <c r="Q498" s="29" t="inlineStr">
        <is>
          <t>No evidence</t>
        </is>
      </c>
      <c r="R498" s="29" t="inlineStr"/>
      <c r="S498" s="29" t="inlineStr">
        <is>
          <t>Not found</t>
        </is>
      </c>
      <c r="T498" s="29" t="inlineStr">
        <is>
          <t>Not assessed</t>
        </is>
      </c>
      <c r="U498" s="29" t="inlineStr">
        <is>
          <t>Not assessed</t>
        </is>
      </c>
      <c r="V498" s="29" t="inlineStr">
        <is>
          <t>Not assessed</t>
        </is>
      </c>
      <c r="W498" s="29" t="inlineStr">
        <is>
          <t>Not assessed</t>
        </is>
      </c>
      <c r="X498" s="29" t="inlineStr">
        <is>
          <t>Not assessed</t>
        </is>
      </c>
      <c r="Y498" s="29" t="inlineStr">
        <is>
          <t>Not assessed</t>
        </is>
      </c>
      <c r="Z498" s="29" t="inlineStr">
        <is>
          <t>Not assessed</t>
        </is>
      </c>
      <c r="AA498" s="29" t="inlineStr">
        <is>
          <t>Not assessed</t>
        </is>
      </c>
      <c r="AB498" s="29" t="inlineStr">
        <is>
          <t>Not assessed</t>
        </is>
      </c>
      <c r="AC498" s="29" t="inlineStr"/>
      <c r="AD498" s="29" t="inlineStr"/>
      <c r="AE498" s="29" t="inlineStr">
        <is>
          <t>Unknown</t>
        </is>
      </c>
      <c r="AF498" s="29" t="inlineStr">
        <is>
          <t>Not assessed</t>
        </is>
      </c>
      <c r="AG498" s="29" t="inlineStr">
        <is>
          <t>Unknown</t>
        </is>
      </c>
      <c r="AH498" s="29" t="inlineStr">
        <is>
          <t>Unknown</t>
        </is>
      </c>
      <c r="AI498" s="29" t="inlineStr">
        <is>
          <t>Searched for dating, match, unmatch, subscriber in source code, no relevant implementation found.</t>
        </is>
      </c>
      <c r="AJ498" s="29" t="inlineStr">
        <is>
          <t>Not verified</t>
        </is>
      </c>
      <c r="AK498" s="29" t="inlineStr"/>
      <c r="AL498" s="29" t="inlineStr"/>
      <c r="AM498" s="29" t="inlineStr"/>
      <c r="AN498" s="29" t="inlineStr"/>
      <c r="AO498" s="29" t="inlineStr">
        <is>
          <t>8bc0dcb2a1da1b21368c5536aaeef829d587f316</t>
        </is>
      </c>
      <c r="AP498" s="29" t="inlineStr">
        <is>
          <t>Unrated</t>
        </is>
      </c>
      <c r="AQ498" s="29" t="inlineStr">
        <is>
          <t>Not assessed</t>
        </is>
      </c>
      <c r="AR498" s="29" t="inlineStr">
        <is>
          <t>Not assessed</t>
        </is>
      </c>
      <c r="AS498" s="29" t="inlineStr">
        <is>
          <t>Not assessed</t>
        </is>
      </c>
      <c r="AT498" s="29" t="inlineStr">
        <is>
          <t>Not assessed</t>
        </is>
      </c>
      <c r="AU498" s="29" t="inlineStr">
        <is>
          <t>Not assessed</t>
        </is>
      </c>
      <c r="AV498" s="29" t="inlineStr">
        <is>
          <t>Not assessed</t>
        </is>
      </c>
      <c r="AW498" s="29" t="inlineStr">
        <is>
          <t>Not assessed</t>
        </is>
      </c>
      <c r="AX498" s="29" t="inlineStr">
        <is>
          <t>Not assessed</t>
        </is>
      </c>
      <c r="AY498" s="29" t="inlineStr">
        <is>
          <t>Not assessed</t>
        </is>
      </c>
      <c r="AZ498" s="29" t="inlineStr">
        <is>
          <t>Not assessed</t>
        </is>
      </c>
      <c r="BA498" s="29" t="inlineStr">
        <is>
          <t>Not assessed</t>
        </is>
      </c>
      <c r="BB498" s="29" t="inlineStr">
        <is>
          <t>Not assessed</t>
        </is>
      </c>
      <c r="BC498" s="29" t="inlineStr">
        <is>
          <t>Not assessed</t>
        </is>
      </c>
      <c r="BD498" s="29" t="inlineStr">
        <is>
          <t>Not assessed</t>
        </is>
      </c>
      <c r="BE498" s="29" t="inlineStr">
        <is>
          <t>Development required</t>
        </is>
      </c>
      <c r="BF498" s="29" t="inlineStr">
        <is>
          <t>Physical implementation is not complete against the stated requirement.; Searched for dating, match, unmatch, subscriber in source code, no relevant implementation found.</t>
        </is>
      </c>
      <c r="BG498" s="29" t="inlineStr"/>
      <c r="BH498" s="29" t="inlineStr"/>
      <c r="BI498" s="29" t="inlineStr"/>
      <c r="BJ498" s="29" t="inlineStr"/>
      <c r="BK498" s="29" t="inlineStr">
        <is>
          <t>Evidence reconciled against the reviewed source revision. No production approval is inferred from implementation or file presence.</t>
        </is>
      </c>
      <c r="BL498" s="29" t="inlineStr">
        <is>
          <t>2026-08-02</t>
        </is>
      </c>
    </row>
    <row r="499" ht="42" customHeight="1">
      <c r="A499" s="29" t="inlineStr">
        <is>
          <t>BLYP-25-001</t>
        </is>
      </c>
      <c r="B499" s="29" t="inlineStr"/>
      <c r="C499" s="29" t="inlineStr">
        <is>
          <t>Events, scheduling, and calendar</t>
        </is>
      </c>
      <c r="D499" s="29" t="n">
        <v>25</v>
      </c>
      <c r="E499" s="29" t="n">
        <v>1</v>
      </c>
      <c r="F499" s="29" t="inlineStr">
        <is>
          <t>Feature</t>
        </is>
      </c>
      <c r="G499" s="29" t="inlineStr">
        <is>
          <t>Unified event system</t>
        </is>
      </c>
      <c r="H499" s="29" t="inlineStr">
        <is>
          <t>Unified event system</t>
        </is>
      </c>
      <c r="I499" s="29" t="inlineStr">
        <is>
          <t>/home/ubuntu/blyp_product_requirements.md :: Section 25 — Events, scheduling, and calendar</t>
        </is>
      </c>
      <c r="J499" s="29" t="inlineStr">
        <is>
          <t>/home/ubuntu/BLYP_COMPLETE_FEATURE_LIST.md:633</t>
        </is>
      </c>
      <c r="K499" s="29" t="inlineStr">
        <is>
          <t>Required</t>
        </is>
      </c>
      <c r="L499" s="29" t="inlineStr">
        <is>
          <t>Applicable BLYP member</t>
        </is>
      </c>
      <c r="M499" s="29" t="inlineStr">
        <is>
          <t>Production platform, service and operator controls</t>
        </is>
      </c>
      <c r="N499" s="29" t="inlineStr">
        <is>
          <t>Unified event system</t>
        </is>
      </c>
      <c r="O499" s="29" t="inlineStr">
        <is>
          <t>Not explicitly defined in the product source; requires accountable product approval before production sign-off.</t>
        </is>
      </c>
      <c r="P499" s="29" t="inlineStr"/>
      <c r="Q499" s="29" t="inlineStr">
        <is>
          <t>No evidence</t>
        </is>
      </c>
      <c r="R499" s="29" t="inlineStr"/>
      <c r="S499" s="29" t="inlineStr">
        <is>
          <t>Not found</t>
        </is>
      </c>
      <c r="T499" s="29" t="inlineStr">
        <is>
          <t>Not found</t>
        </is>
      </c>
      <c r="U499" s="29" t="inlineStr">
        <is>
          <t>Not found</t>
        </is>
      </c>
      <c r="V499" s="29" t="inlineStr">
        <is>
          <t>Not found</t>
        </is>
      </c>
      <c r="W499" s="29" t="inlineStr">
        <is>
          <t>Not found</t>
        </is>
      </c>
      <c r="X499" s="29" t="inlineStr">
        <is>
          <t>Not found</t>
        </is>
      </c>
      <c r="Y499" s="29" t="inlineStr">
        <is>
          <t>Not found</t>
        </is>
      </c>
      <c r="Z499" s="29" t="inlineStr">
        <is>
          <t>Not found</t>
        </is>
      </c>
      <c r="AA499" s="29" t="inlineStr">
        <is>
          <t>Not found</t>
        </is>
      </c>
      <c r="AB499" s="29" t="inlineStr">
        <is>
          <t>Not found</t>
        </is>
      </c>
      <c r="AC499" s="29" t="inlineStr"/>
      <c r="AD499" s="29" t="inlineStr">
        <is>
          <t>Not found</t>
        </is>
      </c>
      <c r="AE499" s="29" t="inlineStr">
        <is>
          <t>Unknown</t>
        </is>
      </c>
      <c r="AF499" s="29" t="inlineStr"/>
      <c r="AG499" s="29" t="inlineStr">
        <is>
          <t>Unknown</t>
        </is>
      </c>
      <c r="AH499" s="29" t="inlineStr">
        <is>
          <t>Unknown</t>
        </is>
      </c>
      <c r="AI499" s="29" t="inlineStr">
        <is>
          <t>Searched source code for 'event', 'schedule', 'calendar', 'reminder', 'capacity', 'invite', 'notification' but found no implementation for this feature.</t>
        </is>
      </c>
      <c r="AJ499" s="29" t="inlineStr">
        <is>
          <t>Not verified</t>
        </is>
      </c>
      <c r="AK499" s="29" t="inlineStr"/>
      <c r="AL499" s="29" t="inlineStr"/>
      <c r="AM499" s="29" t="inlineStr"/>
      <c r="AN499" s="29" t="inlineStr"/>
      <c r="AO499" s="29" t="inlineStr">
        <is>
          <t>8bc0dcb2a1da1b21368c5536aaeef829d587f316</t>
        </is>
      </c>
      <c r="AP499" s="29" t="inlineStr">
        <is>
          <t>Low</t>
        </is>
      </c>
      <c r="AQ499" s="29" t="inlineStr">
        <is>
          <t>Not assessed</t>
        </is>
      </c>
      <c r="AR499" s="29" t="inlineStr">
        <is>
          <t>Not assessed</t>
        </is>
      </c>
      <c r="AS499" s="29" t="inlineStr">
        <is>
          <t>Not assessed</t>
        </is>
      </c>
      <c r="AT499" s="29" t="inlineStr">
        <is>
          <t>Not assessed</t>
        </is>
      </c>
      <c r="AU499" s="29" t="inlineStr">
        <is>
          <t>Not assessed</t>
        </is>
      </c>
      <c r="AV499" s="29" t="inlineStr">
        <is>
          <t>Not assessed</t>
        </is>
      </c>
      <c r="AW499" s="29" t="inlineStr">
        <is>
          <t>Not assessed</t>
        </is>
      </c>
      <c r="AX499" s="29" t="inlineStr">
        <is>
          <t>Not assessed</t>
        </is>
      </c>
      <c r="AY499" s="29" t="inlineStr">
        <is>
          <t>Not assessed</t>
        </is>
      </c>
      <c r="AZ499" s="29" t="inlineStr">
        <is>
          <t>Not assessed</t>
        </is>
      </c>
      <c r="BA499" s="29" t="inlineStr">
        <is>
          <t>Not assessed</t>
        </is>
      </c>
      <c r="BB499" s="29" t="inlineStr">
        <is>
          <t>Not assessed</t>
        </is>
      </c>
      <c r="BC499" s="29" t="inlineStr">
        <is>
          <t>Not assessed</t>
        </is>
      </c>
      <c r="BD499" s="29" t="inlineStr">
        <is>
          <t>Not assessed</t>
        </is>
      </c>
      <c r="BE499" s="29" t="inlineStr">
        <is>
          <t>Development required</t>
        </is>
      </c>
      <c r="BF499" s="29" t="inlineStr">
        <is>
          <t>Physical implementation is not complete against the stated requirement.; Searched source code for 'event', 'schedule', 'calendar', 'reminder', 'capacity', 'invite', 'notification' but found no implementation for this feature.</t>
        </is>
      </c>
      <c r="BG499" s="29" t="inlineStr">
        <is>
          <t>Source code implementation</t>
        </is>
      </c>
      <c r="BH499" s="29" t="inlineStr"/>
      <c r="BI499" s="29" t="inlineStr"/>
      <c r="BJ499" s="29" t="inlineStr"/>
      <c r="BK499" s="29" t="inlineStr">
        <is>
          <t>Evidence reconciled against the reviewed source revision. No production approval is inferred from implementation or file presence.</t>
        </is>
      </c>
      <c r="BL499" s="29" t="inlineStr">
        <is>
          <t>2026-08-02</t>
        </is>
      </c>
    </row>
    <row r="500" ht="42" customHeight="1">
      <c r="A500" s="29" t="inlineStr">
        <is>
          <t>BLYP-25-002</t>
        </is>
      </c>
      <c r="B500" s="29" t="inlineStr"/>
      <c r="C500" s="29" t="inlineStr">
        <is>
          <t>Events, scheduling, and calendar</t>
        </is>
      </c>
      <c r="D500" s="29" t="n">
        <v>25</v>
      </c>
      <c r="E500" s="29" t="n">
        <v>2</v>
      </c>
      <c r="F500" s="29" t="inlineStr">
        <is>
          <t>Feature</t>
        </is>
      </c>
      <c r="G500" s="29" t="inlineStr">
        <is>
          <t>Scheduled lives</t>
        </is>
      </c>
      <c r="H500" s="29" t="inlineStr">
        <is>
          <t>Scheduled lives</t>
        </is>
      </c>
      <c r="I500" s="29" t="inlineStr">
        <is>
          <t>/home/ubuntu/blyp_product_requirements.md :: Section 25 — Events, scheduling, and calendar</t>
        </is>
      </c>
      <c r="J500" s="29" t="inlineStr">
        <is>
          <t>/home/ubuntu/BLYP_COMPLETE_FEATURE_LIST.md:634</t>
        </is>
      </c>
      <c r="K500" s="29" t="inlineStr">
        <is>
          <t>Required</t>
        </is>
      </c>
      <c r="L500" s="29" t="inlineStr">
        <is>
          <t>Applicable BLYP member</t>
        </is>
      </c>
      <c r="M500" s="29" t="inlineStr">
        <is>
          <t>Production platform, service and operator controls</t>
        </is>
      </c>
      <c r="N500" s="29" t="inlineStr">
        <is>
          <t>Scheduled lives</t>
        </is>
      </c>
      <c r="O500" s="29" t="inlineStr">
        <is>
          <t>Not explicitly defined in the product source; requires accountable product approval before production sign-off.</t>
        </is>
      </c>
      <c r="P500" s="29" t="inlineStr"/>
      <c r="Q500" s="29" t="inlineStr">
        <is>
          <t>Partial</t>
        </is>
      </c>
      <c r="R500" s="29" t="inlineStr"/>
      <c r="S500" s="29" t="inlineStr">
        <is>
          <t>Not found</t>
        </is>
      </c>
      <c r="T500" s="29" t="inlineStr">
        <is>
          <t>Not found</t>
        </is>
      </c>
      <c r="U500" s="29" t="inlineStr">
        <is>
          <t>Not found</t>
        </is>
      </c>
      <c r="V500" s="29" t="inlineStr">
        <is>
          <t>Not found</t>
        </is>
      </c>
      <c r="W500" s="29" t="inlineStr">
        <is>
          <t>Not found</t>
        </is>
      </c>
      <c r="X500" s="29" t="inlineStr">
        <is>
          <t>Not found</t>
        </is>
      </c>
      <c r="Y500" s="29" t="inlineStr">
        <is>
          <t>Not found</t>
        </is>
      </c>
      <c r="Z500" s="29" t="inlineStr">
        <is>
          <t>Not found</t>
        </is>
      </c>
      <c r="AA500" s="29" t="inlineStr">
        <is>
          <t>Not found</t>
        </is>
      </c>
      <c r="AB500" s="29" t="inlineStr">
        <is>
          <t>Not found</t>
        </is>
      </c>
      <c r="AC500" s="29" t="inlineStr"/>
      <c r="AD500" s="29" t="inlineStr">
        <is>
          <t>Not found</t>
        </is>
      </c>
      <c r="AE500" s="29" t="inlineStr">
        <is>
          <t>Unknown</t>
        </is>
      </c>
      <c r="AF500" s="29" t="inlineStr"/>
      <c r="AG500" s="29" t="inlineStr">
        <is>
          <t>Unknown</t>
        </is>
      </c>
      <c r="AH500" s="29" t="inlineStr">
        <is>
          <t>Unknown</t>
        </is>
      </c>
      <c r="AI500" s="29" t="inlineStr">
        <is>
          <t>Searched source code for 'event', 'schedule', 'calendar', 'reminder', 'capacity', 'invite', 'notification' but found no implementation for this feature.</t>
        </is>
      </c>
      <c r="AJ500" s="29" t="inlineStr">
        <is>
          <t>Not verified</t>
        </is>
      </c>
      <c r="AK500" s="29" t="inlineStr"/>
      <c r="AL500" s="29" t="inlineStr"/>
      <c r="AM500" s="29" t="inlineStr"/>
      <c r="AN500" s="29" t="inlineStr"/>
      <c r="AO500" s="29" t="inlineStr">
        <is>
          <t>8bc0dcb2a1da1b21368c5536aaeef829d587f316</t>
        </is>
      </c>
      <c r="AP500" s="29" t="inlineStr">
        <is>
          <t>Low</t>
        </is>
      </c>
      <c r="AQ500" s="29" t="inlineStr">
        <is>
          <t>Not assessed</t>
        </is>
      </c>
      <c r="AR500" s="29" t="inlineStr">
        <is>
          <t>Not assessed</t>
        </is>
      </c>
      <c r="AS500" s="29" t="inlineStr">
        <is>
          <t>Not assessed</t>
        </is>
      </c>
      <c r="AT500" s="29" t="inlineStr">
        <is>
          <t>Not assessed</t>
        </is>
      </c>
      <c r="AU500" s="29" t="inlineStr">
        <is>
          <t>Not assessed</t>
        </is>
      </c>
      <c r="AV500" s="29" t="inlineStr">
        <is>
          <t>Not assessed</t>
        </is>
      </c>
      <c r="AW500" s="29" t="inlineStr">
        <is>
          <t>Not assessed</t>
        </is>
      </c>
      <c r="AX500" s="29" t="inlineStr">
        <is>
          <t>Not assessed</t>
        </is>
      </c>
      <c r="AY500" s="29" t="inlineStr">
        <is>
          <t>Not assessed</t>
        </is>
      </c>
      <c r="AZ500" s="29" t="inlineStr">
        <is>
          <t>Not assessed</t>
        </is>
      </c>
      <c r="BA500" s="29" t="inlineStr">
        <is>
          <t>Not assessed</t>
        </is>
      </c>
      <c r="BB500" s="29" t="inlineStr">
        <is>
          <t>Not assessed</t>
        </is>
      </c>
      <c r="BC500" s="29" t="inlineStr">
        <is>
          <t>Not assessed</t>
        </is>
      </c>
      <c r="BD500" s="29" t="inlineStr">
        <is>
          <t>Not assessed</t>
        </is>
      </c>
      <c r="BE500" s="29" t="inlineStr">
        <is>
          <t>Development required</t>
        </is>
      </c>
      <c r="BF500" s="29" t="inlineStr">
        <is>
          <t>Physical implementation is not complete against the stated requirement.; Searched source code for 'event', 'schedule', 'calendar', 'reminder', 'capacity', 'invite', 'notification' but found no implementation for this feature.</t>
        </is>
      </c>
      <c r="BG500" s="29" t="inlineStr">
        <is>
          <t>Source code implementation</t>
        </is>
      </c>
      <c r="BH500" s="29" t="inlineStr"/>
      <c r="BI500" s="29" t="inlineStr"/>
      <c r="BJ500" s="29" t="inlineStr"/>
      <c r="BK500" s="29" t="inlineStr">
        <is>
          <t>Evidence reconciled against the reviewed source revision. No production approval is inferred from implementation or file presence.</t>
        </is>
      </c>
      <c r="BL500" s="29" t="inlineStr">
        <is>
          <t>2026-08-02</t>
        </is>
      </c>
    </row>
    <row r="501" ht="42" customHeight="1">
      <c r="A501" s="29" t="inlineStr">
        <is>
          <t>BLYP-25-003</t>
        </is>
      </c>
      <c r="B501" s="29" t="inlineStr"/>
      <c r="C501" s="29" t="inlineStr">
        <is>
          <t>Events, scheduling, and calendar</t>
        </is>
      </c>
      <c r="D501" s="29" t="n">
        <v>25</v>
      </c>
      <c r="E501" s="29" t="n">
        <v>3</v>
      </c>
      <c r="F501" s="29" t="inlineStr">
        <is>
          <t>Feature</t>
        </is>
      </c>
      <c r="G501" s="29" t="inlineStr">
        <is>
          <t>Scheduled Battles</t>
        </is>
      </c>
      <c r="H501" s="29" t="inlineStr">
        <is>
          <t>Scheduled Battles</t>
        </is>
      </c>
      <c r="I501" s="29" t="inlineStr">
        <is>
          <t>/home/ubuntu/blyp_product_requirements.md :: Section 25 — Events, scheduling, and calendar</t>
        </is>
      </c>
      <c r="J501" s="29" t="inlineStr">
        <is>
          <t>/home/ubuntu/BLYP_COMPLETE_FEATURE_LIST.md:635</t>
        </is>
      </c>
      <c r="K501" s="29" t="inlineStr">
        <is>
          <t>Required</t>
        </is>
      </c>
      <c r="L501" s="29" t="inlineStr">
        <is>
          <t>Applicable BLYP member</t>
        </is>
      </c>
      <c r="M501" s="29" t="inlineStr">
        <is>
          <t>Production platform, service and operator controls</t>
        </is>
      </c>
      <c r="N501" s="29" t="inlineStr">
        <is>
          <t>Scheduled Battles</t>
        </is>
      </c>
      <c r="O501" s="29" t="inlineStr">
        <is>
          <t>Not explicitly defined in the product source; requires accountable product approval before production sign-off.</t>
        </is>
      </c>
      <c r="P501" s="29" t="inlineStr"/>
      <c r="Q501" s="29" t="inlineStr">
        <is>
          <t>Partial</t>
        </is>
      </c>
      <c r="R501" s="29" t="inlineStr"/>
      <c r="S501" s="29" t="inlineStr">
        <is>
          <t>Not found</t>
        </is>
      </c>
      <c r="T501" s="29" t="inlineStr">
        <is>
          <t>Not found</t>
        </is>
      </c>
      <c r="U501" s="29" t="inlineStr">
        <is>
          <t>Not found</t>
        </is>
      </c>
      <c r="V501" s="29" t="inlineStr">
        <is>
          <t>Not found</t>
        </is>
      </c>
      <c r="W501" s="29" t="inlineStr">
        <is>
          <t>Not found</t>
        </is>
      </c>
      <c r="X501" s="29" t="inlineStr">
        <is>
          <t>Not found</t>
        </is>
      </c>
      <c r="Y501" s="29" t="inlineStr">
        <is>
          <t>Not found</t>
        </is>
      </c>
      <c r="Z501" s="29" t="inlineStr">
        <is>
          <t>Not found</t>
        </is>
      </c>
      <c r="AA501" s="29" t="inlineStr">
        <is>
          <t>Not found</t>
        </is>
      </c>
      <c r="AB501" s="29" t="inlineStr">
        <is>
          <t>Not found</t>
        </is>
      </c>
      <c r="AC501" s="29" t="inlineStr"/>
      <c r="AD501" s="29" t="inlineStr">
        <is>
          <t>Not found</t>
        </is>
      </c>
      <c r="AE501" s="29" t="inlineStr">
        <is>
          <t>Unknown</t>
        </is>
      </c>
      <c r="AF501" s="29" t="inlineStr"/>
      <c r="AG501" s="29" t="inlineStr">
        <is>
          <t>Unknown</t>
        </is>
      </c>
      <c r="AH501" s="29" t="inlineStr">
        <is>
          <t>Unknown</t>
        </is>
      </c>
      <c r="AI501" s="29" t="inlineStr">
        <is>
          <t>Searched source code for 'event', 'schedule', 'calendar', 'reminder', 'capacity', 'invite', 'notification' but found no implementation for this feature.</t>
        </is>
      </c>
      <c r="AJ501" s="29" t="inlineStr">
        <is>
          <t>Not verified</t>
        </is>
      </c>
      <c r="AK501" s="29" t="inlineStr"/>
      <c r="AL501" s="29" t="inlineStr"/>
      <c r="AM501" s="29" t="inlineStr"/>
      <c r="AN501" s="29" t="inlineStr"/>
      <c r="AO501" s="29" t="inlineStr">
        <is>
          <t>8bc0dcb2a1da1b21368c5536aaeef829d587f316</t>
        </is>
      </c>
      <c r="AP501" s="29" t="inlineStr">
        <is>
          <t>Low</t>
        </is>
      </c>
      <c r="AQ501" s="29" t="inlineStr">
        <is>
          <t>Not assessed</t>
        </is>
      </c>
      <c r="AR501" s="29" t="inlineStr">
        <is>
          <t>Not assessed</t>
        </is>
      </c>
      <c r="AS501" s="29" t="inlineStr">
        <is>
          <t>Not assessed</t>
        </is>
      </c>
      <c r="AT501" s="29" t="inlineStr">
        <is>
          <t>Not assessed</t>
        </is>
      </c>
      <c r="AU501" s="29" t="inlineStr">
        <is>
          <t>Not assessed</t>
        </is>
      </c>
      <c r="AV501" s="29" t="inlineStr">
        <is>
          <t>Not assessed</t>
        </is>
      </c>
      <c r="AW501" s="29" t="inlineStr">
        <is>
          <t>Not assessed</t>
        </is>
      </c>
      <c r="AX501" s="29" t="inlineStr">
        <is>
          <t>Not assessed</t>
        </is>
      </c>
      <c r="AY501" s="29" t="inlineStr">
        <is>
          <t>Not assessed</t>
        </is>
      </c>
      <c r="AZ501" s="29" t="inlineStr">
        <is>
          <t>Not assessed</t>
        </is>
      </c>
      <c r="BA501" s="29" t="inlineStr">
        <is>
          <t>Not assessed</t>
        </is>
      </c>
      <c r="BB501" s="29" t="inlineStr">
        <is>
          <t>Not assessed</t>
        </is>
      </c>
      <c r="BC501" s="29" t="inlineStr">
        <is>
          <t>Not assessed</t>
        </is>
      </c>
      <c r="BD501" s="29" t="inlineStr">
        <is>
          <t>Not assessed</t>
        </is>
      </c>
      <c r="BE501" s="29" t="inlineStr">
        <is>
          <t>Development required</t>
        </is>
      </c>
      <c r="BF501" s="29" t="inlineStr">
        <is>
          <t>Physical implementation is not complete against the stated requirement.; Searched source code for 'event', 'schedule', 'calendar', 'reminder', 'capacity', 'invite', 'notification' but found no implementation for this feature.</t>
        </is>
      </c>
      <c r="BG501" s="29" t="inlineStr">
        <is>
          <t>Source code implementation</t>
        </is>
      </c>
      <c r="BH501" s="29" t="inlineStr"/>
      <c r="BI501" s="29" t="inlineStr"/>
      <c r="BJ501" s="29" t="inlineStr"/>
      <c r="BK501" s="29" t="inlineStr">
        <is>
          <t>Evidence reconciled against the reviewed source revision. No production approval is inferred from implementation or file presence.</t>
        </is>
      </c>
      <c r="BL501" s="29" t="inlineStr">
        <is>
          <t>2026-08-02</t>
        </is>
      </c>
    </row>
    <row r="502" ht="42" customHeight="1">
      <c r="A502" s="29" t="inlineStr">
        <is>
          <t>BLYP-25-004</t>
        </is>
      </c>
      <c r="B502" s="29" t="inlineStr"/>
      <c r="C502" s="29" t="inlineStr">
        <is>
          <t>Events, scheduling, and calendar</t>
        </is>
      </c>
      <c r="D502" s="29" t="n">
        <v>25</v>
      </c>
      <c r="E502" s="29" t="n">
        <v>4</v>
      </c>
      <c r="F502" s="29" t="inlineStr">
        <is>
          <t>Feature</t>
        </is>
      </c>
      <c r="G502" s="29" t="inlineStr">
        <is>
          <t>Scheduled guest appearances</t>
        </is>
      </c>
      <c r="H502" s="29" t="inlineStr">
        <is>
          <t>Scheduled guest appearances</t>
        </is>
      </c>
      <c r="I502" s="29" t="inlineStr">
        <is>
          <t>/home/ubuntu/blyp_product_requirements.md :: Section 25 — Events, scheduling, and calendar</t>
        </is>
      </c>
      <c r="J502" s="29" t="inlineStr">
        <is>
          <t>/home/ubuntu/BLYP_COMPLETE_FEATURE_LIST.md:636</t>
        </is>
      </c>
      <c r="K502" s="29" t="inlineStr">
        <is>
          <t>Required</t>
        </is>
      </c>
      <c r="L502" s="29" t="inlineStr">
        <is>
          <t>Authenticated or eligible viewer</t>
        </is>
      </c>
      <c r="M502" s="29" t="inlineStr">
        <is>
          <t>Production platform, service and operator controls</t>
        </is>
      </c>
      <c r="N502" s="29" t="inlineStr">
        <is>
          <t>Scheduled guest appearances</t>
        </is>
      </c>
      <c r="O502" s="29" t="inlineStr">
        <is>
          <t>Not explicitly defined in the product source; requires accountable product approval before production sign-off.</t>
        </is>
      </c>
      <c r="P502" s="29" t="inlineStr"/>
      <c r="Q502" s="29" t="inlineStr">
        <is>
          <t>No evidence</t>
        </is>
      </c>
      <c r="R502" s="29" t="inlineStr"/>
      <c r="S502" s="29" t="inlineStr">
        <is>
          <t>Not found</t>
        </is>
      </c>
      <c r="T502" s="29" t="inlineStr">
        <is>
          <t>Not found</t>
        </is>
      </c>
      <c r="U502" s="29" t="inlineStr">
        <is>
          <t>Not found</t>
        </is>
      </c>
      <c r="V502" s="29" t="inlineStr">
        <is>
          <t>Not found</t>
        </is>
      </c>
      <c r="W502" s="29" t="inlineStr">
        <is>
          <t>Not found</t>
        </is>
      </c>
      <c r="X502" s="29" t="inlineStr">
        <is>
          <t>Not found</t>
        </is>
      </c>
      <c r="Y502" s="29" t="inlineStr">
        <is>
          <t>Not found</t>
        </is>
      </c>
      <c r="Z502" s="29" t="inlineStr">
        <is>
          <t>Not found</t>
        </is>
      </c>
      <c r="AA502" s="29" t="inlineStr">
        <is>
          <t>Not found</t>
        </is>
      </c>
      <c r="AB502" s="29" t="inlineStr">
        <is>
          <t>Not found</t>
        </is>
      </c>
      <c r="AC502" s="29" t="inlineStr"/>
      <c r="AD502" s="29" t="inlineStr">
        <is>
          <t>Not found</t>
        </is>
      </c>
      <c r="AE502" s="29" t="inlineStr">
        <is>
          <t>Unknown</t>
        </is>
      </c>
      <c r="AF502" s="29" t="inlineStr"/>
      <c r="AG502" s="29" t="inlineStr">
        <is>
          <t>Unknown</t>
        </is>
      </c>
      <c r="AH502" s="29" t="inlineStr">
        <is>
          <t>Unknown</t>
        </is>
      </c>
      <c r="AI502" s="29" t="inlineStr">
        <is>
          <t>Searched source code for 'event', 'schedule', 'calendar', 'reminder', 'capacity', 'invite', 'notification' but found no implementation for this feature.</t>
        </is>
      </c>
      <c r="AJ502" s="29" t="inlineStr">
        <is>
          <t>Not verified</t>
        </is>
      </c>
      <c r="AK502" s="29" t="inlineStr"/>
      <c r="AL502" s="29" t="inlineStr"/>
      <c r="AM502" s="29" t="inlineStr"/>
      <c r="AN502" s="29" t="inlineStr"/>
      <c r="AO502" s="29" t="inlineStr">
        <is>
          <t>8bc0dcb2a1da1b21368c5536aaeef829d587f316</t>
        </is>
      </c>
      <c r="AP502" s="29" t="inlineStr">
        <is>
          <t>Low</t>
        </is>
      </c>
      <c r="AQ502" s="29" t="inlineStr">
        <is>
          <t>Not assessed</t>
        </is>
      </c>
      <c r="AR502" s="29" t="inlineStr">
        <is>
          <t>Not assessed</t>
        </is>
      </c>
      <c r="AS502" s="29" t="inlineStr">
        <is>
          <t>Not assessed</t>
        </is>
      </c>
      <c r="AT502" s="29" t="inlineStr">
        <is>
          <t>Not assessed</t>
        </is>
      </c>
      <c r="AU502" s="29" t="inlineStr">
        <is>
          <t>Not assessed</t>
        </is>
      </c>
      <c r="AV502" s="29" t="inlineStr">
        <is>
          <t>Not assessed</t>
        </is>
      </c>
      <c r="AW502" s="29" t="inlineStr">
        <is>
          <t>Not assessed</t>
        </is>
      </c>
      <c r="AX502" s="29" t="inlineStr">
        <is>
          <t>Not assessed</t>
        </is>
      </c>
      <c r="AY502" s="29" t="inlineStr">
        <is>
          <t>Not assessed</t>
        </is>
      </c>
      <c r="AZ502" s="29" t="inlineStr">
        <is>
          <t>Not assessed</t>
        </is>
      </c>
      <c r="BA502" s="29" t="inlineStr">
        <is>
          <t>Not assessed</t>
        </is>
      </c>
      <c r="BB502" s="29" t="inlineStr">
        <is>
          <t>Not assessed</t>
        </is>
      </c>
      <c r="BC502" s="29" t="inlineStr">
        <is>
          <t>Not assessed</t>
        </is>
      </c>
      <c r="BD502" s="29" t="inlineStr">
        <is>
          <t>Not assessed</t>
        </is>
      </c>
      <c r="BE502" s="29" t="inlineStr">
        <is>
          <t>Development required</t>
        </is>
      </c>
      <c r="BF502" s="29" t="inlineStr">
        <is>
          <t>Physical implementation is not complete against the stated requirement.; Searched source code for 'event', 'schedule', 'calendar', 'reminder', 'capacity', 'invite', 'notification' but found no implementation for this feature.</t>
        </is>
      </c>
      <c r="BG502" s="29" t="inlineStr">
        <is>
          <t>Source code implementation</t>
        </is>
      </c>
      <c r="BH502" s="29" t="inlineStr"/>
      <c r="BI502" s="29" t="inlineStr"/>
      <c r="BJ502" s="29" t="inlineStr"/>
      <c r="BK502" s="29" t="inlineStr">
        <is>
          <t>Evidence reconciled against the reviewed source revision. No production approval is inferred from implementation or file presence.</t>
        </is>
      </c>
      <c r="BL502" s="29" t="inlineStr">
        <is>
          <t>2026-08-02</t>
        </is>
      </c>
    </row>
    <row r="503" ht="42" customHeight="1">
      <c r="A503" s="29" t="inlineStr">
        <is>
          <t>BLYP-25-005</t>
        </is>
      </c>
      <c r="B503" s="29" t="inlineStr"/>
      <c r="C503" s="29" t="inlineStr">
        <is>
          <t>Events, scheduling, and calendar</t>
        </is>
      </c>
      <c r="D503" s="29" t="n">
        <v>25</v>
      </c>
      <c r="E503" s="29" t="n">
        <v>5</v>
      </c>
      <c r="F503" s="29" t="inlineStr">
        <is>
          <t>Feature</t>
        </is>
      </c>
      <c r="G503" s="29" t="inlineStr">
        <is>
          <t>Scheduled Team events</t>
        </is>
      </c>
      <c r="H503" s="29" t="inlineStr">
        <is>
          <t>Scheduled Team events</t>
        </is>
      </c>
      <c r="I503" s="29" t="inlineStr">
        <is>
          <t>/home/ubuntu/blyp_product_requirements.md :: Section 25 — Events, scheduling, and calendar</t>
        </is>
      </c>
      <c r="J503" s="29" t="inlineStr">
        <is>
          <t>/home/ubuntu/BLYP_COMPLETE_FEATURE_LIST.md:637</t>
        </is>
      </c>
      <c r="K503" s="29" t="inlineStr">
        <is>
          <t>Required</t>
        </is>
      </c>
      <c r="L503" s="29" t="inlineStr">
        <is>
          <t>Applicable BLYP member</t>
        </is>
      </c>
      <c r="M503" s="29" t="inlineStr">
        <is>
          <t>Production platform, service and operator controls</t>
        </is>
      </c>
      <c r="N503" s="29" t="inlineStr">
        <is>
          <t>Scheduled Team events</t>
        </is>
      </c>
      <c r="O503" s="29" t="inlineStr">
        <is>
          <t>Not explicitly defined in the product source; requires accountable product approval before production sign-off.</t>
        </is>
      </c>
      <c r="P503" s="29" t="inlineStr"/>
      <c r="Q503" s="29" t="inlineStr">
        <is>
          <t>No evidence</t>
        </is>
      </c>
      <c r="R503" s="29" t="inlineStr"/>
      <c r="S503" s="29" t="inlineStr">
        <is>
          <t>Not found</t>
        </is>
      </c>
      <c r="T503" s="29" t="inlineStr">
        <is>
          <t>Not found</t>
        </is>
      </c>
      <c r="U503" s="29" t="inlineStr">
        <is>
          <t>Not found</t>
        </is>
      </c>
      <c r="V503" s="29" t="inlineStr">
        <is>
          <t>Not found</t>
        </is>
      </c>
      <c r="W503" s="29" t="inlineStr">
        <is>
          <t>Not found</t>
        </is>
      </c>
      <c r="X503" s="29" t="inlineStr">
        <is>
          <t>Not found</t>
        </is>
      </c>
      <c r="Y503" s="29" t="inlineStr">
        <is>
          <t>Not found</t>
        </is>
      </c>
      <c r="Z503" s="29" t="inlineStr">
        <is>
          <t>Not found</t>
        </is>
      </c>
      <c r="AA503" s="29" t="inlineStr">
        <is>
          <t>Not found</t>
        </is>
      </c>
      <c r="AB503" s="29" t="inlineStr">
        <is>
          <t>Not found</t>
        </is>
      </c>
      <c r="AC503" s="29" t="inlineStr"/>
      <c r="AD503" s="29" t="inlineStr">
        <is>
          <t>Not found</t>
        </is>
      </c>
      <c r="AE503" s="29" t="inlineStr">
        <is>
          <t>Unknown</t>
        </is>
      </c>
      <c r="AF503" s="29" t="inlineStr"/>
      <c r="AG503" s="29" t="inlineStr">
        <is>
          <t>Unknown</t>
        </is>
      </c>
      <c r="AH503" s="29" t="inlineStr">
        <is>
          <t>Unknown</t>
        </is>
      </c>
      <c r="AI503" s="29" t="inlineStr">
        <is>
          <t>Searched source code for 'event', 'schedule', 'calendar', 'reminder', 'capacity', 'invite', 'notification' but found no implementation for this feature.</t>
        </is>
      </c>
      <c r="AJ503" s="29" t="inlineStr">
        <is>
          <t>Not verified</t>
        </is>
      </c>
      <c r="AK503" s="29" t="inlineStr"/>
      <c r="AL503" s="29" t="inlineStr"/>
      <c r="AM503" s="29" t="inlineStr"/>
      <c r="AN503" s="29" t="inlineStr"/>
      <c r="AO503" s="29" t="inlineStr">
        <is>
          <t>8bc0dcb2a1da1b21368c5536aaeef829d587f316</t>
        </is>
      </c>
      <c r="AP503" s="29" t="inlineStr">
        <is>
          <t>Low</t>
        </is>
      </c>
      <c r="AQ503" s="29" t="inlineStr">
        <is>
          <t>Not assessed</t>
        </is>
      </c>
      <c r="AR503" s="29" t="inlineStr">
        <is>
          <t>Not assessed</t>
        </is>
      </c>
      <c r="AS503" s="29" t="inlineStr">
        <is>
          <t>Not assessed</t>
        </is>
      </c>
      <c r="AT503" s="29" t="inlineStr">
        <is>
          <t>Not assessed</t>
        </is>
      </c>
      <c r="AU503" s="29" t="inlineStr">
        <is>
          <t>Not assessed</t>
        </is>
      </c>
      <c r="AV503" s="29" t="inlineStr">
        <is>
          <t>Not assessed</t>
        </is>
      </c>
      <c r="AW503" s="29" t="inlineStr">
        <is>
          <t>Not assessed</t>
        </is>
      </c>
      <c r="AX503" s="29" t="inlineStr">
        <is>
          <t>Not assessed</t>
        </is>
      </c>
      <c r="AY503" s="29" t="inlineStr">
        <is>
          <t>Not assessed</t>
        </is>
      </c>
      <c r="AZ503" s="29" t="inlineStr">
        <is>
          <t>Not assessed</t>
        </is>
      </c>
      <c r="BA503" s="29" t="inlineStr">
        <is>
          <t>Not assessed</t>
        </is>
      </c>
      <c r="BB503" s="29" t="inlineStr">
        <is>
          <t>Not assessed</t>
        </is>
      </c>
      <c r="BC503" s="29" t="inlineStr">
        <is>
          <t>Not assessed</t>
        </is>
      </c>
      <c r="BD503" s="29" t="inlineStr">
        <is>
          <t>Not assessed</t>
        </is>
      </c>
      <c r="BE503" s="29" t="inlineStr">
        <is>
          <t>Development required</t>
        </is>
      </c>
      <c r="BF503" s="29" t="inlineStr">
        <is>
          <t>Physical implementation is not complete against the stated requirement.; Searched source code for 'event', 'schedule', 'calendar', 'reminder', 'capacity', 'invite', 'notification' but found no implementation for this feature.</t>
        </is>
      </c>
      <c r="BG503" s="29" t="inlineStr">
        <is>
          <t>Source code implementation</t>
        </is>
      </c>
      <c r="BH503" s="29" t="inlineStr"/>
      <c r="BI503" s="29" t="inlineStr"/>
      <c r="BJ503" s="29" t="inlineStr"/>
      <c r="BK503" s="29" t="inlineStr">
        <is>
          <t>Evidence reconciled against the reviewed source revision. No production approval is inferred from implementation or file presence.</t>
        </is>
      </c>
      <c r="BL503" s="29" t="inlineStr">
        <is>
          <t>2026-08-02</t>
        </is>
      </c>
    </row>
    <row r="504" ht="42" customHeight="1">
      <c r="A504" s="29" t="inlineStr">
        <is>
          <t>BLYP-25-006</t>
        </is>
      </c>
      <c r="B504" s="29" t="inlineStr"/>
      <c r="C504" s="29" t="inlineStr">
        <is>
          <t>Events, scheduling, and calendar</t>
        </is>
      </c>
      <c r="D504" s="29" t="n">
        <v>25</v>
      </c>
      <c r="E504" s="29" t="n">
        <v>6</v>
      </c>
      <c r="F504" s="29" t="inlineStr">
        <is>
          <t>Feature</t>
        </is>
      </c>
      <c r="G504" s="29" t="inlineStr">
        <is>
          <t>Scheduled topic-room discussions</t>
        </is>
      </c>
      <c r="H504" s="29" t="inlineStr">
        <is>
          <t>Scheduled topic-room discussions</t>
        </is>
      </c>
      <c r="I504" s="29" t="inlineStr">
        <is>
          <t>/home/ubuntu/blyp_product_requirements.md :: Section 25 — Events, scheduling, and calendar</t>
        </is>
      </c>
      <c r="J504" s="29" t="inlineStr">
        <is>
          <t>/home/ubuntu/BLYP_COMPLETE_FEATURE_LIST.md:638</t>
        </is>
      </c>
      <c r="K504" s="29" t="inlineStr">
        <is>
          <t>Required</t>
        </is>
      </c>
      <c r="L504" s="29" t="inlineStr">
        <is>
          <t>Applicable BLYP member</t>
        </is>
      </c>
      <c r="M504" s="29" t="inlineStr">
        <is>
          <t>Production platform, service and operator controls</t>
        </is>
      </c>
      <c r="N504" s="29" t="inlineStr">
        <is>
          <t>Scheduled topic-room discussions</t>
        </is>
      </c>
      <c r="O504" s="29" t="inlineStr">
        <is>
          <t>Not explicitly defined in the product source; requires accountable product approval before production sign-off.</t>
        </is>
      </c>
      <c r="P504" s="29" t="inlineStr"/>
      <c r="Q504" s="29" t="inlineStr">
        <is>
          <t>No evidence</t>
        </is>
      </c>
      <c r="R504" s="29" t="inlineStr"/>
      <c r="S504" s="29" t="inlineStr">
        <is>
          <t>Not found</t>
        </is>
      </c>
      <c r="T504" s="29" t="inlineStr">
        <is>
          <t>Not found</t>
        </is>
      </c>
      <c r="U504" s="29" t="inlineStr">
        <is>
          <t>Not found</t>
        </is>
      </c>
      <c r="V504" s="29" t="inlineStr">
        <is>
          <t>Not found</t>
        </is>
      </c>
      <c r="W504" s="29" t="inlineStr">
        <is>
          <t>Not found</t>
        </is>
      </c>
      <c r="X504" s="29" t="inlineStr">
        <is>
          <t>Not found</t>
        </is>
      </c>
      <c r="Y504" s="29" t="inlineStr">
        <is>
          <t>Not found</t>
        </is>
      </c>
      <c r="Z504" s="29" t="inlineStr">
        <is>
          <t>Not found</t>
        </is>
      </c>
      <c r="AA504" s="29" t="inlineStr">
        <is>
          <t>Not found</t>
        </is>
      </c>
      <c r="AB504" s="29" t="inlineStr">
        <is>
          <t>Not found</t>
        </is>
      </c>
      <c r="AC504" s="29" t="inlineStr"/>
      <c r="AD504" s="29" t="inlineStr">
        <is>
          <t>Not found</t>
        </is>
      </c>
      <c r="AE504" s="29" t="inlineStr">
        <is>
          <t>Unknown</t>
        </is>
      </c>
      <c r="AF504" s="29" t="inlineStr"/>
      <c r="AG504" s="29" t="inlineStr">
        <is>
          <t>Unknown</t>
        </is>
      </c>
      <c r="AH504" s="29" t="inlineStr">
        <is>
          <t>Unknown</t>
        </is>
      </c>
      <c r="AI504" s="29" t="inlineStr">
        <is>
          <t>Searched source code for 'event', 'schedule', 'calendar', 'reminder', 'capacity', 'invite', 'notification' but found no implementation for this feature.</t>
        </is>
      </c>
      <c r="AJ504" s="29" t="inlineStr">
        <is>
          <t>Not verified</t>
        </is>
      </c>
      <c r="AK504" s="29" t="inlineStr"/>
      <c r="AL504" s="29" t="inlineStr"/>
      <c r="AM504" s="29" t="inlineStr"/>
      <c r="AN504" s="29" t="inlineStr"/>
      <c r="AO504" s="29" t="inlineStr">
        <is>
          <t>8bc0dcb2a1da1b21368c5536aaeef829d587f316</t>
        </is>
      </c>
      <c r="AP504" s="29" t="inlineStr">
        <is>
          <t>Low</t>
        </is>
      </c>
      <c r="AQ504" s="29" t="inlineStr">
        <is>
          <t>Not assessed</t>
        </is>
      </c>
      <c r="AR504" s="29" t="inlineStr">
        <is>
          <t>Not assessed</t>
        </is>
      </c>
      <c r="AS504" s="29" t="inlineStr">
        <is>
          <t>Not assessed</t>
        </is>
      </c>
      <c r="AT504" s="29" t="inlineStr">
        <is>
          <t>Not assessed</t>
        </is>
      </c>
      <c r="AU504" s="29" t="inlineStr">
        <is>
          <t>Not assessed</t>
        </is>
      </c>
      <c r="AV504" s="29" t="inlineStr">
        <is>
          <t>Not assessed</t>
        </is>
      </c>
      <c r="AW504" s="29" t="inlineStr">
        <is>
          <t>Not assessed</t>
        </is>
      </c>
      <c r="AX504" s="29" t="inlineStr">
        <is>
          <t>Not assessed</t>
        </is>
      </c>
      <c r="AY504" s="29" t="inlineStr">
        <is>
          <t>Not assessed</t>
        </is>
      </c>
      <c r="AZ504" s="29" t="inlineStr">
        <is>
          <t>Not assessed</t>
        </is>
      </c>
      <c r="BA504" s="29" t="inlineStr">
        <is>
          <t>Not assessed</t>
        </is>
      </c>
      <c r="BB504" s="29" t="inlineStr">
        <is>
          <t>Not assessed</t>
        </is>
      </c>
      <c r="BC504" s="29" t="inlineStr">
        <is>
          <t>Not assessed</t>
        </is>
      </c>
      <c r="BD504" s="29" t="inlineStr">
        <is>
          <t>Not assessed</t>
        </is>
      </c>
      <c r="BE504" s="29" t="inlineStr">
        <is>
          <t>Development required</t>
        </is>
      </c>
      <c r="BF504" s="29" t="inlineStr">
        <is>
          <t>Physical implementation is not complete against the stated requirement.; Searched source code for 'event', 'schedule', 'calendar', 'reminder', 'capacity', 'invite', 'notification' but found no implementation for this feature.</t>
        </is>
      </c>
      <c r="BG504" s="29" t="inlineStr">
        <is>
          <t>Source code implementation</t>
        </is>
      </c>
      <c r="BH504" s="29" t="inlineStr"/>
      <c r="BI504" s="29" t="inlineStr"/>
      <c r="BJ504" s="29" t="inlineStr"/>
      <c r="BK504" s="29" t="inlineStr">
        <is>
          <t>Evidence reconciled against the reviewed source revision. No production approval is inferred from implementation or file presence.</t>
        </is>
      </c>
      <c r="BL504" s="29" t="inlineStr">
        <is>
          <t>2026-08-02</t>
        </is>
      </c>
    </row>
    <row r="505" ht="42" customHeight="1">
      <c r="A505" s="29" t="inlineStr">
        <is>
          <t>BLYP-25-007</t>
        </is>
      </c>
      <c r="B505" s="29" t="inlineStr"/>
      <c r="C505" s="29" t="inlineStr">
        <is>
          <t>Events, scheduling, and calendar</t>
        </is>
      </c>
      <c r="D505" s="29" t="n">
        <v>25</v>
      </c>
      <c r="E505" s="29" t="n">
        <v>7</v>
      </c>
      <c r="F505" s="29" t="inlineStr">
        <is>
          <t>Feature</t>
        </is>
      </c>
      <c r="G505" s="29" t="inlineStr">
        <is>
          <t>Scheduled Dating events</t>
        </is>
      </c>
      <c r="H505" s="29" t="inlineStr">
        <is>
          <t>Scheduled Dating events</t>
        </is>
      </c>
      <c r="I505" s="29" t="inlineStr">
        <is>
          <t>/home/ubuntu/blyp_product_requirements.md :: Section 25 — Events, scheduling, and calendar</t>
        </is>
      </c>
      <c r="J505" s="29" t="inlineStr">
        <is>
          <t>/home/ubuntu/BLYP_COMPLETE_FEATURE_LIST.md:639</t>
        </is>
      </c>
      <c r="K505" s="29" t="inlineStr">
        <is>
          <t>Required</t>
        </is>
      </c>
      <c r="L505" s="29" t="inlineStr">
        <is>
          <t>Applicable BLYP member</t>
        </is>
      </c>
      <c r="M505" s="29" t="inlineStr">
        <is>
          <t>Production platform, service and operator controls</t>
        </is>
      </c>
      <c r="N505" s="29" t="inlineStr">
        <is>
          <t>Scheduled Dating events</t>
        </is>
      </c>
      <c r="O505" s="29" t="inlineStr">
        <is>
          <t>Not explicitly defined in the product source; requires accountable product approval before production sign-off.</t>
        </is>
      </c>
      <c r="P505" s="29" t="inlineStr"/>
      <c r="Q505" s="29" t="inlineStr">
        <is>
          <t>No evidence</t>
        </is>
      </c>
      <c r="R505" s="29" t="inlineStr"/>
      <c r="S505" s="29" t="inlineStr">
        <is>
          <t>Not found</t>
        </is>
      </c>
      <c r="T505" s="29" t="inlineStr">
        <is>
          <t>Not found</t>
        </is>
      </c>
      <c r="U505" s="29" t="inlineStr">
        <is>
          <t>Not found</t>
        </is>
      </c>
      <c r="V505" s="29" t="inlineStr">
        <is>
          <t>Not found</t>
        </is>
      </c>
      <c r="W505" s="29" t="inlineStr">
        <is>
          <t>Not found</t>
        </is>
      </c>
      <c r="X505" s="29" t="inlineStr">
        <is>
          <t>Not found</t>
        </is>
      </c>
      <c r="Y505" s="29" t="inlineStr">
        <is>
          <t>Not found</t>
        </is>
      </c>
      <c r="Z505" s="29" t="inlineStr">
        <is>
          <t>Not found</t>
        </is>
      </c>
      <c r="AA505" s="29" t="inlineStr">
        <is>
          <t>Not found</t>
        </is>
      </c>
      <c r="AB505" s="29" t="inlineStr">
        <is>
          <t>Not found</t>
        </is>
      </c>
      <c r="AC505" s="29" t="inlineStr"/>
      <c r="AD505" s="29" t="inlineStr">
        <is>
          <t>Not found</t>
        </is>
      </c>
      <c r="AE505" s="29" t="inlineStr">
        <is>
          <t>Unknown</t>
        </is>
      </c>
      <c r="AF505" s="29" t="inlineStr"/>
      <c r="AG505" s="29" t="inlineStr">
        <is>
          <t>Unknown</t>
        </is>
      </c>
      <c r="AH505" s="29" t="inlineStr">
        <is>
          <t>Unknown</t>
        </is>
      </c>
      <c r="AI505" s="29" t="inlineStr">
        <is>
          <t>Searched source code for 'event', 'schedule', 'calendar', 'reminder', 'capacity', 'invite', 'notification' but found no implementation for this feature.</t>
        </is>
      </c>
      <c r="AJ505" s="29" t="inlineStr">
        <is>
          <t>Not verified</t>
        </is>
      </c>
      <c r="AK505" s="29" t="inlineStr"/>
      <c r="AL505" s="29" t="inlineStr"/>
      <c r="AM505" s="29" t="inlineStr"/>
      <c r="AN505" s="29" t="inlineStr"/>
      <c r="AO505" s="29" t="inlineStr">
        <is>
          <t>8bc0dcb2a1da1b21368c5536aaeef829d587f316</t>
        </is>
      </c>
      <c r="AP505" s="29" t="inlineStr">
        <is>
          <t>Low</t>
        </is>
      </c>
      <c r="AQ505" s="29" t="inlineStr">
        <is>
          <t>Not assessed</t>
        </is>
      </c>
      <c r="AR505" s="29" t="inlineStr">
        <is>
          <t>Not assessed</t>
        </is>
      </c>
      <c r="AS505" s="29" t="inlineStr">
        <is>
          <t>Not assessed</t>
        </is>
      </c>
      <c r="AT505" s="29" t="inlineStr">
        <is>
          <t>Not assessed</t>
        </is>
      </c>
      <c r="AU505" s="29" t="inlineStr">
        <is>
          <t>Not assessed</t>
        </is>
      </c>
      <c r="AV505" s="29" t="inlineStr">
        <is>
          <t>Not assessed</t>
        </is>
      </c>
      <c r="AW505" s="29" t="inlineStr">
        <is>
          <t>Not assessed</t>
        </is>
      </c>
      <c r="AX505" s="29" t="inlineStr">
        <is>
          <t>Not assessed</t>
        </is>
      </c>
      <c r="AY505" s="29" t="inlineStr">
        <is>
          <t>Not assessed</t>
        </is>
      </c>
      <c r="AZ505" s="29" t="inlineStr">
        <is>
          <t>Not assessed</t>
        </is>
      </c>
      <c r="BA505" s="29" t="inlineStr">
        <is>
          <t>Not assessed</t>
        </is>
      </c>
      <c r="BB505" s="29" t="inlineStr">
        <is>
          <t>Not assessed</t>
        </is>
      </c>
      <c r="BC505" s="29" t="inlineStr">
        <is>
          <t>Not assessed</t>
        </is>
      </c>
      <c r="BD505" s="29" t="inlineStr">
        <is>
          <t>Not assessed</t>
        </is>
      </c>
      <c r="BE505" s="29" t="inlineStr">
        <is>
          <t>Development required</t>
        </is>
      </c>
      <c r="BF505" s="29" t="inlineStr">
        <is>
          <t>Physical implementation is not complete against the stated requirement.; Searched source code for 'event', 'schedule', 'calendar', 'reminder', 'capacity', 'invite', 'notification' but found no implementation for this feature.</t>
        </is>
      </c>
      <c r="BG505" s="29" t="inlineStr">
        <is>
          <t>Source code implementation</t>
        </is>
      </c>
      <c r="BH505" s="29" t="inlineStr"/>
      <c r="BI505" s="29" t="inlineStr"/>
      <c r="BJ505" s="29" t="inlineStr"/>
      <c r="BK505" s="29" t="inlineStr">
        <is>
          <t>Evidence reconciled against the reviewed source revision. No production approval is inferred from implementation or file presence.</t>
        </is>
      </c>
      <c r="BL505" s="29" t="inlineStr">
        <is>
          <t>2026-08-02</t>
        </is>
      </c>
    </row>
    <row r="506" ht="42" customHeight="1">
      <c r="A506" s="29" t="inlineStr">
        <is>
          <t>BLYP-25-008</t>
        </is>
      </c>
      <c r="B506" s="29" t="inlineStr"/>
      <c r="C506" s="29" t="inlineStr">
        <is>
          <t>Events, scheduling, and calendar</t>
        </is>
      </c>
      <c r="D506" s="29" t="n">
        <v>25</v>
      </c>
      <c r="E506" s="29" t="n">
        <v>8</v>
      </c>
      <c r="F506" s="29" t="inlineStr">
        <is>
          <t>Feature</t>
        </is>
      </c>
      <c r="G506" s="29" t="inlineStr">
        <is>
          <t>Scheduled creator releases</t>
        </is>
      </c>
      <c r="H506" s="29" t="inlineStr">
        <is>
          <t>Scheduled creator releases</t>
        </is>
      </c>
      <c r="I506" s="29" t="inlineStr">
        <is>
          <t>/home/ubuntu/blyp_product_requirements.md :: Section 25 — Events, scheduling, and calendar</t>
        </is>
      </c>
      <c r="J506" s="29" t="inlineStr">
        <is>
          <t>/home/ubuntu/BLYP_COMPLETE_FEATURE_LIST.md:640</t>
        </is>
      </c>
      <c r="K506" s="29" t="inlineStr">
        <is>
          <t>Required</t>
        </is>
      </c>
      <c r="L506" s="29" t="inlineStr">
        <is>
          <t>Authenticated creator or host</t>
        </is>
      </c>
      <c r="M506" s="29" t="inlineStr">
        <is>
          <t>Production platform, service and operator controls</t>
        </is>
      </c>
      <c r="N506" s="29" t="inlineStr">
        <is>
          <t>Scheduled creator releases</t>
        </is>
      </c>
      <c r="O506" s="29" t="inlineStr">
        <is>
          <t>Not explicitly defined in the product source; requires accountable product approval before production sign-off.</t>
        </is>
      </c>
      <c r="P506" s="29" t="inlineStr"/>
      <c r="Q506" s="29" t="inlineStr">
        <is>
          <t>No evidence</t>
        </is>
      </c>
      <c r="R506" s="29" t="inlineStr"/>
      <c r="S506" s="29" t="inlineStr">
        <is>
          <t>Not found</t>
        </is>
      </c>
      <c r="T506" s="29" t="inlineStr">
        <is>
          <t>Not found</t>
        </is>
      </c>
      <c r="U506" s="29" t="inlineStr">
        <is>
          <t>Not found</t>
        </is>
      </c>
      <c r="V506" s="29" t="inlineStr">
        <is>
          <t>Not found</t>
        </is>
      </c>
      <c r="W506" s="29" t="inlineStr">
        <is>
          <t>Not found</t>
        </is>
      </c>
      <c r="X506" s="29" t="inlineStr">
        <is>
          <t>Not found</t>
        </is>
      </c>
      <c r="Y506" s="29" t="inlineStr">
        <is>
          <t>Not found</t>
        </is>
      </c>
      <c r="Z506" s="29" t="inlineStr">
        <is>
          <t>Not found</t>
        </is>
      </c>
      <c r="AA506" s="29" t="inlineStr">
        <is>
          <t>Not found</t>
        </is>
      </c>
      <c r="AB506" s="29" t="inlineStr">
        <is>
          <t>Not found</t>
        </is>
      </c>
      <c r="AC506" s="29" t="inlineStr"/>
      <c r="AD506" s="29" t="inlineStr">
        <is>
          <t>Not found</t>
        </is>
      </c>
      <c r="AE506" s="29" t="inlineStr">
        <is>
          <t>Unknown</t>
        </is>
      </c>
      <c r="AF506" s="29" t="inlineStr"/>
      <c r="AG506" s="29" t="inlineStr">
        <is>
          <t>Unknown</t>
        </is>
      </c>
      <c r="AH506" s="29" t="inlineStr">
        <is>
          <t>Unknown</t>
        </is>
      </c>
      <c r="AI506" s="29" t="inlineStr">
        <is>
          <t>Searched source code for 'event', 'schedule', 'calendar', 'reminder', 'capacity', 'invite', 'notification' but found no implementation for this feature.</t>
        </is>
      </c>
      <c r="AJ506" s="29" t="inlineStr">
        <is>
          <t>Not verified</t>
        </is>
      </c>
      <c r="AK506" s="29" t="inlineStr"/>
      <c r="AL506" s="29" t="inlineStr"/>
      <c r="AM506" s="29" t="inlineStr"/>
      <c r="AN506" s="29" t="inlineStr"/>
      <c r="AO506" s="29" t="inlineStr">
        <is>
          <t>8bc0dcb2a1da1b21368c5536aaeef829d587f316</t>
        </is>
      </c>
      <c r="AP506" s="29" t="inlineStr">
        <is>
          <t>Low</t>
        </is>
      </c>
      <c r="AQ506" s="29" t="inlineStr">
        <is>
          <t>Not assessed</t>
        </is>
      </c>
      <c r="AR506" s="29" t="inlineStr">
        <is>
          <t>Not assessed</t>
        </is>
      </c>
      <c r="AS506" s="29" t="inlineStr">
        <is>
          <t>Not assessed</t>
        </is>
      </c>
      <c r="AT506" s="29" t="inlineStr">
        <is>
          <t>Not assessed</t>
        </is>
      </c>
      <c r="AU506" s="29" t="inlineStr">
        <is>
          <t>Not assessed</t>
        </is>
      </c>
      <c r="AV506" s="29" t="inlineStr">
        <is>
          <t>Not assessed</t>
        </is>
      </c>
      <c r="AW506" s="29" t="inlineStr">
        <is>
          <t>Not assessed</t>
        </is>
      </c>
      <c r="AX506" s="29" t="inlineStr">
        <is>
          <t>Not assessed</t>
        </is>
      </c>
      <c r="AY506" s="29" t="inlineStr">
        <is>
          <t>Not assessed</t>
        </is>
      </c>
      <c r="AZ506" s="29" t="inlineStr">
        <is>
          <t>Not assessed</t>
        </is>
      </c>
      <c r="BA506" s="29" t="inlineStr">
        <is>
          <t>Not assessed</t>
        </is>
      </c>
      <c r="BB506" s="29" t="inlineStr">
        <is>
          <t>Not assessed</t>
        </is>
      </c>
      <c r="BC506" s="29" t="inlineStr">
        <is>
          <t>Not assessed</t>
        </is>
      </c>
      <c r="BD506" s="29" t="inlineStr">
        <is>
          <t>Not assessed</t>
        </is>
      </c>
      <c r="BE506" s="29" t="inlineStr">
        <is>
          <t>Development required</t>
        </is>
      </c>
      <c r="BF506" s="29" t="inlineStr">
        <is>
          <t>Physical implementation is not complete against the stated requirement.; Searched source code for 'event', 'schedule', 'calendar', 'reminder', 'capacity', 'invite', 'notification' but found no implementation for this feature.</t>
        </is>
      </c>
      <c r="BG506" s="29" t="inlineStr">
        <is>
          <t>Source code implementation</t>
        </is>
      </c>
      <c r="BH506" s="29" t="inlineStr"/>
      <c r="BI506" s="29" t="inlineStr"/>
      <c r="BJ506" s="29" t="inlineStr"/>
      <c r="BK506" s="29" t="inlineStr">
        <is>
          <t>Evidence reconciled against the reviewed source revision. No production approval is inferred from implementation or file presence.</t>
        </is>
      </c>
      <c r="BL506" s="29" t="inlineStr">
        <is>
          <t>2026-08-02</t>
        </is>
      </c>
    </row>
    <row r="507" ht="42" customHeight="1">
      <c r="A507" s="29" t="inlineStr">
        <is>
          <t>BLYP-25-009</t>
        </is>
      </c>
      <c r="B507" s="29" t="inlineStr"/>
      <c r="C507" s="29" t="inlineStr">
        <is>
          <t>Events, scheduling, and calendar</t>
        </is>
      </c>
      <c r="D507" s="29" t="n">
        <v>25</v>
      </c>
      <c r="E507" s="29" t="n">
        <v>9</v>
      </c>
      <c r="F507" s="29" t="inlineStr">
        <is>
          <t>Feature</t>
        </is>
      </c>
      <c r="G507" s="29" t="inlineStr">
        <is>
          <t>Event discovery</t>
        </is>
      </c>
      <c r="H507" s="29" t="inlineStr">
        <is>
          <t>Event discovery</t>
        </is>
      </c>
      <c r="I507" s="29" t="inlineStr">
        <is>
          <t>/home/ubuntu/blyp_product_requirements.md :: Section 25 — Events, scheduling, and calendar</t>
        </is>
      </c>
      <c r="J507" s="29" t="inlineStr">
        <is>
          <t>/home/ubuntu/BLYP_COMPLETE_FEATURE_LIST.md:641</t>
        </is>
      </c>
      <c r="K507" s="29" t="inlineStr">
        <is>
          <t>Required</t>
        </is>
      </c>
      <c r="L507" s="29" t="inlineStr">
        <is>
          <t>Applicable BLYP member</t>
        </is>
      </c>
      <c r="M507" s="29" t="inlineStr">
        <is>
          <t>Production platform, service and operator controls</t>
        </is>
      </c>
      <c r="N507" s="29" t="inlineStr">
        <is>
          <t>Event discovery</t>
        </is>
      </c>
      <c r="O507" s="29" t="inlineStr">
        <is>
          <t>Not explicitly defined in the product source; requires accountable product approval before production sign-off.</t>
        </is>
      </c>
      <c r="P507" s="29" t="inlineStr"/>
      <c r="Q507" s="29" t="inlineStr">
        <is>
          <t>Partial</t>
        </is>
      </c>
      <c r="R507" s="29" t="inlineStr"/>
      <c r="S507" s="29" t="inlineStr">
        <is>
          <t>Not found</t>
        </is>
      </c>
      <c r="T507" s="29" t="inlineStr">
        <is>
          <t>Not found</t>
        </is>
      </c>
      <c r="U507" s="29" t="inlineStr">
        <is>
          <t>Not found</t>
        </is>
      </c>
      <c r="V507" s="29" t="inlineStr">
        <is>
          <t>Not found</t>
        </is>
      </c>
      <c r="W507" s="29" t="inlineStr">
        <is>
          <t>Not found</t>
        </is>
      </c>
      <c r="X507" s="29" t="inlineStr">
        <is>
          <t>Not found</t>
        </is>
      </c>
      <c r="Y507" s="29" t="inlineStr">
        <is>
          <t>Not found</t>
        </is>
      </c>
      <c r="Z507" s="29" t="inlineStr">
        <is>
          <t>Not found</t>
        </is>
      </c>
      <c r="AA507" s="29" t="inlineStr">
        <is>
          <t>Not found</t>
        </is>
      </c>
      <c r="AB507" s="29" t="inlineStr">
        <is>
          <t>Not found</t>
        </is>
      </c>
      <c r="AC507" s="29" t="inlineStr"/>
      <c r="AD507" s="29" t="inlineStr">
        <is>
          <t>Not found</t>
        </is>
      </c>
      <c r="AE507" s="29" t="inlineStr">
        <is>
          <t>Unknown</t>
        </is>
      </c>
      <c r="AF507" s="29" t="inlineStr"/>
      <c r="AG507" s="29" t="inlineStr">
        <is>
          <t>Unknown</t>
        </is>
      </c>
      <c r="AH507" s="29" t="inlineStr">
        <is>
          <t>Unknown</t>
        </is>
      </c>
      <c r="AI507" s="29" t="inlineStr">
        <is>
          <t>Searched source code for 'event', 'schedule', 'calendar', 'reminder', 'capacity', 'invite', 'notification' but found no implementation for this feature.</t>
        </is>
      </c>
      <c r="AJ507" s="29" t="inlineStr">
        <is>
          <t>Not verified</t>
        </is>
      </c>
      <c r="AK507" s="29" t="inlineStr"/>
      <c r="AL507" s="29" t="inlineStr"/>
      <c r="AM507" s="29" t="inlineStr"/>
      <c r="AN507" s="29" t="inlineStr"/>
      <c r="AO507" s="29" t="inlineStr">
        <is>
          <t>8bc0dcb2a1da1b21368c5536aaeef829d587f316</t>
        </is>
      </c>
      <c r="AP507" s="29" t="inlineStr">
        <is>
          <t>Low</t>
        </is>
      </c>
      <c r="AQ507" s="29" t="inlineStr">
        <is>
          <t>Not assessed</t>
        </is>
      </c>
      <c r="AR507" s="29" t="inlineStr">
        <is>
          <t>Not assessed</t>
        </is>
      </c>
      <c r="AS507" s="29" t="inlineStr">
        <is>
          <t>Not assessed</t>
        </is>
      </c>
      <c r="AT507" s="29" t="inlineStr">
        <is>
          <t>Not assessed</t>
        </is>
      </c>
      <c r="AU507" s="29" t="inlineStr">
        <is>
          <t>Not assessed</t>
        </is>
      </c>
      <c r="AV507" s="29" t="inlineStr">
        <is>
          <t>Not assessed</t>
        </is>
      </c>
      <c r="AW507" s="29" t="inlineStr">
        <is>
          <t>Not assessed</t>
        </is>
      </c>
      <c r="AX507" s="29" t="inlineStr">
        <is>
          <t>Not assessed</t>
        </is>
      </c>
      <c r="AY507" s="29" t="inlineStr">
        <is>
          <t>Not assessed</t>
        </is>
      </c>
      <c r="AZ507" s="29" t="inlineStr">
        <is>
          <t>Not assessed</t>
        </is>
      </c>
      <c r="BA507" s="29" t="inlineStr">
        <is>
          <t>Not assessed</t>
        </is>
      </c>
      <c r="BB507" s="29" t="inlineStr">
        <is>
          <t>Not assessed</t>
        </is>
      </c>
      <c r="BC507" s="29" t="inlineStr">
        <is>
          <t>Not assessed</t>
        </is>
      </c>
      <c r="BD507" s="29" t="inlineStr">
        <is>
          <t>Not assessed</t>
        </is>
      </c>
      <c r="BE507" s="29" t="inlineStr">
        <is>
          <t>Development required</t>
        </is>
      </c>
      <c r="BF507" s="29" t="inlineStr">
        <is>
          <t>Physical implementation is not complete against the stated requirement.; Searched source code for 'event', 'schedule', 'calendar', 'reminder', 'capacity', 'invite', 'notification' but found no implementation for this feature.</t>
        </is>
      </c>
      <c r="BG507" s="29" t="inlineStr">
        <is>
          <t>Source code implementation</t>
        </is>
      </c>
      <c r="BH507" s="29" t="inlineStr"/>
      <c r="BI507" s="29" t="inlineStr"/>
      <c r="BJ507" s="29" t="inlineStr"/>
      <c r="BK507" s="29" t="inlineStr">
        <is>
          <t>Evidence reconciled against the reviewed source revision. No production approval is inferred from implementation or file presence.</t>
        </is>
      </c>
      <c r="BL507" s="29" t="inlineStr">
        <is>
          <t>2026-08-02</t>
        </is>
      </c>
    </row>
    <row r="508" ht="42" customHeight="1">
      <c r="A508" s="29" t="inlineStr">
        <is>
          <t>BLYP-25-010</t>
        </is>
      </c>
      <c r="B508" s="29" t="inlineStr"/>
      <c r="C508" s="29" t="inlineStr">
        <is>
          <t>Events, scheduling, and calendar</t>
        </is>
      </c>
      <c r="D508" s="29" t="n">
        <v>25</v>
      </c>
      <c r="E508" s="29" t="n">
        <v>10</v>
      </c>
      <c r="F508" s="29" t="inlineStr">
        <is>
          <t>Feature</t>
        </is>
      </c>
      <c r="G508" s="29" t="inlineStr">
        <is>
          <t>RSVP</t>
        </is>
      </c>
      <c r="H508" s="29" t="inlineStr">
        <is>
          <t>RSVP</t>
        </is>
      </c>
      <c r="I508" s="29" t="inlineStr">
        <is>
          <t>/home/ubuntu/blyp_product_requirements.md :: Section 25 — Events, scheduling, and calendar</t>
        </is>
      </c>
      <c r="J508" s="29" t="inlineStr">
        <is>
          <t>/home/ubuntu/BLYP_COMPLETE_FEATURE_LIST.md:642</t>
        </is>
      </c>
      <c r="K508" s="29" t="inlineStr">
        <is>
          <t>Required</t>
        </is>
      </c>
      <c r="L508" s="29" t="inlineStr">
        <is>
          <t>Applicable BLYP member</t>
        </is>
      </c>
      <c r="M508" s="29" t="inlineStr">
        <is>
          <t>Production platform, service and operator controls</t>
        </is>
      </c>
      <c r="N508" s="29" t="inlineStr">
        <is>
          <t>RSVP</t>
        </is>
      </c>
      <c r="O508" s="29" t="inlineStr">
        <is>
          <t>Not explicitly defined in the product source; requires accountable product approval before production sign-off.</t>
        </is>
      </c>
      <c r="P508" s="29" t="inlineStr"/>
      <c r="Q508" s="29" t="inlineStr">
        <is>
          <t>No evidence</t>
        </is>
      </c>
      <c r="R508" s="29" t="inlineStr"/>
      <c r="S508" s="29" t="inlineStr">
        <is>
          <t>Not found</t>
        </is>
      </c>
      <c r="T508" s="29" t="inlineStr">
        <is>
          <t>Not found</t>
        </is>
      </c>
      <c r="U508" s="29" t="inlineStr">
        <is>
          <t>Not found</t>
        </is>
      </c>
      <c r="V508" s="29" t="inlineStr">
        <is>
          <t>Not found</t>
        </is>
      </c>
      <c r="W508" s="29" t="inlineStr">
        <is>
          <t>Not found</t>
        </is>
      </c>
      <c r="X508" s="29" t="inlineStr">
        <is>
          <t>Not found</t>
        </is>
      </c>
      <c r="Y508" s="29" t="inlineStr">
        <is>
          <t>Not found</t>
        </is>
      </c>
      <c r="Z508" s="29" t="inlineStr">
        <is>
          <t>Not found</t>
        </is>
      </c>
      <c r="AA508" s="29" t="inlineStr">
        <is>
          <t>Not found</t>
        </is>
      </c>
      <c r="AB508" s="29" t="inlineStr">
        <is>
          <t>Not found</t>
        </is>
      </c>
      <c r="AC508" s="29" t="inlineStr"/>
      <c r="AD508" s="29" t="inlineStr">
        <is>
          <t>Not found</t>
        </is>
      </c>
      <c r="AE508" s="29" t="inlineStr">
        <is>
          <t>Unknown</t>
        </is>
      </c>
      <c r="AF508" s="29" t="inlineStr"/>
      <c r="AG508" s="29" t="inlineStr">
        <is>
          <t>Unknown</t>
        </is>
      </c>
      <c r="AH508" s="29" t="inlineStr">
        <is>
          <t>Unknown</t>
        </is>
      </c>
      <c r="AI508" s="29" t="inlineStr">
        <is>
          <t>Searched source code for 'event', 'schedule', 'calendar', 'reminder', 'capacity', 'invite', 'notification' but found no implementation for this feature.</t>
        </is>
      </c>
      <c r="AJ508" s="29" t="inlineStr">
        <is>
          <t>Not verified</t>
        </is>
      </c>
      <c r="AK508" s="29" t="inlineStr"/>
      <c r="AL508" s="29" t="inlineStr"/>
      <c r="AM508" s="29" t="inlineStr"/>
      <c r="AN508" s="29" t="inlineStr"/>
      <c r="AO508" s="29" t="inlineStr">
        <is>
          <t>8bc0dcb2a1da1b21368c5536aaeef829d587f316</t>
        </is>
      </c>
      <c r="AP508" s="29" t="inlineStr">
        <is>
          <t>Low</t>
        </is>
      </c>
      <c r="AQ508" s="29" t="inlineStr">
        <is>
          <t>Not assessed</t>
        </is>
      </c>
      <c r="AR508" s="29" t="inlineStr">
        <is>
          <t>Not assessed</t>
        </is>
      </c>
      <c r="AS508" s="29" t="inlineStr">
        <is>
          <t>Not assessed</t>
        </is>
      </c>
      <c r="AT508" s="29" t="inlineStr">
        <is>
          <t>Not assessed</t>
        </is>
      </c>
      <c r="AU508" s="29" t="inlineStr">
        <is>
          <t>Not assessed</t>
        </is>
      </c>
      <c r="AV508" s="29" t="inlineStr">
        <is>
          <t>Not assessed</t>
        </is>
      </c>
      <c r="AW508" s="29" t="inlineStr">
        <is>
          <t>Not assessed</t>
        </is>
      </c>
      <c r="AX508" s="29" t="inlineStr">
        <is>
          <t>Not assessed</t>
        </is>
      </c>
      <c r="AY508" s="29" t="inlineStr">
        <is>
          <t>Not assessed</t>
        </is>
      </c>
      <c r="AZ508" s="29" t="inlineStr">
        <is>
          <t>Not assessed</t>
        </is>
      </c>
      <c r="BA508" s="29" t="inlineStr">
        <is>
          <t>Not assessed</t>
        </is>
      </c>
      <c r="BB508" s="29" t="inlineStr">
        <is>
          <t>Not assessed</t>
        </is>
      </c>
      <c r="BC508" s="29" t="inlineStr">
        <is>
          <t>Not assessed</t>
        </is>
      </c>
      <c r="BD508" s="29" t="inlineStr">
        <is>
          <t>Not assessed</t>
        </is>
      </c>
      <c r="BE508" s="29" t="inlineStr">
        <is>
          <t>Development required</t>
        </is>
      </c>
      <c r="BF508" s="29" t="inlineStr">
        <is>
          <t>Physical implementation is not complete against the stated requirement.; Searched source code for 'event', 'schedule', 'calendar', 'reminder', 'capacity', 'invite', 'notification' but found no implementation for this feature.</t>
        </is>
      </c>
      <c r="BG508" s="29" t="inlineStr">
        <is>
          <t>Source code implementation</t>
        </is>
      </c>
      <c r="BH508" s="29" t="inlineStr"/>
      <c r="BI508" s="29" t="inlineStr"/>
      <c r="BJ508" s="29" t="inlineStr"/>
      <c r="BK508" s="29" t="inlineStr">
        <is>
          <t>Evidence reconciled against the reviewed source revision. No production approval is inferred from implementation or file presence.</t>
        </is>
      </c>
      <c r="BL508" s="29" t="inlineStr">
        <is>
          <t>2026-08-02</t>
        </is>
      </c>
    </row>
    <row r="509" ht="42" customHeight="1">
      <c r="A509" s="29" t="inlineStr">
        <is>
          <t>BLYP-25-011</t>
        </is>
      </c>
      <c r="B509" s="29" t="inlineStr"/>
      <c r="C509" s="29" t="inlineStr">
        <is>
          <t>Events, scheduling, and calendar</t>
        </is>
      </c>
      <c r="D509" s="29" t="n">
        <v>25</v>
      </c>
      <c r="E509" s="29" t="n">
        <v>11</v>
      </c>
      <c r="F509" s="29" t="inlineStr">
        <is>
          <t>Feature</t>
        </is>
      </c>
      <c r="G509" s="29" t="inlineStr">
        <is>
          <t>Local-time display</t>
        </is>
      </c>
      <c r="H509" s="29" t="inlineStr">
        <is>
          <t>Local-time display</t>
        </is>
      </c>
      <c r="I509" s="29" t="inlineStr">
        <is>
          <t>/home/ubuntu/blyp_product_requirements.md :: Section 25 — Events, scheduling, and calendar</t>
        </is>
      </c>
      <c r="J509" s="29" t="inlineStr">
        <is>
          <t>/home/ubuntu/BLYP_COMPLETE_FEATURE_LIST.md:643</t>
        </is>
      </c>
      <c r="K509" s="29" t="inlineStr">
        <is>
          <t>Required</t>
        </is>
      </c>
      <c r="L509" s="29" t="inlineStr">
        <is>
          <t>Applicable BLYP member</t>
        </is>
      </c>
      <c r="M509" s="29" t="inlineStr">
        <is>
          <t>Production platform, service and operator controls</t>
        </is>
      </c>
      <c r="N509" s="29" t="inlineStr">
        <is>
          <t>Local-time display</t>
        </is>
      </c>
      <c r="O509" s="29" t="inlineStr">
        <is>
          <t>Not explicitly defined in the product source; requires accountable product approval before production sign-off.</t>
        </is>
      </c>
      <c r="P509" s="29" t="inlineStr"/>
      <c r="Q509" s="29" t="inlineStr">
        <is>
          <t>No evidence</t>
        </is>
      </c>
      <c r="R509" s="29" t="inlineStr"/>
      <c r="S509" s="29" t="inlineStr">
        <is>
          <t>Not found</t>
        </is>
      </c>
      <c r="T509" s="29" t="inlineStr">
        <is>
          <t>Not found</t>
        </is>
      </c>
      <c r="U509" s="29" t="inlineStr">
        <is>
          <t>Not found</t>
        </is>
      </c>
      <c r="V509" s="29" t="inlineStr">
        <is>
          <t>Not found</t>
        </is>
      </c>
      <c r="W509" s="29" t="inlineStr">
        <is>
          <t>Not found</t>
        </is>
      </c>
      <c r="X509" s="29" t="inlineStr">
        <is>
          <t>Not found</t>
        </is>
      </c>
      <c r="Y509" s="29" t="inlineStr">
        <is>
          <t>Not found</t>
        </is>
      </c>
      <c r="Z509" s="29" t="inlineStr">
        <is>
          <t>Not found</t>
        </is>
      </c>
      <c r="AA509" s="29" t="inlineStr">
        <is>
          <t>Not found</t>
        </is>
      </c>
      <c r="AB509" s="29" t="inlineStr">
        <is>
          <t>Not found</t>
        </is>
      </c>
      <c r="AC509" s="29" t="inlineStr"/>
      <c r="AD509" s="29" t="inlineStr">
        <is>
          <t>Not found</t>
        </is>
      </c>
      <c r="AE509" s="29" t="inlineStr">
        <is>
          <t>Unknown</t>
        </is>
      </c>
      <c r="AF509" s="29" t="inlineStr"/>
      <c r="AG509" s="29" t="inlineStr">
        <is>
          <t>Unknown</t>
        </is>
      </c>
      <c r="AH509" s="29" t="inlineStr">
        <is>
          <t>Unknown</t>
        </is>
      </c>
      <c r="AI509" s="29" t="inlineStr">
        <is>
          <t>Searched source code for 'event', 'schedule', 'calendar', 'reminder', 'capacity', 'invite', 'notification' but found no implementation for this feature.</t>
        </is>
      </c>
      <c r="AJ509" s="29" t="inlineStr">
        <is>
          <t>Not verified</t>
        </is>
      </c>
      <c r="AK509" s="29" t="inlineStr"/>
      <c r="AL509" s="29" t="inlineStr"/>
      <c r="AM509" s="29" t="inlineStr"/>
      <c r="AN509" s="29" t="inlineStr"/>
      <c r="AO509" s="29" t="inlineStr">
        <is>
          <t>8bc0dcb2a1da1b21368c5536aaeef829d587f316</t>
        </is>
      </c>
      <c r="AP509" s="29" t="inlineStr">
        <is>
          <t>Low</t>
        </is>
      </c>
      <c r="AQ509" s="29" t="inlineStr">
        <is>
          <t>Not assessed</t>
        </is>
      </c>
      <c r="AR509" s="29" t="inlineStr">
        <is>
          <t>Not assessed</t>
        </is>
      </c>
      <c r="AS509" s="29" t="inlineStr">
        <is>
          <t>Not assessed</t>
        </is>
      </c>
      <c r="AT509" s="29" t="inlineStr">
        <is>
          <t>Not assessed</t>
        </is>
      </c>
      <c r="AU509" s="29" t="inlineStr">
        <is>
          <t>Not assessed</t>
        </is>
      </c>
      <c r="AV509" s="29" t="inlineStr">
        <is>
          <t>Not assessed</t>
        </is>
      </c>
      <c r="AW509" s="29" t="inlineStr">
        <is>
          <t>Not assessed</t>
        </is>
      </c>
      <c r="AX509" s="29" t="inlineStr">
        <is>
          <t>Not assessed</t>
        </is>
      </c>
      <c r="AY509" s="29" t="inlineStr">
        <is>
          <t>Not assessed</t>
        </is>
      </c>
      <c r="AZ509" s="29" t="inlineStr">
        <is>
          <t>Not assessed</t>
        </is>
      </c>
      <c r="BA509" s="29" t="inlineStr">
        <is>
          <t>Not assessed</t>
        </is>
      </c>
      <c r="BB509" s="29" t="inlineStr">
        <is>
          <t>Not assessed</t>
        </is>
      </c>
      <c r="BC509" s="29" t="inlineStr">
        <is>
          <t>Not assessed</t>
        </is>
      </c>
      <c r="BD509" s="29" t="inlineStr">
        <is>
          <t>Not assessed</t>
        </is>
      </c>
      <c r="BE509" s="29" t="inlineStr">
        <is>
          <t>Development required</t>
        </is>
      </c>
      <c r="BF509" s="29" t="inlineStr">
        <is>
          <t>Physical implementation is not complete against the stated requirement.; Searched source code for 'event', 'schedule', 'calendar', 'reminder', 'capacity', 'invite', 'notification' but found no implementation for this feature.</t>
        </is>
      </c>
      <c r="BG509" s="29" t="inlineStr">
        <is>
          <t>Source code implementation</t>
        </is>
      </c>
      <c r="BH509" s="29" t="inlineStr"/>
      <c r="BI509" s="29" t="inlineStr"/>
      <c r="BJ509" s="29" t="inlineStr"/>
      <c r="BK509" s="29" t="inlineStr">
        <is>
          <t>Evidence reconciled against the reviewed source revision. No production approval is inferred from implementation or file presence.</t>
        </is>
      </c>
      <c r="BL509" s="29" t="inlineStr">
        <is>
          <t>2026-08-02</t>
        </is>
      </c>
    </row>
    <row r="510" ht="42" customHeight="1">
      <c r="A510" s="29" t="inlineStr">
        <is>
          <t>BLYP-25-012</t>
        </is>
      </c>
      <c r="B510" s="29" t="inlineStr"/>
      <c r="C510" s="29" t="inlineStr">
        <is>
          <t>Events, scheduling, and calendar</t>
        </is>
      </c>
      <c r="D510" s="29" t="n">
        <v>25</v>
      </c>
      <c r="E510" s="29" t="n">
        <v>12</v>
      </c>
      <c r="F510" s="29" t="inlineStr">
        <is>
          <t>Feature</t>
        </is>
      </c>
      <c r="G510" s="29" t="inlineStr">
        <is>
          <t>Device-calendar export</t>
        </is>
      </c>
      <c r="H510" s="29" t="inlineStr">
        <is>
          <t>Device-calendar export</t>
        </is>
      </c>
      <c r="I510" s="29" t="inlineStr">
        <is>
          <t>/home/ubuntu/blyp_product_requirements.md :: Section 25 — Events, scheduling, and calendar</t>
        </is>
      </c>
      <c r="J510" s="29" t="inlineStr">
        <is>
          <t>/home/ubuntu/BLYP_COMPLETE_FEATURE_LIST.md:644</t>
        </is>
      </c>
      <c r="K510" s="29" t="inlineStr">
        <is>
          <t>Required</t>
        </is>
      </c>
      <c r="L510" s="29" t="inlineStr">
        <is>
          <t>Applicable BLYP member</t>
        </is>
      </c>
      <c r="M510" s="29" t="inlineStr">
        <is>
          <t>Production platform, service and operator controls</t>
        </is>
      </c>
      <c r="N510" s="29" t="inlineStr">
        <is>
          <t>Device-calendar export</t>
        </is>
      </c>
      <c r="O510" s="29" t="inlineStr">
        <is>
          <t>Not explicitly defined in the product source; requires accountable product approval before production sign-off.</t>
        </is>
      </c>
      <c r="P510" s="29" t="inlineStr"/>
      <c r="Q510" s="29" t="inlineStr">
        <is>
          <t>No evidence</t>
        </is>
      </c>
      <c r="R510" s="29" t="inlineStr"/>
      <c r="S510" s="29" t="inlineStr">
        <is>
          <t>Not found</t>
        </is>
      </c>
      <c r="T510" s="29" t="inlineStr">
        <is>
          <t>Not found</t>
        </is>
      </c>
      <c r="U510" s="29" t="inlineStr">
        <is>
          <t>Not found</t>
        </is>
      </c>
      <c r="V510" s="29" t="inlineStr">
        <is>
          <t>Not found</t>
        </is>
      </c>
      <c r="W510" s="29" t="inlineStr">
        <is>
          <t>Not found</t>
        </is>
      </c>
      <c r="X510" s="29" t="inlineStr">
        <is>
          <t>Not found</t>
        </is>
      </c>
      <c r="Y510" s="29" t="inlineStr">
        <is>
          <t>Not found</t>
        </is>
      </c>
      <c r="Z510" s="29" t="inlineStr">
        <is>
          <t>Not found</t>
        </is>
      </c>
      <c r="AA510" s="29" t="inlineStr">
        <is>
          <t>Not found</t>
        </is>
      </c>
      <c r="AB510" s="29" t="inlineStr">
        <is>
          <t>Not found</t>
        </is>
      </c>
      <c r="AC510" s="29" t="inlineStr"/>
      <c r="AD510" s="29" t="inlineStr">
        <is>
          <t>Not found</t>
        </is>
      </c>
      <c r="AE510" s="29" t="inlineStr">
        <is>
          <t>Unknown</t>
        </is>
      </c>
      <c r="AF510" s="29" t="inlineStr"/>
      <c r="AG510" s="29" t="inlineStr">
        <is>
          <t>Unknown</t>
        </is>
      </c>
      <c r="AH510" s="29" t="inlineStr">
        <is>
          <t>Unknown</t>
        </is>
      </c>
      <c r="AI510" s="29" t="inlineStr">
        <is>
          <t>Searched source code for 'event', 'schedule', 'calendar', 'reminder', 'capacity', 'invite', 'notification' but found no implementation for this feature.</t>
        </is>
      </c>
      <c r="AJ510" s="29" t="inlineStr">
        <is>
          <t>Not verified</t>
        </is>
      </c>
      <c r="AK510" s="29" t="inlineStr"/>
      <c r="AL510" s="29" t="inlineStr"/>
      <c r="AM510" s="29" t="inlineStr"/>
      <c r="AN510" s="29" t="inlineStr"/>
      <c r="AO510" s="29" t="inlineStr">
        <is>
          <t>8bc0dcb2a1da1b21368c5536aaeef829d587f316</t>
        </is>
      </c>
      <c r="AP510" s="29" t="inlineStr">
        <is>
          <t>Low</t>
        </is>
      </c>
      <c r="AQ510" s="29" t="inlineStr">
        <is>
          <t>Not assessed</t>
        </is>
      </c>
      <c r="AR510" s="29" t="inlineStr">
        <is>
          <t>Not assessed</t>
        </is>
      </c>
      <c r="AS510" s="29" t="inlineStr">
        <is>
          <t>Not assessed</t>
        </is>
      </c>
      <c r="AT510" s="29" t="inlineStr">
        <is>
          <t>Not assessed</t>
        </is>
      </c>
      <c r="AU510" s="29" t="inlineStr">
        <is>
          <t>Not assessed</t>
        </is>
      </c>
      <c r="AV510" s="29" t="inlineStr">
        <is>
          <t>Not assessed</t>
        </is>
      </c>
      <c r="AW510" s="29" t="inlineStr">
        <is>
          <t>Not assessed</t>
        </is>
      </c>
      <c r="AX510" s="29" t="inlineStr">
        <is>
          <t>Not assessed</t>
        </is>
      </c>
      <c r="AY510" s="29" t="inlineStr">
        <is>
          <t>Not assessed</t>
        </is>
      </c>
      <c r="AZ510" s="29" t="inlineStr">
        <is>
          <t>Not assessed</t>
        </is>
      </c>
      <c r="BA510" s="29" t="inlineStr">
        <is>
          <t>Not assessed</t>
        </is>
      </c>
      <c r="BB510" s="29" t="inlineStr">
        <is>
          <t>Not assessed</t>
        </is>
      </c>
      <c r="BC510" s="29" t="inlineStr">
        <is>
          <t>Not assessed</t>
        </is>
      </c>
      <c r="BD510" s="29" t="inlineStr">
        <is>
          <t>Not assessed</t>
        </is>
      </c>
      <c r="BE510" s="29" t="inlineStr">
        <is>
          <t>Development required</t>
        </is>
      </c>
      <c r="BF510" s="29" t="inlineStr">
        <is>
          <t>Physical implementation is not complete against the stated requirement.; Searched source code for 'event', 'schedule', 'calendar', 'reminder', 'capacity', 'invite', 'notification' but found no implementation for this feature.</t>
        </is>
      </c>
      <c r="BG510" s="29" t="inlineStr">
        <is>
          <t>Source code implementation</t>
        </is>
      </c>
      <c r="BH510" s="29" t="inlineStr"/>
      <c r="BI510" s="29" t="inlineStr"/>
      <c r="BJ510" s="29" t="inlineStr"/>
      <c r="BK510" s="29" t="inlineStr">
        <is>
          <t>Evidence reconciled against the reviewed source revision. No production approval is inferred from implementation or file presence.</t>
        </is>
      </c>
      <c r="BL510" s="29" t="inlineStr">
        <is>
          <t>2026-08-02</t>
        </is>
      </c>
    </row>
    <row r="511" ht="42" customHeight="1">
      <c r="A511" s="29" t="inlineStr">
        <is>
          <t>BLYP-25-013</t>
        </is>
      </c>
      <c r="B511" s="29" t="inlineStr"/>
      <c r="C511" s="29" t="inlineStr">
        <is>
          <t>Events, scheduling, and calendar</t>
        </is>
      </c>
      <c r="D511" s="29" t="n">
        <v>25</v>
      </c>
      <c r="E511" s="29" t="n">
        <v>13</v>
      </c>
      <c r="F511" s="29" t="inlineStr">
        <is>
          <t>Feature</t>
        </is>
      </c>
      <c r="G511" s="29" t="inlineStr">
        <is>
          <t>Configurable event reminders</t>
        </is>
      </c>
      <c r="H511" s="29" t="inlineStr">
        <is>
          <t>Configurable event reminders</t>
        </is>
      </c>
      <c r="I511" s="29" t="inlineStr">
        <is>
          <t>/home/ubuntu/blyp_product_requirements.md :: Section 25 — Events, scheduling, and calendar</t>
        </is>
      </c>
      <c r="J511" s="29" t="inlineStr">
        <is>
          <t>/home/ubuntu/BLYP_COMPLETE_FEATURE_LIST.md:645</t>
        </is>
      </c>
      <c r="K511" s="29" t="inlineStr">
        <is>
          <t>Required</t>
        </is>
      </c>
      <c r="L511" s="29" t="inlineStr">
        <is>
          <t>Applicable BLYP member</t>
        </is>
      </c>
      <c r="M511" s="29" t="inlineStr">
        <is>
          <t>Production platform, service and operator controls</t>
        </is>
      </c>
      <c r="N511" s="29" t="inlineStr">
        <is>
          <t>Configurable event reminders</t>
        </is>
      </c>
      <c r="O511" s="29" t="inlineStr">
        <is>
          <t>Not explicitly defined in the product source; requires accountable product approval before production sign-off.</t>
        </is>
      </c>
      <c r="P511" s="29" t="inlineStr"/>
      <c r="Q511" s="29" t="inlineStr">
        <is>
          <t>Yes</t>
        </is>
      </c>
      <c r="R511" s="29" t="inlineStr">
        <is>
          <t>BLYP Bar reminder planning exists.</t>
        </is>
      </c>
      <c r="S511" s="29" t="inlineStr">
        <is>
          <t>Not found</t>
        </is>
      </c>
      <c r="T511" s="29" t="inlineStr">
        <is>
          <t>Not found</t>
        </is>
      </c>
      <c r="U511" s="29" t="inlineStr">
        <is>
          <t>Not found</t>
        </is>
      </c>
      <c r="V511" s="29" t="inlineStr">
        <is>
          <t>Not found</t>
        </is>
      </c>
      <c r="W511" s="29" t="inlineStr">
        <is>
          <t>Not found</t>
        </is>
      </c>
      <c r="X511" s="29" t="inlineStr">
        <is>
          <t>Not found</t>
        </is>
      </c>
      <c r="Y511" s="29" t="inlineStr">
        <is>
          <t>Not found</t>
        </is>
      </c>
      <c r="Z511" s="29" t="inlineStr">
        <is>
          <t>Not found</t>
        </is>
      </c>
      <c r="AA511" s="29" t="inlineStr">
        <is>
          <t>Not found</t>
        </is>
      </c>
      <c r="AB511" s="29" t="inlineStr">
        <is>
          <t>Not found</t>
        </is>
      </c>
      <c r="AC511" s="29" t="inlineStr"/>
      <c r="AD511" s="29" t="inlineStr">
        <is>
          <t>Not found</t>
        </is>
      </c>
      <c r="AE511" s="29" t="inlineStr">
        <is>
          <t>Unknown</t>
        </is>
      </c>
      <c r="AF511" s="29" t="inlineStr"/>
      <c r="AG511" s="29" t="inlineStr">
        <is>
          <t>Unknown</t>
        </is>
      </c>
      <c r="AH511" s="29" t="inlineStr">
        <is>
          <t>Unknown</t>
        </is>
      </c>
      <c r="AI511" s="29" t="inlineStr">
        <is>
          <t>Searched source code for 'event', 'schedule', 'calendar', 'reminder', 'capacity', 'invite', 'notification' but found no implementation for this feature.</t>
        </is>
      </c>
      <c r="AJ511" s="29" t="inlineStr">
        <is>
          <t>Not verified</t>
        </is>
      </c>
      <c r="AK511" s="29" t="inlineStr"/>
      <c r="AL511" s="29" t="inlineStr"/>
      <c r="AM511" s="29" t="inlineStr"/>
      <c r="AN511" s="29" t="inlineStr"/>
      <c r="AO511" s="29" t="inlineStr">
        <is>
          <t>8bc0dcb2a1da1b21368c5536aaeef829d587f316</t>
        </is>
      </c>
      <c r="AP511" s="29" t="inlineStr">
        <is>
          <t>Low</t>
        </is>
      </c>
      <c r="AQ511" s="29" t="inlineStr">
        <is>
          <t>Not assessed</t>
        </is>
      </c>
      <c r="AR511" s="29" t="inlineStr">
        <is>
          <t>Not assessed</t>
        </is>
      </c>
      <c r="AS511" s="29" t="inlineStr">
        <is>
          <t>Not assessed</t>
        </is>
      </c>
      <c r="AT511" s="29" t="inlineStr">
        <is>
          <t>Not assessed</t>
        </is>
      </c>
      <c r="AU511" s="29" t="inlineStr">
        <is>
          <t>Not assessed</t>
        </is>
      </c>
      <c r="AV511" s="29" t="inlineStr">
        <is>
          <t>Not assessed</t>
        </is>
      </c>
      <c r="AW511" s="29" t="inlineStr">
        <is>
          <t>Not assessed</t>
        </is>
      </c>
      <c r="AX511" s="29" t="inlineStr">
        <is>
          <t>Not assessed</t>
        </is>
      </c>
      <c r="AY511" s="29" t="inlineStr">
        <is>
          <t>Not assessed</t>
        </is>
      </c>
      <c r="AZ511" s="29" t="inlineStr">
        <is>
          <t>Not assessed</t>
        </is>
      </c>
      <c r="BA511" s="29" t="inlineStr">
        <is>
          <t>Not assessed</t>
        </is>
      </c>
      <c r="BB511" s="29" t="inlineStr">
        <is>
          <t>Not assessed</t>
        </is>
      </c>
      <c r="BC511" s="29" t="inlineStr">
        <is>
          <t>Not assessed</t>
        </is>
      </c>
      <c r="BD511" s="29" t="inlineStr">
        <is>
          <t>Not assessed</t>
        </is>
      </c>
      <c r="BE511" s="29" t="inlineStr">
        <is>
          <t>Development required</t>
        </is>
      </c>
      <c r="BF511" s="29" t="inlineStr">
        <is>
          <t>Physical implementation is not complete against the stated requirement.; Searched source code for 'event', 'schedule', 'calendar', 'reminder', 'capacity', 'invite', 'notification' but found no implementation for this feature.</t>
        </is>
      </c>
      <c r="BG511" s="29" t="inlineStr">
        <is>
          <t>Source code implementation</t>
        </is>
      </c>
      <c r="BH511" s="29" t="inlineStr"/>
      <c r="BI511" s="29" t="inlineStr"/>
      <c r="BJ511" s="29" t="inlineStr"/>
      <c r="BK511" s="29" t="inlineStr">
        <is>
          <t>Evidence reconciled against the reviewed source revision. No production approval is inferred from implementation or file presence.</t>
        </is>
      </c>
      <c r="BL511" s="29" t="inlineStr">
        <is>
          <t>2026-08-02</t>
        </is>
      </c>
    </row>
    <row r="512" ht="42" customHeight="1">
      <c r="A512" s="29" t="inlineStr">
        <is>
          <t>BLYP-25-014</t>
        </is>
      </c>
      <c r="B512" s="29" t="inlineStr"/>
      <c r="C512" s="29" t="inlineStr">
        <is>
          <t>Events, scheduling, and calendar</t>
        </is>
      </c>
      <c r="D512" s="29" t="n">
        <v>25</v>
      </c>
      <c r="E512" s="29" t="n">
        <v>14</v>
      </c>
      <c r="F512" s="29" t="inlineStr">
        <is>
          <t>Feature</t>
        </is>
      </c>
      <c r="G512" s="29" t="inlineStr">
        <is>
          <t>Event-update notifications</t>
        </is>
      </c>
      <c r="H512" s="29" t="inlineStr">
        <is>
          <t>Event-update notifications</t>
        </is>
      </c>
      <c r="I512" s="29" t="inlineStr">
        <is>
          <t>/home/ubuntu/blyp_product_requirements.md :: Section 25 — Events, scheduling, and calendar</t>
        </is>
      </c>
      <c r="J512" s="29" t="inlineStr">
        <is>
          <t>/home/ubuntu/BLYP_COMPLETE_FEATURE_LIST.md:646</t>
        </is>
      </c>
      <c r="K512" s="29" t="inlineStr">
        <is>
          <t>Required</t>
        </is>
      </c>
      <c r="L512" s="29" t="inlineStr">
        <is>
          <t>Applicable BLYP member</t>
        </is>
      </c>
      <c r="M512" s="29" t="inlineStr">
        <is>
          <t>Production platform, service and operator controls</t>
        </is>
      </c>
      <c r="N512" s="29" t="inlineStr">
        <is>
          <t>Event-update notifications</t>
        </is>
      </c>
      <c r="O512" s="29" t="inlineStr">
        <is>
          <t>Not explicitly defined in the product source; requires accountable product approval before production sign-off.</t>
        </is>
      </c>
      <c r="P512" s="29" t="inlineStr"/>
      <c r="Q512" s="29" t="inlineStr">
        <is>
          <t>Partial</t>
        </is>
      </c>
      <c r="R512" s="29" t="inlineStr"/>
      <c r="S512" s="29" t="inlineStr">
        <is>
          <t>Not found</t>
        </is>
      </c>
      <c r="T512" s="29" t="inlineStr">
        <is>
          <t>Not found</t>
        </is>
      </c>
      <c r="U512" s="29" t="inlineStr">
        <is>
          <t>Not found</t>
        </is>
      </c>
      <c r="V512" s="29" t="inlineStr">
        <is>
          <t>Not found</t>
        </is>
      </c>
      <c r="W512" s="29" t="inlineStr">
        <is>
          <t>Not found</t>
        </is>
      </c>
      <c r="X512" s="29" t="inlineStr">
        <is>
          <t>Not found</t>
        </is>
      </c>
      <c r="Y512" s="29" t="inlineStr">
        <is>
          <t>Not found</t>
        </is>
      </c>
      <c r="Z512" s="29" t="inlineStr">
        <is>
          <t>Not found</t>
        </is>
      </c>
      <c r="AA512" s="29" t="inlineStr">
        <is>
          <t>Not found</t>
        </is>
      </c>
      <c r="AB512" s="29" t="inlineStr">
        <is>
          <t>Not found</t>
        </is>
      </c>
      <c r="AC512" s="29" t="inlineStr"/>
      <c r="AD512" s="29" t="inlineStr">
        <is>
          <t>Not found</t>
        </is>
      </c>
      <c r="AE512" s="29" t="inlineStr">
        <is>
          <t>Unknown</t>
        </is>
      </c>
      <c r="AF512" s="29" t="inlineStr"/>
      <c r="AG512" s="29" t="inlineStr">
        <is>
          <t>Unknown</t>
        </is>
      </c>
      <c r="AH512" s="29" t="inlineStr">
        <is>
          <t>Unknown</t>
        </is>
      </c>
      <c r="AI512" s="29" t="inlineStr">
        <is>
          <t>Searched source code for 'event', 'schedule', 'calendar', 'reminder', 'capacity', 'invite', 'notification' but found no implementation for this feature.</t>
        </is>
      </c>
      <c r="AJ512" s="29" t="inlineStr">
        <is>
          <t>Not verified</t>
        </is>
      </c>
      <c r="AK512" s="29" t="inlineStr"/>
      <c r="AL512" s="29" t="inlineStr"/>
      <c r="AM512" s="29" t="inlineStr"/>
      <c r="AN512" s="29" t="inlineStr"/>
      <c r="AO512" s="29" t="inlineStr">
        <is>
          <t>8bc0dcb2a1da1b21368c5536aaeef829d587f316</t>
        </is>
      </c>
      <c r="AP512" s="29" t="inlineStr">
        <is>
          <t>Low</t>
        </is>
      </c>
      <c r="AQ512" s="29" t="inlineStr">
        <is>
          <t>Not assessed</t>
        </is>
      </c>
      <c r="AR512" s="29" t="inlineStr">
        <is>
          <t>Not assessed</t>
        </is>
      </c>
      <c r="AS512" s="29" t="inlineStr">
        <is>
          <t>Not assessed</t>
        </is>
      </c>
      <c r="AT512" s="29" t="inlineStr">
        <is>
          <t>Not assessed</t>
        </is>
      </c>
      <c r="AU512" s="29" t="inlineStr">
        <is>
          <t>Not assessed</t>
        </is>
      </c>
      <c r="AV512" s="29" t="inlineStr">
        <is>
          <t>Not assessed</t>
        </is>
      </c>
      <c r="AW512" s="29" t="inlineStr">
        <is>
          <t>Not assessed</t>
        </is>
      </c>
      <c r="AX512" s="29" t="inlineStr">
        <is>
          <t>Not assessed</t>
        </is>
      </c>
      <c r="AY512" s="29" t="inlineStr">
        <is>
          <t>Not assessed</t>
        </is>
      </c>
      <c r="AZ512" s="29" t="inlineStr">
        <is>
          <t>Not assessed</t>
        </is>
      </c>
      <c r="BA512" s="29" t="inlineStr">
        <is>
          <t>Not assessed</t>
        </is>
      </c>
      <c r="BB512" s="29" t="inlineStr">
        <is>
          <t>Not assessed</t>
        </is>
      </c>
      <c r="BC512" s="29" t="inlineStr">
        <is>
          <t>Not assessed</t>
        </is>
      </c>
      <c r="BD512" s="29" t="inlineStr">
        <is>
          <t>Not assessed</t>
        </is>
      </c>
      <c r="BE512" s="29" t="inlineStr">
        <is>
          <t>Development required</t>
        </is>
      </c>
      <c r="BF512" s="29" t="inlineStr">
        <is>
          <t>Physical implementation is not complete against the stated requirement.; Searched source code for 'event', 'schedule', 'calendar', 'reminder', 'capacity', 'invite', 'notification' but found no implementation for this feature.</t>
        </is>
      </c>
      <c r="BG512" s="29" t="inlineStr">
        <is>
          <t>Source code implementation</t>
        </is>
      </c>
      <c r="BH512" s="29" t="inlineStr"/>
      <c r="BI512" s="29" t="inlineStr"/>
      <c r="BJ512" s="29" t="inlineStr"/>
      <c r="BK512" s="29" t="inlineStr">
        <is>
          <t>Evidence reconciled against the reviewed source revision. No production approval is inferred from implementation or file presence.</t>
        </is>
      </c>
      <c r="BL512" s="29" t="inlineStr">
        <is>
          <t>2026-08-02</t>
        </is>
      </c>
    </row>
    <row r="513" ht="42" customHeight="1">
      <c r="A513" s="29" t="inlineStr">
        <is>
          <t>BLYP-25-015</t>
        </is>
      </c>
      <c r="B513" s="29" t="inlineStr"/>
      <c r="C513" s="29" t="inlineStr">
        <is>
          <t>Events, scheduling, and calendar</t>
        </is>
      </c>
      <c r="D513" s="29" t="n">
        <v>25</v>
      </c>
      <c r="E513" s="29" t="n">
        <v>15</v>
      </c>
      <c r="F513" s="29" t="inlineStr">
        <is>
          <t>Feature</t>
        </is>
      </c>
      <c r="G513" s="29" t="inlineStr">
        <is>
          <t>Event creation</t>
        </is>
      </c>
      <c r="H513" s="29" t="inlineStr">
        <is>
          <t>Event creation</t>
        </is>
      </c>
      <c r="I513" s="29" t="inlineStr">
        <is>
          <t>/home/ubuntu/blyp_product_requirements.md :: Section 25 — Events, scheduling, and calendar</t>
        </is>
      </c>
      <c r="J513" s="29" t="inlineStr">
        <is>
          <t>/home/ubuntu/BLYP_COMPLETE_FEATURE_LIST.md:647</t>
        </is>
      </c>
      <c r="K513" s="29" t="inlineStr">
        <is>
          <t>Required</t>
        </is>
      </c>
      <c r="L513" s="29" t="inlineStr">
        <is>
          <t>Applicable BLYP member</t>
        </is>
      </c>
      <c r="M513" s="29" t="inlineStr">
        <is>
          <t>Production platform, service and operator controls</t>
        </is>
      </c>
      <c r="N513" s="29" t="inlineStr">
        <is>
          <t>Event creation</t>
        </is>
      </c>
      <c r="O513" s="29" t="inlineStr">
        <is>
          <t>Not explicitly defined in the product source; requires accountable product approval before production sign-off.</t>
        </is>
      </c>
      <c r="P513" s="29" t="inlineStr"/>
      <c r="Q513" s="29" t="inlineStr">
        <is>
          <t>Partial</t>
        </is>
      </c>
      <c r="R513" s="29" t="inlineStr"/>
      <c r="S513" s="29" t="inlineStr">
        <is>
          <t>Not found</t>
        </is>
      </c>
      <c r="T513" s="29" t="inlineStr">
        <is>
          <t>Not found</t>
        </is>
      </c>
      <c r="U513" s="29" t="inlineStr">
        <is>
          <t>Not found</t>
        </is>
      </c>
      <c r="V513" s="29" t="inlineStr">
        <is>
          <t>Not found</t>
        </is>
      </c>
      <c r="W513" s="29" t="inlineStr">
        <is>
          <t>Not found</t>
        </is>
      </c>
      <c r="X513" s="29" t="inlineStr">
        <is>
          <t>Not found</t>
        </is>
      </c>
      <c r="Y513" s="29" t="inlineStr">
        <is>
          <t>Not found</t>
        </is>
      </c>
      <c r="Z513" s="29" t="inlineStr">
        <is>
          <t>Not found</t>
        </is>
      </c>
      <c r="AA513" s="29" t="inlineStr">
        <is>
          <t>Not found</t>
        </is>
      </c>
      <c r="AB513" s="29" t="inlineStr">
        <is>
          <t>Not found</t>
        </is>
      </c>
      <c r="AC513" s="29" t="inlineStr"/>
      <c r="AD513" s="29" t="inlineStr">
        <is>
          <t>Not found</t>
        </is>
      </c>
      <c r="AE513" s="29" t="inlineStr">
        <is>
          <t>Unknown</t>
        </is>
      </c>
      <c r="AF513" s="29" t="inlineStr"/>
      <c r="AG513" s="29" t="inlineStr">
        <is>
          <t>Unknown</t>
        </is>
      </c>
      <c r="AH513" s="29" t="inlineStr">
        <is>
          <t>Unknown</t>
        </is>
      </c>
      <c r="AI513" s="29" t="inlineStr">
        <is>
          <t>Searched source code for 'event', 'schedule', 'calendar', 'reminder', 'capacity', 'invite', 'notification' but found no implementation for this feature.</t>
        </is>
      </c>
      <c r="AJ513" s="29" t="inlineStr">
        <is>
          <t>Not verified</t>
        </is>
      </c>
      <c r="AK513" s="29" t="inlineStr"/>
      <c r="AL513" s="29" t="inlineStr"/>
      <c r="AM513" s="29" t="inlineStr"/>
      <c r="AN513" s="29" t="inlineStr"/>
      <c r="AO513" s="29" t="inlineStr">
        <is>
          <t>8bc0dcb2a1da1b21368c5536aaeef829d587f316</t>
        </is>
      </c>
      <c r="AP513" s="29" t="inlineStr">
        <is>
          <t>Low</t>
        </is>
      </c>
      <c r="AQ513" s="29" t="inlineStr">
        <is>
          <t>Not assessed</t>
        </is>
      </c>
      <c r="AR513" s="29" t="inlineStr">
        <is>
          <t>Not assessed</t>
        </is>
      </c>
      <c r="AS513" s="29" t="inlineStr">
        <is>
          <t>Not assessed</t>
        </is>
      </c>
      <c r="AT513" s="29" t="inlineStr">
        <is>
          <t>Not assessed</t>
        </is>
      </c>
      <c r="AU513" s="29" t="inlineStr">
        <is>
          <t>Not assessed</t>
        </is>
      </c>
      <c r="AV513" s="29" t="inlineStr">
        <is>
          <t>Not assessed</t>
        </is>
      </c>
      <c r="AW513" s="29" t="inlineStr">
        <is>
          <t>Not assessed</t>
        </is>
      </c>
      <c r="AX513" s="29" t="inlineStr">
        <is>
          <t>Not assessed</t>
        </is>
      </c>
      <c r="AY513" s="29" t="inlineStr">
        <is>
          <t>Not assessed</t>
        </is>
      </c>
      <c r="AZ513" s="29" t="inlineStr">
        <is>
          <t>Not assessed</t>
        </is>
      </c>
      <c r="BA513" s="29" t="inlineStr">
        <is>
          <t>Not assessed</t>
        </is>
      </c>
      <c r="BB513" s="29" t="inlineStr">
        <is>
          <t>Not assessed</t>
        </is>
      </c>
      <c r="BC513" s="29" t="inlineStr">
        <is>
          <t>Not assessed</t>
        </is>
      </c>
      <c r="BD513" s="29" t="inlineStr">
        <is>
          <t>Not assessed</t>
        </is>
      </c>
      <c r="BE513" s="29" t="inlineStr">
        <is>
          <t>Development required</t>
        </is>
      </c>
      <c r="BF513" s="29" t="inlineStr">
        <is>
          <t>Physical implementation is not complete against the stated requirement.; Searched source code for 'event', 'schedule', 'calendar', 'reminder', 'capacity', 'invite', 'notification' but found no implementation for this feature.</t>
        </is>
      </c>
      <c r="BG513" s="29" t="inlineStr">
        <is>
          <t>Source code implementation</t>
        </is>
      </c>
      <c r="BH513" s="29" t="inlineStr"/>
      <c r="BI513" s="29" t="inlineStr"/>
      <c r="BJ513" s="29" t="inlineStr"/>
      <c r="BK513" s="29" t="inlineStr">
        <is>
          <t>Evidence reconciled against the reviewed source revision. No production approval is inferred from implementation or file presence.</t>
        </is>
      </c>
      <c r="BL513" s="29" t="inlineStr">
        <is>
          <t>2026-08-02</t>
        </is>
      </c>
    </row>
    <row r="514" ht="42" customHeight="1">
      <c r="A514" s="29" t="inlineStr">
        <is>
          <t>BLYP-25-016</t>
        </is>
      </c>
      <c r="B514" s="29" t="inlineStr"/>
      <c r="C514" s="29" t="inlineStr">
        <is>
          <t>Events, scheduling, and calendar</t>
        </is>
      </c>
      <c r="D514" s="29" t="n">
        <v>25</v>
      </c>
      <c r="E514" s="29" t="n">
        <v>16</v>
      </c>
      <c r="F514" s="29" t="inlineStr">
        <is>
          <t>Feature</t>
        </is>
      </c>
      <c r="G514" s="29" t="inlineStr">
        <is>
          <t>Audience invitation</t>
        </is>
      </c>
      <c r="H514" s="29" t="inlineStr">
        <is>
          <t>Audience invitation</t>
        </is>
      </c>
      <c r="I514" s="29" t="inlineStr">
        <is>
          <t>/home/ubuntu/blyp_product_requirements.md :: Section 25 — Events, scheduling, and calendar</t>
        </is>
      </c>
      <c r="J514" s="29" t="inlineStr">
        <is>
          <t>/home/ubuntu/BLYP_COMPLETE_FEATURE_LIST.md:648</t>
        </is>
      </c>
      <c r="K514" s="29" t="inlineStr">
        <is>
          <t>Required</t>
        </is>
      </c>
      <c r="L514" s="29" t="inlineStr">
        <is>
          <t>Authenticated or eligible viewer</t>
        </is>
      </c>
      <c r="M514" s="29" t="inlineStr">
        <is>
          <t>Production platform, service and operator controls</t>
        </is>
      </c>
      <c r="N514" s="29" t="inlineStr">
        <is>
          <t>Audience invitation</t>
        </is>
      </c>
      <c r="O514" s="29" t="inlineStr">
        <is>
          <t>Not explicitly defined in the product source; requires accountable product approval before production sign-off.</t>
        </is>
      </c>
      <c r="P514" s="29" t="inlineStr"/>
      <c r="Q514" s="29" t="inlineStr">
        <is>
          <t>No evidence</t>
        </is>
      </c>
      <c r="R514" s="29" t="inlineStr"/>
      <c r="S514" s="29" t="inlineStr">
        <is>
          <t>Not found</t>
        </is>
      </c>
      <c r="T514" s="29" t="inlineStr">
        <is>
          <t>Not found</t>
        </is>
      </c>
      <c r="U514" s="29" t="inlineStr">
        <is>
          <t>Not found</t>
        </is>
      </c>
      <c r="V514" s="29" t="inlineStr">
        <is>
          <t>Not found</t>
        </is>
      </c>
      <c r="W514" s="29" t="inlineStr">
        <is>
          <t>Not found</t>
        </is>
      </c>
      <c r="X514" s="29" t="inlineStr">
        <is>
          <t>Not found</t>
        </is>
      </c>
      <c r="Y514" s="29" t="inlineStr">
        <is>
          <t>Not found</t>
        </is>
      </c>
      <c r="Z514" s="29" t="inlineStr">
        <is>
          <t>Not found</t>
        </is>
      </c>
      <c r="AA514" s="29" t="inlineStr">
        <is>
          <t>Not found</t>
        </is>
      </c>
      <c r="AB514" s="29" t="inlineStr">
        <is>
          <t>Not found</t>
        </is>
      </c>
      <c r="AC514" s="29" t="inlineStr"/>
      <c r="AD514" s="29" t="inlineStr">
        <is>
          <t>Not found</t>
        </is>
      </c>
      <c r="AE514" s="29" t="inlineStr">
        <is>
          <t>Unknown</t>
        </is>
      </c>
      <c r="AF514" s="29" t="inlineStr"/>
      <c r="AG514" s="29" t="inlineStr">
        <is>
          <t>Unknown</t>
        </is>
      </c>
      <c r="AH514" s="29" t="inlineStr">
        <is>
          <t>Unknown</t>
        </is>
      </c>
      <c r="AI514" s="29" t="inlineStr">
        <is>
          <t>Searched source code for 'event', 'schedule', 'calendar', 'reminder', 'capacity', 'invite', 'notification' but found no implementation for this feature.</t>
        </is>
      </c>
      <c r="AJ514" s="29" t="inlineStr">
        <is>
          <t>Not verified</t>
        </is>
      </c>
      <c r="AK514" s="29" t="inlineStr"/>
      <c r="AL514" s="29" t="inlineStr"/>
      <c r="AM514" s="29" t="inlineStr"/>
      <c r="AN514" s="29" t="inlineStr"/>
      <c r="AO514" s="29" t="inlineStr">
        <is>
          <t>8bc0dcb2a1da1b21368c5536aaeef829d587f316</t>
        </is>
      </c>
      <c r="AP514" s="29" t="inlineStr">
        <is>
          <t>Low</t>
        </is>
      </c>
      <c r="AQ514" s="29" t="inlineStr">
        <is>
          <t>Not assessed</t>
        </is>
      </c>
      <c r="AR514" s="29" t="inlineStr">
        <is>
          <t>Not assessed</t>
        </is>
      </c>
      <c r="AS514" s="29" t="inlineStr">
        <is>
          <t>Not assessed</t>
        </is>
      </c>
      <c r="AT514" s="29" t="inlineStr">
        <is>
          <t>Not assessed</t>
        </is>
      </c>
      <c r="AU514" s="29" t="inlineStr">
        <is>
          <t>Not assessed</t>
        </is>
      </c>
      <c r="AV514" s="29" t="inlineStr">
        <is>
          <t>Not assessed</t>
        </is>
      </c>
      <c r="AW514" s="29" t="inlineStr">
        <is>
          <t>Not assessed</t>
        </is>
      </c>
      <c r="AX514" s="29" t="inlineStr">
        <is>
          <t>Not assessed</t>
        </is>
      </c>
      <c r="AY514" s="29" t="inlineStr">
        <is>
          <t>Not assessed</t>
        </is>
      </c>
      <c r="AZ514" s="29" t="inlineStr">
        <is>
          <t>Not assessed</t>
        </is>
      </c>
      <c r="BA514" s="29" t="inlineStr">
        <is>
          <t>Not assessed</t>
        </is>
      </c>
      <c r="BB514" s="29" t="inlineStr">
        <is>
          <t>Not assessed</t>
        </is>
      </c>
      <c r="BC514" s="29" t="inlineStr">
        <is>
          <t>Not assessed</t>
        </is>
      </c>
      <c r="BD514" s="29" t="inlineStr">
        <is>
          <t>Not assessed</t>
        </is>
      </c>
      <c r="BE514" s="29" t="inlineStr">
        <is>
          <t>Development required</t>
        </is>
      </c>
      <c r="BF514" s="29" t="inlineStr">
        <is>
          <t>Physical implementation is not complete against the stated requirement.; Searched source code for 'event', 'schedule', 'calendar', 'reminder', 'capacity', 'invite', 'notification' but found no implementation for this feature.</t>
        </is>
      </c>
      <c r="BG514" s="29" t="inlineStr">
        <is>
          <t>Source code implementation</t>
        </is>
      </c>
      <c r="BH514" s="29" t="inlineStr"/>
      <c r="BI514" s="29" t="inlineStr"/>
      <c r="BJ514" s="29" t="inlineStr"/>
      <c r="BK514" s="29" t="inlineStr">
        <is>
          <t>Evidence reconciled against the reviewed source revision. No production approval is inferred from implementation or file presence.</t>
        </is>
      </c>
      <c r="BL514" s="29" t="inlineStr">
        <is>
          <t>2026-08-02</t>
        </is>
      </c>
    </row>
    <row r="515" ht="42" customHeight="1">
      <c r="A515" s="29" t="inlineStr">
        <is>
          <t>BLYP-25-017</t>
        </is>
      </c>
      <c r="B515" s="29" t="inlineStr"/>
      <c r="C515" s="29" t="inlineStr">
        <is>
          <t>Events, scheduling, and calendar</t>
        </is>
      </c>
      <c r="D515" s="29" t="n">
        <v>25</v>
      </c>
      <c r="E515" s="29" t="n">
        <v>17</v>
      </c>
      <c r="F515" s="29" t="inlineStr">
        <is>
          <t>Feature</t>
        </is>
      </c>
      <c r="G515" s="29" t="inlineStr">
        <is>
          <t>Capacity controls</t>
        </is>
      </c>
      <c r="H515" s="29" t="inlineStr">
        <is>
          <t>Capacity controls</t>
        </is>
      </c>
      <c r="I515" s="29" t="inlineStr">
        <is>
          <t>/home/ubuntu/blyp_product_requirements.md :: Section 25 — Events, scheduling, and calendar</t>
        </is>
      </c>
      <c r="J515" s="29" t="inlineStr">
        <is>
          <t>/home/ubuntu/BLYP_COMPLETE_FEATURE_LIST.md:649</t>
        </is>
      </c>
      <c r="K515" s="29" t="inlineStr">
        <is>
          <t>Required</t>
        </is>
      </c>
      <c r="L515" s="29" t="inlineStr">
        <is>
          <t>Applicable BLYP member</t>
        </is>
      </c>
      <c r="M515" s="29" t="inlineStr">
        <is>
          <t>Production platform, service and operator controls</t>
        </is>
      </c>
      <c r="N515" s="29" t="inlineStr">
        <is>
          <t>Capacity controls</t>
        </is>
      </c>
      <c r="O515" s="29" t="inlineStr">
        <is>
          <t>Not explicitly defined in the product source; requires accountable product approval before production sign-off.</t>
        </is>
      </c>
      <c r="P515" s="29" t="inlineStr"/>
      <c r="Q515" s="29" t="inlineStr">
        <is>
          <t>Partial</t>
        </is>
      </c>
      <c r="R515" s="29" t="inlineStr">
        <is>
          <t>live capacity foundations exist.</t>
        </is>
      </c>
      <c r="S515" s="29" t="inlineStr">
        <is>
          <t>Not found</t>
        </is>
      </c>
      <c r="T515" s="29" t="inlineStr">
        <is>
          <t>Not found</t>
        </is>
      </c>
      <c r="U515" s="29" t="inlineStr">
        <is>
          <t>Not found</t>
        </is>
      </c>
      <c r="V515" s="29" t="inlineStr">
        <is>
          <t>Not found</t>
        </is>
      </c>
      <c r="W515" s="29" t="inlineStr">
        <is>
          <t>Not found</t>
        </is>
      </c>
      <c r="X515" s="29" t="inlineStr">
        <is>
          <t>Not found</t>
        </is>
      </c>
      <c r="Y515" s="29" t="inlineStr">
        <is>
          <t>Not found</t>
        </is>
      </c>
      <c r="Z515" s="29" t="inlineStr">
        <is>
          <t>Not found</t>
        </is>
      </c>
      <c r="AA515" s="29" t="inlineStr">
        <is>
          <t>Not found</t>
        </is>
      </c>
      <c r="AB515" s="29" t="inlineStr">
        <is>
          <t>Not found</t>
        </is>
      </c>
      <c r="AC515" s="29" t="inlineStr"/>
      <c r="AD515" s="29" t="inlineStr">
        <is>
          <t>Not found</t>
        </is>
      </c>
      <c r="AE515" s="29" t="inlineStr">
        <is>
          <t>Unknown</t>
        </is>
      </c>
      <c r="AF515" s="29" t="inlineStr"/>
      <c r="AG515" s="29" t="inlineStr">
        <is>
          <t>Unknown</t>
        </is>
      </c>
      <c r="AH515" s="29" t="inlineStr">
        <is>
          <t>Unknown</t>
        </is>
      </c>
      <c r="AI515" s="29" t="inlineStr">
        <is>
          <t>Searched source code for 'event', 'schedule', 'calendar', 'reminder', 'capacity', 'invite', 'notification' but found no implementation for this feature.</t>
        </is>
      </c>
      <c r="AJ515" s="29" t="inlineStr">
        <is>
          <t>Not verified</t>
        </is>
      </c>
      <c r="AK515" s="29" t="inlineStr"/>
      <c r="AL515" s="29" t="inlineStr"/>
      <c r="AM515" s="29" t="inlineStr"/>
      <c r="AN515" s="29" t="inlineStr"/>
      <c r="AO515" s="29" t="inlineStr">
        <is>
          <t>8bc0dcb2a1da1b21368c5536aaeef829d587f316</t>
        </is>
      </c>
      <c r="AP515" s="29" t="inlineStr">
        <is>
          <t>Low</t>
        </is>
      </c>
      <c r="AQ515" s="29" t="inlineStr">
        <is>
          <t>Not assessed</t>
        </is>
      </c>
      <c r="AR515" s="29" t="inlineStr">
        <is>
          <t>Not assessed</t>
        </is>
      </c>
      <c r="AS515" s="29" t="inlineStr">
        <is>
          <t>Not assessed</t>
        </is>
      </c>
      <c r="AT515" s="29" t="inlineStr">
        <is>
          <t>Not assessed</t>
        </is>
      </c>
      <c r="AU515" s="29" t="inlineStr">
        <is>
          <t>Not assessed</t>
        </is>
      </c>
      <c r="AV515" s="29" t="inlineStr">
        <is>
          <t>Not assessed</t>
        </is>
      </c>
      <c r="AW515" s="29" t="inlineStr">
        <is>
          <t>Not assessed</t>
        </is>
      </c>
      <c r="AX515" s="29" t="inlineStr">
        <is>
          <t>Not assessed</t>
        </is>
      </c>
      <c r="AY515" s="29" t="inlineStr">
        <is>
          <t>Not assessed</t>
        </is>
      </c>
      <c r="AZ515" s="29" t="inlineStr">
        <is>
          <t>Not assessed</t>
        </is>
      </c>
      <c r="BA515" s="29" t="inlineStr">
        <is>
          <t>Not assessed</t>
        </is>
      </c>
      <c r="BB515" s="29" t="inlineStr">
        <is>
          <t>Not assessed</t>
        </is>
      </c>
      <c r="BC515" s="29" t="inlineStr">
        <is>
          <t>Not assessed</t>
        </is>
      </c>
      <c r="BD515" s="29" t="inlineStr">
        <is>
          <t>Not assessed</t>
        </is>
      </c>
      <c r="BE515" s="29" t="inlineStr">
        <is>
          <t>Development required</t>
        </is>
      </c>
      <c r="BF515" s="29" t="inlineStr">
        <is>
          <t>Physical implementation is not complete against the stated requirement.; Searched source code for 'event', 'schedule', 'calendar', 'reminder', 'capacity', 'invite', 'notification' but found no implementation for this feature.</t>
        </is>
      </c>
      <c r="BG515" s="29" t="inlineStr">
        <is>
          <t>Source code implementation</t>
        </is>
      </c>
      <c r="BH515" s="29" t="inlineStr"/>
      <c r="BI515" s="29" t="inlineStr"/>
      <c r="BJ515" s="29" t="inlineStr"/>
      <c r="BK515" s="29" t="inlineStr">
        <is>
          <t>Evidence reconciled against the reviewed source revision. No production approval is inferred from implementation or file presence.</t>
        </is>
      </c>
      <c r="BL515" s="29" t="inlineStr">
        <is>
          <t>2026-08-02</t>
        </is>
      </c>
    </row>
    <row r="516" ht="42" customHeight="1">
      <c r="A516" s="29" t="inlineStr">
        <is>
          <t>BLYP-25-018</t>
        </is>
      </c>
      <c r="B516" s="29" t="inlineStr"/>
      <c r="C516" s="29" t="inlineStr">
        <is>
          <t>Events, scheduling, and calendar</t>
        </is>
      </c>
      <c r="D516" s="29" t="n">
        <v>25</v>
      </c>
      <c r="E516" s="29" t="n">
        <v>18</v>
      </c>
      <c r="F516" s="29" t="inlineStr">
        <is>
          <t>Feature</t>
        </is>
      </c>
      <c r="G516" s="29" t="inlineStr">
        <is>
          <t>Event change management</t>
        </is>
      </c>
      <c r="H516" s="29" t="inlineStr">
        <is>
          <t>Event change management</t>
        </is>
      </c>
      <c r="I516" s="29" t="inlineStr">
        <is>
          <t>/home/ubuntu/blyp_product_requirements.md :: Section 25 — Events, scheduling, and calendar</t>
        </is>
      </c>
      <c r="J516" s="29" t="inlineStr">
        <is>
          <t>/home/ubuntu/BLYP_COMPLETE_FEATURE_LIST.md:650</t>
        </is>
      </c>
      <c r="K516" s="29" t="inlineStr">
        <is>
          <t>Required</t>
        </is>
      </c>
      <c r="L516" s="29" t="inlineStr">
        <is>
          <t>Applicable BLYP member</t>
        </is>
      </c>
      <c r="M516" s="29" t="inlineStr">
        <is>
          <t>Production platform, service and operator controls</t>
        </is>
      </c>
      <c r="N516" s="29" t="inlineStr">
        <is>
          <t>Event change management</t>
        </is>
      </c>
      <c r="O516" s="29" t="inlineStr">
        <is>
          <t>Not explicitly defined in the product source; requires accountable product approval before production sign-off.</t>
        </is>
      </c>
      <c r="P516" s="29" t="inlineStr"/>
      <c r="Q516" s="29" t="inlineStr">
        <is>
          <t>No evidence</t>
        </is>
      </c>
      <c r="R516" s="29" t="inlineStr"/>
      <c r="S516" s="29" t="inlineStr">
        <is>
          <t>Not found</t>
        </is>
      </c>
      <c r="T516" s="29" t="inlineStr">
        <is>
          <t>Not found</t>
        </is>
      </c>
      <c r="U516" s="29" t="inlineStr">
        <is>
          <t>Not found</t>
        </is>
      </c>
      <c r="V516" s="29" t="inlineStr">
        <is>
          <t>Not found</t>
        </is>
      </c>
      <c r="W516" s="29" t="inlineStr">
        <is>
          <t>Not found</t>
        </is>
      </c>
      <c r="X516" s="29" t="inlineStr">
        <is>
          <t>Not found</t>
        </is>
      </c>
      <c r="Y516" s="29" t="inlineStr">
        <is>
          <t>Not found</t>
        </is>
      </c>
      <c r="Z516" s="29" t="inlineStr">
        <is>
          <t>Not found</t>
        </is>
      </c>
      <c r="AA516" s="29" t="inlineStr">
        <is>
          <t>Not found</t>
        </is>
      </c>
      <c r="AB516" s="29" t="inlineStr">
        <is>
          <t>Not found</t>
        </is>
      </c>
      <c r="AC516" s="29" t="inlineStr"/>
      <c r="AD516" s="29" t="inlineStr">
        <is>
          <t>Not found</t>
        </is>
      </c>
      <c r="AE516" s="29" t="inlineStr">
        <is>
          <t>Unknown</t>
        </is>
      </c>
      <c r="AF516" s="29" t="inlineStr"/>
      <c r="AG516" s="29" t="inlineStr">
        <is>
          <t>Unknown</t>
        </is>
      </c>
      <c r="AH516" s="29" t="inlineStr">
        <is>
          <t>Unknown</t>
        </is>
      </c>
      <c r="AI516" s="29" t="inlineStr">
        <is>
          <t>Searched source code for 'event', 'schedule', 'calendar', 'reminder', 'capacity', 'invite', 'notification' but found no implementation for this feature.</t>
        </is>
      </c>
      <c r="AJ516" s="29" t="inlineStr">
        <is>
          <t>Not verified</t>
        </is>
      </c>
      <c r="AK516" s="29" t="inlineStr"/>
      <c r="AL516" s="29" t="inlineStr"/>
      <c r="AM516" s="29" t="inlineStr"/>
      <c r="AN516" s="29" t="inlineStr"/>
      <c r="AO516" s="29" t="inlineStr">
        <is>
          <t>8bc0dcb2a1da1b21368c5536aaeef829d587f316</t>
        </is>
      </c>
      <c r="AP516" s="29" t="inlineStr">
        <is>
          <t>Low</t>
        </is>
      </c>
      <c r="AQ516" s="29" t="inlineStr">
        <is>
          <t>Not assessed</t>
        </is>
      </c>
      <c r="AR516" s="29" t="inlineStr">
        <is>
          <t>Not assessed</t>
        </is>
      </c>
      <c r="AS516" s="29" t="inlineStr">
        <is>
          <t>Not assessed</t>
        </is>
      </c>
      <c r="AT516" s="29" t="inlineStr">
        <is>
          <t>Not assessed</t>
        </is>
      </c>
      <c r="AU516" s="29" t="inlineStr">
        <is>
          <t>Not assessed</t>
        </is>
      </c>
      <c r="AV516" s="29" t="inlineStr">
        <is>
          <t>Not assessed</t>
        </is>
      </c>
      <c r="AW516" s="29" t="inlineStr">
        <is>
          <t>Not assessed</t>
        </is>
      </c>
      <c r="AX516" s="29" t="inlineStr">
        <is>
          <t>Not assessed</t>
        </is>
      </c>
      <c r="AY516" s="29" t="inlineStr">
        <is>
          <t>Not assessed</t>
        </is>
      </c>
      <c r="AZ516" s="29" t="inlineStr">
        <is>
          <t>Not assessed</t>
        </is>
      </c>
      <c r="BA516" s="29" t="inlineStr">
        <is>
          <t>Not assessed</t>
        </is>
      </c>
      <c r="BB516" s="29" t="inlineStr">
        <is>
          <t>Not assessed</t>
        </is>
      </c>
      <c r="BC516" s="29" t="inlineStr">
        <is>
          <t>Not assessed</t>
        </is>
      </c>
      <c r="BD516" s="29" t="inlineStr">
        <is>
          <t>Not assessed</t>
        </is>
      </c>
      <c r="BE516" s="29" t="inlineStr">
        <is>
          <t>Development required</t>
        </is>
      </c>
      <c r="BF516" s="29" t="inlineStr">
        <is>
          <t>Physical implementation is not complete against the stated requirement.; Searched source code for 'event', 'schedule', 'calendar', 'reminder', 'capacity', 'invite', 'notification' but found no implementation for this feature.</t>
        </is>
      </c>
      <c r="BG516" s="29" t="inlineStr">
        <is>
          <t>Source code implementation</t>
        </is>
      </c>
      <c r="BH516" s="29" t="inlineStr"/>
      <c r="BI516" s="29" t="inlineStr"/>
      <c r="BJ516" s="29" t="inlineStr"/>
      <c r="BK516" s="29" t="inlineStr">
        <is>
          <t>Evidence reconciled against the reviewed source revision. No production approval is inferred from implementation or file presence.</t>
        </is>
      </c>
      <c r="BL516" s="29" t="inlineStr">
        <is>
          <t>2026-08-02</t>
        </is>
      </c>
    </row>
    <row r="517" ht="42" customHeight="1">
      <c r="A517" s="29" t="inlineStr">
        <is>
          <t>BLYP-25-019</t>
        </is>
      </c>
      <c r="B517" s="29" t="inlineStr"/>
      <c r="C517" s="29" t="inlineStr">
        <is>
          <t>Events, scheduling, and calendar</t>
        </is>
      </c>
      <c r="D517" s="29" t="n">
        <v>25</v>
      </c>
      <c r="E517" s="29" t="n">
        <v>19</v>
      </c>
      <c r="F517" s="29" t="inlineStr">
        <is>
          <t>Feature</t>
        </is>
      </c>
      <c r="G517" s="29" t="inlineStr">
        <is>
          <t>Conversational reminder creation</t>
        </is>
      </c>
      <c r="H517" s="29" t="inlineStr">
        <is>
          <t>Conversational reminder creation</t>
        </is>
      </c>
      <c r="I517" s="29" t="inlineStr">
        <is>
          <t>/home/ubuntu/blyp_product_requirements.md :: Section 25 — Events, scheduling, and calendar</t>
        </is>
      </c>
      <c r="J517" s="29" t="inlineStr">
        <is>
          <t>/home/ubuntu/BLYP_COMPLETE_FEATURE_LIST.md:651</t>
        </is>
      </c>
      <c r="K517" s="29" t="inlineStr">
        <is>
          <t>Required</t>
        </is>
      </c>
      <c r="L517" s="29" t="inlineStr">
        <is>
          <t>Applicable BLYP member</t>
        </is>
      </c>
      <c r="M517" s="29" t="inlineStr">
        <is>
          <t>Production platform, service and operator controls</t>
        </is>
      </c>
      <c r="N517" s="29" t="inlineStr">
        <is>
          <t>Conversational reminder creation</t>
        </is>
      </c>
      <c r="O517" s="29" t="inlineStr">
        <is>
          <t>Not explicitly defined in the product source; requires accountable product approval before production sign-off.</t>
        </is>
      </c>
      <c r="P517" s="29" t="inlineStr"/>
      <c r="Q517" s="29" t="inlineStr">
        <is>
          <t>Yes</t>
        </is>
      </c>
      <c r="R517" s="29" t="inlineStr"/>
      <c r="S517" s="29" t="inlineStr">
        <is>
          <t>Not found</t>
        </is>
      </c>
      <c r="T517" s="29" t="inlineStr">
        <is>
          <t>Not found</t>
        </is>
      </c>
      <c r="U517" s="29" t="inlineStr">
        <is>
          <t>Not found</t>
        </is>
      </c>
      <c r="V517" s="29" t="inlineStr">
        <is>
          <t>Not found</t>
        </is>
      </c>
      <c r="W517" s="29" t="inlineStr">
        <is>
          <t>Not found</t>
        </is>
      </c>
      <c r="X517" s="29" t="inlineStr">
        <is>
          <t>Not found</t>
        </is>
      </c>
      <c r="Y517" s="29" t="inlineStr">
        <is>
          <t>Not found</t>
        </is>
      </c>
      <c r="Z517" s="29" t="inlineStr">
        <is>
          <t>Not found</t>
        </is>
      </c>
      <c r="AA517" s="29" t="inlineStr">
        <is>
          <t>Not found</t>
        </is>
      </c>
      <c r="AB517" s="29" t="inlineStr">
        <is>
          <t>Not found</t>
        </is>
      </c>
      <c r="AC517" s="29" t="inlineStr"/>
      <c r="AD517" s="29" t="inlineStr">
        <is>
          <t>Not found</t>
        </is>
      </c>
      <c r="AE517" s="29" t="inlineStr">
        <is>
          <t>Unknown</t>
        </is>
      </c>
      <c r="AF517" s="29" t="inlineStr"/>
      <c r="AG517" s="29" t="inlineStr">
        <is>
          <t>Unknown</t>
        </is>
      </c>
      <c r="AH517" s="29" t="inlineStr">
        <is>
          <t>Unknown</t>
        </is>
      </c>
      <c r="AI517" s="29" t="inlineStr">
        <is>
          <t>Searched source code for 'event', 'schedule', 'calendar', 'reminder', 'capacity', 'invite', 'notification' but found no implementation for this feature.</t>
        </is>
      </c>
      <c r="AJ517" s="29" t="inlineStr">
        <is>
          <t>Not verified</t>
        </is>
      </c>
      <c r="AK517" s="29" t="inlineStr"/>
      <c r="AL517" s="29" t="inlineStr"/>
      <c r="AM517" s="29" t="inlineStr"/>
      <c r="AN517" s="29" t="inlineStr"/>
      <c r="AO517" s="29" t="inlineStr">
        <is>
          <t>8bc0dcb2a1da1b21368c5536aaeef829d587f316</t>
        </is>
      </c>
      <c r="AP517" s="29" t="inlineStr">
        <is>
          <t>Low</t>
        </is>
      </c>
      <c r="AQ517" s="29" t="inlineStr">
        <is>
          <t>Not assessed</t>
        </is>
      </c>
      <c r="AR517" s="29" t="inlineStr">
        <is>
          <t>Not assessed</t>
        </is>
      </c>
      <c r="AS517" s="29" t="inlineStr">
        <is>
          <t>Not assessed</t>
        </is>
      </c>
      <c r="AT517" s="29" t="inlineStr">
        <is>
          <t>Not assessed</t>
        </is>
      </c>
      <c r="AU517" s="29" t="inlineStr">
        <is>
          <t>Not assessed</t>
        </is>
      </c>
      <c r="AV517" s="29" t="inlineStr">
        <is>
          <t>Not assessed</t>
        </is>
      </c>
      <c r="AW517" s="29" t="inlineStr">
        <is>
          <t>Not assessed</t>
        </is>
      </c>
      <c r="AX517" s="29" t="inlineStr">
        <is>
          <t>Not assessed</t>
        </is>
      </c>
      <c r="AY517" s="29" t="inlineStr">
        <is>
          <t>Not assessed</t>
        </is>
      </c>
      <c r="AZ517" s="29" t="inlineStr">
        <is>
          <t>Not assessed</t>
        </is>
      </c>
      <c r="BA517" s="29" t="inlineStr">
        <is>
          <t>Not assessed</t>
        </is>
      </c>
      <c r="BB517" s="29" t="inlineStr">
        <is>
          <t>Not assessed</t>
        </is>
      </c>
      <c r="BC517" s="29" t="inlineStr">
        <is>
          <t>Not assessed</t>
        </is>
      </c>
      <c r="BD517" s="29" t="inlineStr">
        <is>
          <t>Not assessed</t>
        </is>
      </c>
      <c r="BE517" s="29" t="inlineStr">
        <is>
          <t>Development required</t>
        </is>
      </c>
      <c r="BF517" s="29" t="inlineStr">
        <is>
          <t>Physical implementation is not complete against the stated requirement.; Searched source code for 'event', 'schedule', 'calendar', 'reminder', 'capacity', 'invite', 'notification' but found no implementation for this feature.</t>
        </is>
      </c>
      <c r="BG517" s="29" t="inlineStr">
        <is>
          <t>Source code implementation</t>
        </is>
      </c>
      <c r="BH517" s="29" t="inlineStr"/>
      <c r="BI517" s="29" t="inlineStr"/>
      <c r="BJ517" s="29" t="inlineStr"/>
      <c r="BK517" s="29" t="inlineStr">
        <is>
          <t>Evidence reconciled against the reviewed source revision. No production approval is inferred from implementation or file presence.</t>
        </is>
      </c>
      <c r="BL517" s="29" t="inlineStr">
        <is>
          <t>2026-08-02</t>
        </is>
      </c>
    </row>
    <row r="518" ht="42" customHeight="1">
      <c r="A518" s="29" t="inlineStr">
        <is>
          <t>BLYP-25-020</t>
        </is>
      </c>
      <c r="B518" s="29" t="inlineStr"/>
      <c r="C518" s="29" t="inlineStr">
        <is>
          <t>Events, scheduling, and calendar</t>
        </is>
      </c>
      <c r="D518" s="29" t="n">
        <v>25</v>
      </c>
      <c r="E518" s="29" t="n">
        <v>20</v>
      </c>
      <c r="F518" s="29" t="inlineStr">
        <is>
          <t>Feature</t>
        </is>
      </c>
      <c r="G518" s="29" t="inlineStr">
        <is>
          <t>Conversational event preparation</t>
        </is>
      </c>
      <c r="H518" s="29" t="inlineStr">
        <is>
          <t>Conversational event preparation</t>
        </is>
      </c>
      <c r="I518" s="29" t="inlineStr">
        <is>
          <t>/home/ubuntu/blyp_product_requirements.md :: Section 25 — Events, scheduling, and calendar</t>
        </is>
      </c>
      <c r="J518" s="29" t="inlineStr">
        <is>
          <t>/home/ubuntu/BLYP_COMPLETE_FEATURE_LIST.md:652</t>
        </is>
      </c>
      <c r="K518" s="29" t="inlineStr">
        <is>
          <t>Required</t>
        </is>
      </c>
      <c r="L518" s="29" t="inlineStr">
        <is>
          <t>Applicable BLYP member</t>
        </is>
      </c>
      <c r="M518" s="29" t="inlineStr">
        <is>
          <t>Production platform, service and operator controls</t>
        </is>
      </c>
      <c r="N518" s="29" t="inlineStr">
        <is>
          <t>Conversational event preparation</t>
        </is>
      </c>
      <c r="O518" s="29" t="inlineStr">
        <is>
          <t>Not explicitly defined in the product source; requires accountable product approval before production sign-off.</t>
        </is>
      </c>
      <c r="P518" s="29" t="inlineStr"/>
      <c r="Q518" s="29" t="inlineStr">
        <is>
          <t>Partial</t>
        </is>
      </c>
      <c r="R518" s="29" t="inlineStr"/>
      <c r="S518" s="29" t="inlineStr">
        <is>
          <t>Not found</t>
        </is>
      </c>
      <c r="T518" s="29" t="inlineStr">
        <is>
          <t>Not found</t>
        </is>
      </c>
      <c r="U518" s="29" t="inlineStr">
        <is>
          <t>Not found</t>
        </is>
      </c>
      <c r="V518" s="29" t="inlineStr">
        <is>
          <t>Not found</t>
        </is>
      </c>
      <c r="W518" s="29" t="inlineStr">
        <is>
          <t>Not found</t>
        </is>
      </c>
      <c r="X518" s="29" t="inlineStr">
        <is>
          <t>Not found</t>
        </is>
      </c>
      <c r="Y518" s="29" t="inlineStr">
        <is>
          <t>Not found</t>
        </is>
      </c>
      <c r="Z518" s="29" t="inlineStr">
        <is>
          <t>Not found</t>
        </is>
      </c>
      <c r="AA518" s="29" t="inlineStr">
        <is>
          <t>Not found</t>
        </is>
      </c>
      <c r="AB518" s="29" t="inlineStr">
        <is>
          <t>Not found</t>
        </is>
      </c>
      <c r="AC518" s="29" t="inlineStr"/>
      <c r="AD518" s="29" t="inlineStr">
        <is>
          <t>Not found</t>
        </is>
      </c>
      <c r="AE518" s="29" t="inlineStr">
        <is>
          <t>Unknown</t>
        </is>
      </c>
      <c r="AF518" s="29" t="inlineStr"/>
      <c r="AG518" s="29" t="inlineStr">
        <is>
          <t>Unknown</t>
        </is>
      </c>
      <c r="AH518" s="29" t="inlineStr">
        <is>
          <t>Unknown</t>
        </is>
      </c>
      <c r="AI518" s="29" t="inlineStr">
        <is>
          <t>Searched source code for 'event', 'schedule', 'calendar', 'reminder', 'capacity', 'invite', 'notification' but found no implementation for this feature.</t>
        </is>
      </c>
      <c r="AJ518" s="29" t="inlineStr">
        <is>
          <t>Not verified</t>
        </is>
      </c>
      <c r="AK518" s="29" t="inlineStr"/>
      <c r="AL518" s="29" t="inlineStr"/>
      <c r="AM518" s="29" t="inlineStr"/>
      <c r="AN518" s="29" t="inlineStr"/>
      <c r="AO518" s="29" t="inlineStr">
        <is>
          <t>8bc0dcb2a1da1b21368c5536aaeef829d587f316</t>
        </is>
      </c>
      <c r="AP518" s="29" t="inlineStr">
        <is>
          <t>Low</t>
        </is>
      </c>
      <c r="AQ518" s="29" t="inlineStr">
        <is>
          <t>Not assessed</t>
        </is>
      </c>
      <c r="AR518" s="29" t="inlineStr">
        <is>
          <t>Not assessed</t>
        </is>
      </c>
      <c r="AS518" s="29" t="inlineStr">
        <is>
          <t>Not assessed</t>
        </is>
      </c>
      <c r="AT518" s="29" t="inlineStr">
        <is>
          <t>Not assessed</t>
        </is>
      </c>
      <c r="AU518" s="29" t="inlineStr">
        <is>
          <t>Not assessed</t>
        </is>
      </c>
      <c r="AV518" s="29" t="inlineStr">
        <is>
          <t>Not assessed</t>
        </is>
      </c>
      <c r="AW518" s="29" t="inlineStr">
        <is>
          <t>Not assessed</t>
        </is>
      </c>
      <c r="AX518" s="29" t="inlineStr">
        <is>
          <t>Not assessed</t>
        </is>
      </c>
      <c r="AY518" s="29" t="inlineStr">
        <is>
          <t>Not assessed</t>
        </is>
      </c>
      <c r="AZ518" s="29" t="inlineStr">
        <is>
          <t>Not assessed</t>
        </is>
      </c>
      <c r="BA518" s="29" t="inlineStr">
        <is>
          <t>Not assessed</t>
        </is>
      </c>
      <c r="BB518" s="29" t="inlineStr">
        <is>
          <t>Not assessed</t>
        </is>
      </c>
      <c r="BC518" s="29" t="inlineStr">
        <is>
          <t>Not assessed</t>
        </is>
      </c>
      <c r="BD518" s="29" t="inlineStr">
        <is>
          <t>Not assessed</t>
        </is>
      </c>
      <c r="BE518" s="29" t="inlineStr">
        <is>
          <t>Development required</t>
        </is>
      </c>
      <c r="BF518" s="29" t="inlineStr">
        <is>
          <t>Physical implementation is not complete against the stated requirement.; Searched source code for 'event', 'schedule', 'calendar', 'reminder', 'capacity', 'invite', 'notification' but found no implementation for this feature.</t>
        </is>
      </c>
      <c r="BG518" s="29" t="inlineStr">
        <is>
          <t>Source code implementation</t>
        </is>
      </c>
      <c r="BH518" s="29" t="inlineStr"/>
      <c r="BI518" s="29" t="inlineStr"/>
      <c r="BJ518" s="29" t="inlineStr"/>
      <c r="BK518" s="29" t="inlineStr">
        <is>
          <t>Evidence reconciled against the reviewed source revision. No production approval is inferred from implementation or file presence.</t>
        </is>
      </c>
      <c r="BL518" s="29" t="inlineStr">
        <is>
          <t>2026-08-02</t>
        </is>
      </c>
    </row>
    <row r="519" ht="42" customHeight="1">
      <c r="A519" s="29" t="inlineStr">
        <is>
          <t>BLYP-25-021</t>
        </is>
      </c>
      <c r="B519" s="29" t="inlineStr"/>
      <c r="C519" s="29" t="inlineStr">
        <is>
          <t>Events, scheduling, and calendar</t>
        </is>
      </c>
      <c r="D519" s="29" t="n">
        <v>25</v>
      </c>
      <c r="E519" s="29" t="n">
        <v>21</v>
      </c>
      <c r="F519" s="29" t="inlineStr">
        <is>
          <t>Feature</t>
        </is>
      </c>
      <c r="G519" s="29" t="inlineStr">
        <is>
          <t>Confirmation before saving or publishing an event</t>
        </is>
      </c>
      <c r="H519" s="29" t="inlineStr">
        <is>
          <t>Confirmation before saving or publishing an event</t>
        </is>
      </c>
      <c r="I519" s="29" t="inlineStr">
        <is>
          <t>/home/ubuntu/blyp_product_requirements.md :: Section 25 — Events, scheduling, and calendar</t>
        </is>
      </c>
      <c r="J519" s="29" t="inlineStr">
        <is>
          <t>/home/ubuntu/BLYP_COMPLETE_FEATURE_LIST.md:653</t>
        </is>
      </c>
      <c r="K519" s="29" t="inlineStr">
        <is>
          <t>Required</t>
        </is>
      </c>
      <c r="L519" s="29" t="inlineStr">
        <is>
          <t>Authenticated creator or host</t>
        </is>
      </c>
      <c r="M519" s="29" t="inlineStr">
        <is>
          <t>Production platform, service and operator controls</t>
        </is>
      </c>
      <c r="N519" s="29" t="inlineStr">
        <is>
          <t>Confirmation before saving or publishing an event</t>
        </is>
      </c>
      <c r="O519" s="29" t="inlineStr">
        <is>
          <t>Not explicitly defined in the product source; requires accountable product approval before production sign-off.</t>
        </is>
      </c>
      <c r="P519" s="29" t="inlineStr"/>
      <c r="Q519" s="29" t="inlineStr">
        <is>
          <t>Partial</t>
        </is>
      </c>
      <c r="R519" s="29" t="inlineStr"/>
      <c r="S519" s="29" t="inlineStr">
        <is>
          <t>Not found</t>
        </is>
      </c>
      <c r="T519" s="29" t="inlineStr">
        <is>
          <t>Not found</t>
        </is>
      </c>
      <c r="U519" s="29" t="inlineStr">
        <is>
          <t>Not found</t>
        </is>
      </c>
      <c r="V519" s="29" t="inlineStr">
        <is>
          <t>Not found</t>
        </is>
      </c>
      <c r="W519" s="29" t="inlineStr">
        <is>
          <t>Not found</t>
        </is>
      </c>
      <c r="X519" s="29" t="inlineStr">
        <is>
          <t>Not found</t>
        </is>
      </c>
      <c r="Y519" s="29" t="inlineStr">
        <is>
          <t>Not found</t>
        </is>
      </c>
      <c r="Z519" s="29" t="inlineStr">
        <is>
          <t>Not found</t>
        </is>
      </c>
      <c r="AA519" s="29" t="inlineStr">
        <is>
          <t>Not found</t>
        </is>
      </c>
      <c r="AB519" s="29" t="inlineStr">
        <is>
          <t>Not found</t>
        </is>
      </c>
      <c r="AC519" s="29" t="inlineStr"/>
      <c r="AD519" s="29" t="inlineStr">
        <is>
          <t>Not found</t>
        </is>
      </c>
      <c r="AE519" s="29" t="inlineStr">
        <is>
          <t>Unknown</t>
        </is>
      </c>
      <c r="AF519" s="29" t="inlineStr"/>
      <c r="AG519" s="29" t="inlineStr">
        <is>
          <t>Unknown</t>
        </is>
      </c>
      <c r="AH519" s="29" t="inlineStr">
        <is>
          <t>Unknown</t>
        </is>
      </c>
      <c r="AI519" s="29" t="inlineStr">
        <is>
          <t>Searched source code for 'event', 'schedule', 'calendar', 'reminder', 'capacity', 'invite', 'notification' but found no implementation for this feature.</t>
        </is>
      </c>
      <c r="AJ519" s="29" t="inlineStr">
        <is>
          <t>Not verified</t>
        </is>
      </c>
      <c r="AK519" s="29" t="inlineStr"/>
      <c r="AL519" s="29" t="inlineStr"/>
      <c r="AM519" s="29" t="inlineStr"/>
      <c r="AN519" s="29" t="inlineStr"/>
      <c r="AO519" s="29" t="inlineStr">
        <is>
          <t>8bc0dcb2a1da1b21368c5536aaeef829d587f316</t>
        </is>
      </c>
      <c r="AP519" s="29" t="inlineStr">
        <is>
          <t>Low</t>
        </is>
      </c>
      <c r="AQ519" s="29" t="inlineStr">
        <is>
          <t>Not assessed</t>
        </is>
      </c>
      <c r="AR519" s="29" t="inlineStr">
        <is>
          <t>Not assessed</t>
        </is>
      </c>
      <c r="AS519" s="29" t="inlineStr">
        <is>
          <t>Not assessed</t>
        </is>
      </c>
      <c r="AT519" s="29" t="inlineStr">
        <is>
          <t>Not assessed</t>
        </is>
      </c>
      <c r="AU519" s="29" t="inlineStr">
        <is>
          <t>Not assessed</t>
        </is>
      </c>
      <c r="AV519" s="29" t="inlineStr">
        <is>
          <t>Not assessed</t>
        </is>
      </c>
      <c r="AW519" s="29" t="inlineStr">
        <is>
          <t>Not assessed</t>
        </is>
      </c>
      <c r="AX519" s="29" t="inlineStr">
        <is>
          <t>Not assessed</t>
        </is>
      </c>
      <c r="AY519" s="29" t="inlineStr">
        <is>
          <t>Not assessed</t>
        </is>
      </c>
      <c r="AZ519" s="29" t="inlineStr">
        <is>
          <t>Not assessed</t>
        </is>
      </c>
      <c r="BA519" s="29" t="inlineStr">
        <is>
          <t>Not assessed</t>
        </is>
      </c>
      <c r="BB519" s="29" t="inlineStr">
        <is>
          <t>Not assessed</t>
        </is>
      </c>
      <c r="BC519" s="29" t="inlineStr">
        <is>
          <t>Not assessed</t>
        </is>
      </c>
      <c r="BD519" s="29" t="inlineStr">
        <is>
          <t>Not assessed</t>
        </is>
      </c>
      <c r="BE519" s="29" t="inlineStr">
        <is>
          <t>Development required</t>
        </is>
      </c>
      <c r="BF519" s="29" t="inlineStr">
        <is>
          <t>Physical implementation is not complete against the stated requirement.; Searched source code for 'event', 'schedule', 'calendar', 'reminder', 'capacity', 'invite', 'notification' but found no implementation for this feature.</t>
        </is>
      </c>
      <c r="BG519" s="29" t="inlineStr">
        <is>
          <t>Source code implementation</t>
        </is>
      </c>
      <c r="BH519" s="29" t="inlineStr"/>
      <c r="BI519" s="29" t="inlineStr"/>
      <c r="BJ519" s="29" t="inlineStr"/>
      <c r="BK519" s="29" t="inlineStr">
        <is>
          <t>Evidence reconciled against the reviewed source revision. No production approval is inferred from implementation or file presence.</t>
        </is>
      </c>
      <c r="BL519" s="29" t="inlineStr">
        <is>
          <t>2026-08-02</t>
        </is>
      </c>
    </row>
    <row r="520" ht="42" customHeight="1">
      <c r="A520" s="29" t="inlineStr">
        <is>
          <t>BLYP-26-001</t>
        </is>
      </c>
      <c r="B520" s="29" t="inlineStr"/>
      <c r="C520" s="29" t="inlineStr">
        <is>
          <t>Content rights, music, and reuse</t>
        </is>
      </c>
      <c r="D520" s="29" t="n">
        <v>26</v>
      </c>
      <c r="E520" s="29" t="n">
        <v>1</v>
      </c>
      <c r="F520" s="29" t="inlineStr">
        <is>
          <t>Rule</t>
        </is>
      </c>
      <c r="G520" s="29" t="inlineStr">
        <is>
          <t>Download permission control</t>
        </is>
      </c>
      <c r="H520" s="29" t="inlineStr">
        <is>
          <t>Download permission control</t>
        </is>
      </c>
      <c r="I520" s="29" t="inlineStr">
        <is>
          <t>/home/ubuntu/blyp_product_requirements.md :: Section 26 — Content rights, music, and reuse</t>
        </is>
      </c>
      <c r="J520" s="29" t="inlineStr">
        <is>
          <t>/home/ubuntu/BLYP_COMPLETE_FEATURE_LIST.md:659</t>
        </is>
      </c>
      <c r="K520" s="29" t="inlineStr">
        <is>
          <t>Required</t>
        </is>
      </c>
      <c r="L520" s="29" t="inlineStr">
        <is>
          <t>Applicable BLYP member</t>
        </is>
      </c>
      <c r="M520" s="29" t="inlineStr">
        <is>
          <t>BLYP mobile application and supporting production services</t>
        </is>
      </c>
      <c r="N520" s="29" t="inlineStr">
        <is>
          <t>Download permission control</t>
        </is>
      </c>
      <c r="O520" s="29" t="inlineStr">
        <is>
          <t>Not explicitly defined in the product source; requires accountable product approval before production sign-off.</t>
        </is>
      </c>
      <c r="P520" s="29" t="inlineStr"/>
      <c r="Q520" s="29" t="inlineStr">
        <is>
          <t>No evidence</t>
        </is>
      </c>
      <c r="R520" s="29" t="inlineStr"/>
      <c r="S520" s="29" t="inlineStr">
        <is>
          <t>Not found</t>
        </is>
      </c>
      <c r="T520" s="29" t="inlineStr">
        <is>
          <t>Unknown</t>
        </is>
      </c>
      <c r="U520" s="29" t="inlineStr">
        <is>
          <t>Unknown</t>
        </is>
      </c>
      <c r="V520" s="29" t="inlineStr">
        <is>
          <t>Unknown</t>
        </is>
      </c>
      <c r="W520" s="29" t="inlineStr">
        <is>
          <t>Unknown</t>
        </is>
      </c>
      <c r="X520" s="29" t="inlineStr">
        <is>
          <t>Unknown</t>
        </is>
      </c>
      <c r="Y520" s="29" t="inlineStr">
        <is>
          <t>Unknown</t>
        </is>
      </c>
      <c r="Z520" s="29" t="inlineStr">
        <is>
          <t>Unknown</t>
        </is>
      </c>
      <c r="AA520" s="29" t="inlineStr">
        <is>
          <t>Unknown</t>
        </is>
      </c>
      <c r="AB520" s="29" t="inlineStr">
        <is>
          <t>Unknown</t>
        </is>
      </c>
      <c r="AC520" s="29" t="inlineStr"/>
      <c r="AD520" s="29" t="inlineStr">
        <is>
          <t>Unknown</t>
        </is>
      </c>
      <c r="AE520" s="29" t="inlineStr">
        <is>
          <t>Unknown</t>
        </is>
      </c>
      <c r="AF520" s="29" t="inlineStr"/>
      <c r="AG520" s="29" t="inlineStr">
        <is>
          <t>Unknown</t>
        </is>
      </c>
      <c r="AH520" s="29" t="inlineStr">
        <is>
          <t>Unknown</t>
        </is>
      </c>
      <c r="AI520" s="29" t="inlineStr">
        <is>
          <t>Searched for music, audio, copyright, infringement, takedown, reuse, remix in source code and found no implementation.</t>
        </is>
      </c>
      <c r="AJ520" s="29" t="inlineStr">
        <is>
          <t>Not verified</t>
        </is>
      </c>
      <c r="AK520" s="29" t="inlineStr"/>
      <c r="AL520" s="29" t="inlineStr"/>
      <c r="AM520" s="29" t="inlineStr"/>
      <c r="AN520" s="29" t="inlineStr"/>
      <c r="AO520" s="29" t="inlineStr">
        <is>
          <t>8bc0dcb2a1da1b21368c5536aaeef829d587f316</t>
        </is>
      </c>
      <c r="AP520" s="29" t="inlineStr">
        <is>
          <t>Low</t>
        </is>
      </c>
      <c r="AQ520" s="29" t="inlineStr">
        <is>
          <t>Not assessed</t>
        </is>
      </c>
      <c r="AR520" s="29" t="inlineStr">
        <is>
          <t>Not assessed</t>
        </is>
      </c>
      <c r="AS520" s="29" t="inlineStr">
        <is>
          <t>Not assessed</t>
        </is>
      </c>
      <c r="AT520" s="29" t="inlineStr">
        <is>
          <t>Not assessed</t>
        </is>
      </c>
      <c r="AU520" s="29" t="inlineStr">
        <is>
          <t>Not assessed</t>
        </is>
      </c>
      <c r="AV520" s="29" t="inlineStr">
        <is>
          <t>Not assessed</t>
        </is>
      </c>
      <c r="AW520" s="29" t="inlineStr">
        <is>
          <t>Not assessed</t>
        </is>
      </c>
      <c r="AX520" s="29" t="inlineStr">
        <is>
          <t>Not assessed</t>
        </is>
      </c>
      <c r="AY520" s="29" t="inlineStr">
        <is>
          <t>Not assessed</t>
        </is>
      </c>
      <c r="AZ520" s="29" t="inlineStr">
        <is>
          <t>Not assessed</t>
        </is>
      </c>
      <c r="BA520" s="29" t="inlineStr">
        <is>
          <t>Not assessed</t>
        </is>
      </c>
      <c r="BB520" s="29" t="inlineStr">
        <is>
          <t>Not assessed</t>
        </is>
      </c>
      <c r="BC520" s="29" t="inlineStr">
        <is>
          <t>Not assessed</t>
        </is>
      </c>
      <c r="BD520" s="29" t="inlineStr">
        <is>
          <t>Not assessed</t>
        </is>
      </c>
      <c r="BE520" s="29" t="inlineStr">
        <is>
          <t>Development required</t>
        </is>
      </c>
      <c r="BF520" s="29" t="inlineStr">
        <is>
          <t>Physical implementation is not complete against the stated requirement.; Searched for music, audio, copyright, infringement, takedown, reuse, remix in source code and found no implementation.</t>
        </is>
      </c>
      <c r="BG520" s="29" t="inlineStr">
        <is>
          <t>Unknown</t>
        </is>
      </c>
      <c r="BH520" s="29" t="inlineStr"/>
      <c r="BI520" s="29" t="inlineStr"/>
      <c r="BJ520" s="29" t="inlineStr"/>
      <c r="BK520" s="29" t="inlineStr">
        <is>
          <t>Evidence reconciled against the reviewed source revision. No production approval is inferred from implementation or file presence.</t>
        </is>
      </c>
      <c r="BL520" s="29" t="inlineStr">
        <is>
          <t>2026-08-02</t>
        </is>
      </c>
    </row>
    <row r="521" ht="42" customHeight="1">
      <c r="A521" s="29" t="inlineStr">
        <is>
          <t>BLYP-26-002</t>
        </is>
      </c>
      <c r="B521" s="29" t="inlineStr"/>
      <c r="C521" s="29" t="inlineStr">
        <is>
          <t>Content rights, music, and reuse</t>
        </is>
      </c>
      <c r="D521" s="29" t="n">
        <v>26</v>
      </c>
      <c r="E521" s="29" t="n">
        <v>2</v>
      </c>
      <c r="F521" s="29" t="inlineStr">
        <is>
          <t>Rule</t>
        </is>
      </c>
      <c r="G521" s="29" t="inlineStr">
        <is>
          <t>External-share permission control</t>
        </is>
      </c>
      <c r="H521" s="29" t="inlineStr">
        <is>
          <t>External-share permission control</t>
        </is>
      </c>
      <c r="I521" s="29" t="inlineStr">
        <is>
          <t>/home/ubuntu/blyp_product_requirements.md :: Section 26 — Content rights, music, and reuse</t>
        </is>
      </c>
      <c r="J521" s="29" t="inlineStr">
        <is>
          <t>/home/ubuntu/BLYP_COMPLETE_FEATURE_LIST.md:660</t>
        </is>
      </c>
      <c r="K521" s="29" t="inlineStr">
        <is>
          <t>Required</t>
        </is>
      </c>
      <c r="L521" s="29" t="inlineStr">
        <is>
          <t>Applicable BLYP member</t>
        </is>
      </c>
      <c r="M521" s="29" t="inlineStr">
        <is>
          <t>BLYP mobile application and supporting production services</t>
        </is>
      </c>
      <c r="N521" s="29" t="inlineStr">
        <is>
          <t>External-share permission control</t>
        </is>
      </c>
      <c r="O521" s="29" t="inlineStr">
        <is>
          <t>Not explicitly defined in the product source; requires accountable product approval before production sign-off.</t>
        </is>
      </c>
      <c r="P521" s="29" t="inlineStr"/>
      <c r="Q521" s="29" t="inlineStr">
        <is>
          <t>No evidence</t>
        </is>
      </c>
      <c r="R521" s="29" t="inlineStr"/>
      <c r="S521" s="29" t="inlineStr">
        <is>
          <t>Not found</t>
        </is>
      </c>
      <c r="T521" s="29" t="inlineStr">
        <is>
          <t>Unknown</t>
        </is>
      </c>
      <c r="U521" s="29" t="inlineStr">
        <is>
          <t>Unknown</t>
        </is>
      </c>
      <c r="V521" s="29" t="inlineStr">
        <is>
          <t>Unknown</t>
        </is>
      </c>
      <c r="W521" s="29" t="inlineStr">
        <is>
          <t>Unknown</t>
        </is>
      </c>
      <c r="X521" s="29" t="inlineStr">
        <is>
          <t>Unknown</t>
        </is>
      </c>
      <c r="Y521" s="29" t="inlineStr">
        <is>
          <t>Unknown</t>
        </is>
      </c>
      <c r="Z521" s="29" t="inlineStr">
        <is>
          <t>Unknown</t>
        </is>
      </c>
      <c r="AA521" s="29" t="inlineStr">
        <is>
          <t>Unknown</t>
        </is>
      </c>
      <c r="AB521" s="29" t="inlineStr">
        <is>
          <t>Unknown</t>
        </is>
      </c>
      <c r="AC521" s="29" t="inlineStr"/>
      <c r="AD521" s="29" t="inlineStr">
        <is>
          <t>Unknown</t>
        </is>
      </c>
      <c r="AE521" s="29" t="inlineStr">
        <is>
          <t>Unknown</t>
        </is>
      </c>
      <c r="AF521" s="29" t="inlineStr"/>
      <c r="AG521" s="29" t="inlineStr">
        <is>
          <t>Unknown</t>
        </is>
      </c>
      <c r="AH521" s="29" t="inlineStr">
        <is>
          <t>Unknown</t>
        </is>
      </c>
      <c r="AI521" s="29" t="inlineStr">
        <is>
          <t>Searched for music, audio, copyright, infringement, takedown, reuse, remix in source code and found no implementation.</t>
        </is>
      </c>
      <c r="AJ521" s="29" t="inlineStr">
        <is>
          <t>Not verified</t>
        </is>
      </c>
      <c r="AK521" s="29" t="inlineStr"/>
      <c r="AL521" s="29" t="inlineStr"/>
      <c r="AM521" s="29" t="inlineStr"/>
      <c r="AN521" s="29" t="inlineStr"/>
      <c r="AO521" s="29" t="inlineStr">
        <is>
          <t>8bc0dcb2a1da1b21368c5536aaeef829d587f316</t>
        </is>
      </c>
      <c r="AP521" s="29" t="inlineStr">
        <is>
          <t>Low</t>
        </is>
      </c>
      <c r="AQ521" s="29" t="inlineStr">
        <is>
          <t>Not assessed</t>
        </is>
      </c>
      <c r="AR521" s="29" t="inlineStr">
        <is>
          <t>Not assessed</t>
        </is>
      </c>
      <c r="AS521" s="29" t="inlineStr">
        <is>
          <t>Not assessed</t>
        </is>
      </c>
      <c r="AT521" s="29" t="inlineStr">
        <is>
          <t>Not assessed</t>
        </is>
      </c>
      <c r="AU521" s="29" t="inlineStr">
        <is>
          <t>Not assessed</t>
        </is>
      </c>
      <c r="AV521" s="29" t="inlineStr">
        <is>
          <t>Not assessed</t>
        </is>
      </c>
      <c r="AW521" s="29" t="inlineStr">
        <is>
          <t>Not assessed</t>
        </is>
      </c>
      <c r="AX521" s="29" t="inlineStr">
        <is>
          <t>Not assessed</t>
        </is>
      </c>
      <c r="AY521" s="29" t="inlineStr">
        <is>
          <t>Not assessed</t>
        </is>
      </c>
      <c r="AZ521" s="29" t="inlineStr">
        <is>
          <t>Not assessed</t>
        </is>
      </c>
      <c r="BA521" s="29" t="inlineStr">
        <is>
          <t>Not assessed</t>
        </is>
      </c>
      <c r="BB521" s="29" t="inlineStr">
        <is>
          <t>Not assessed</t>
        </is>
      </c>
      <c r="BC521" s="29" t="inlineStr">
        <is>
          <t>Not assessed</t>
        </is>
      </c>
      <c r="BD521" s="29" t="inlineStr">
        <is>
          <t>Not assessed</t>
        </is>
      </c>
      <c r="BE521" s="29" t="inlineStr">
        <is>
          <t>Development required</t>
        </is>
      </c>
      <c r="BF521" s="29" t="inlineStr">
        <is>
          <t>Physical implementation is not complete against the stated requirement.; Searched for music, audio, copyright, infringement, takedown, reuse, remix in source code and found no implementation.</t>
        </is>
      </c>
      <c r="BG521" s="29" t="inlineStr">
        <is>
          <t>Unknown</t>
        </is>
      </c>
      <c r="BH521" s="29" t="inlineStr"/>
      <c r="BI521" s="29" t="inlineStr"/>
      <c r="BJ521" s="29" t="inlineStr"/>
      <c r="BK521" s="29" t="inlineStr">
        <is>
          <t>Evidence reconciled against the reviewed source revision. No production approval is inferred from implementation or file presence.</t>
        </is>
      </c>
      <c r="BL521" s="29" t="inlineStr">
        <is>
          <t>2026-08-02</t>
        </is>
      </c>
    </row>
    <row r="522" ht="42" customHeight="1">
      <c r="A522" s="29" t="inlineStr">
        <is>
          <t>BLYP-26-003</t>
        </is>
      </c>
      <c r="B522" s="29" t="inlineStr"/>
      <c r="C522" s="29" t="inlineStr">
        <is>
          <t>Content rights, music, and reuse</t>
        </is>
      </c>
      <c r="D522" s="29" t="n">
        <v>26</v>
      </c>
      <c r="E522" s="29" t="n">
        <v>3</v>
      </c>
      <c r="F522" s="29" t="inlineStr">
        <is>
          <t>Rule</t>
        </is>
      </c>
      <c r="G522" s="29" t="inlineStr">
        <is>
          <t>Clip permission control</t>
        </is>
      </c>
      <c r="H522" s="29" t="inlineStr">
        <is>
          <t>Clip permission control</t>
        </is>
      </c>
      <c r="I522" s="29" t="inlineStr">
        <is>
          <t>/home/ubuntu/blyp_product_requirements.md :: Section 26 — Content rights, music, and reuse</t>
        </is>
      </c>
      <c r="J522" s="29" t="inlineStr">
        <is>
          <t>/home/ubuntu/BLYP_COMPLETE_FEATURE_LIST.md:661</t>
        </is>
      </c>
      <c r="K522" s="29" t="inlineStr">
        <is>
          <t>Required</t>
        </is>
      </c>
      <c r="L522" s="29" t="inlineStr">
        <is>
          <t>Applicable BLYP member</t>
        </is>
      </c>
      <c r="M522" s="29" t="inlineStr">
        <is>
          <t>BLYP mobile application and supporting production services</t>
        </is>
      </c>
      <c r="N522" s="29" t="inlineStr">
        <is>
          <t>Clip permission control</t>
        </is>
      </c>
      <c r="O522" s="29" t="inlineStr">
        <is>
          <t>Not explicitly defined in the product source; requires accountable product approval before production sign-off.</t>
        </is>
      </c>
      <c r="P522" s="29" t="inlineStr"/>
      <c r="Q522" s="29" t="inlineStr">
        <is>
          <t>No evidence</t>
        </is>
      </c>
      <c r="R522" s="29" t="inlineStr"/>
      <c r="S522" s="29" t="inlineStr">
        <is>
          <t>Not found</t>
        </is>
      </c>
      <c r="T522" s="29" t="inlineStr">
        <is>
          <t>Unknown</t>
        </is>
      </c>
      <c r="U522" s="29" t="inlineStr">
        <is>
          <t>Unknown</t>
        </is>
      </c>
      <c r="V522" s="29" t="inlineStr">
        <is>
          <t>Unknown</t>
        </is>
      </c>
      <c r="W522" s="29" t="inlineStr">
        <is>
          <t>Unknown</t>
        </is>
      </c>
      <c r="X522" s="29" t="inlineStr">
        <is>
          <t>Unknown</t>
        </is>
      </c>
      <c r="Y522" s="29" t="inlineStr">
        <is>
          <t>Unknown</t>
        </is>
      </c>
      <c r="Z522" s="29" t="inlineStr">
        <is>
          <t>Unknown</t>
        </is>
      </c>
      <c r="AA522" s="29" t="inlineStr">
        <is>
          <t>Unknown</t>
        </is>
      </c>
      <c r="AB522" s="29" t="inlineStr">
        <is>
          <t>Unknown</t>
        </is>
      </c>
      <c r="AC522" s="29" t="inlineStr"/>
      <c r="AD522" s="29" t="inlineStr">
        <is>
          <t>Unknown</t>
        </is>
      </c>
      <c r="AE522" s="29" t="inlineStr">
        <is>
          <t>Unknown</t>
        </is>
      </c>
      <c r="AF522" s="29" t="inlineStr"/>
      <c r="AG522" s="29" t="inlineStr">
        <is>
          <t>Unknown</t>
        </is>
      </c>
      <c r="AH522" s="29" t="inlineStr">
        <is>
          <t>Unknown</t>
        </is>
      </c>
      <c r="AI522" s="29" t="inlineStr">
        <is>
          <t>Searched for music, audio, copyright, infringement, takedown, reuse, remix in source code and found no implementation.</t>
        </is>
      </c>
      <c r="AJ522" s="29" t="inlineStr">
        <is>
          <t>Not verified</t>
        </is>
      </c>
      <c r="AK522" s="29" t="inlineStr"/>
      <c r="AL522" s="29" t="inlineStr"/>
      <c r="AM522" s="29" t="inlineStr"/>
      <c r="AN522" s="29" t="inlineStr"/>
      <c r="AO522" s="29" t="inlineStr">
        <is>
          <t>8bc0dcb2a1da1b21368c5536aaeef829d587f316</t>
        </is>
      </c>
      <c r="AP522" s="29" t="inlineStr">
        <is>
          <t>Low</t>
        </is>
      </c>
      <c r="AQ522" s="29" t="inlineStr">
        <is>
          <t>Not assessed</t>
        </is>
      </c>
      <c r="AR522" s="29" t="inlineStr">
        <is>
          <t>Not assessed</t>
        </is>
      </c>
      <c r="AS522" s="29" t="inlineStr">
        <is>
          <t>Not assessed</t>
        </is>
      </c>
      <c r="AT522" s="29" t="inlineStr">
        <is>
          <t>Not assessed</t>
        </is>
      </c>
      <c r="AU522" s="29" t="inlineStr">
        <is>
          <t>Not assessed</t>
        </is>
      </c>
      <c r="AV522" s="29" t="inlineStr">
        <is>
          <t>Not assessed</t>
        </is>
      </c>
      <c r="AW522" s="29" t="inlineStr">
        <is>
          <t>Not assessed</t>
        </is>
      </c>
      <c r="AX522" s="29" t="inlineStr">
        <is>
          <t>Not assessed</t>
        </is>
      </c>
      <c r="AY522" s="29" t="inlineStr">
        <is>
          <t>Not assessed</t>
        </is>
      </c>
      <c r="AZ522" s="29" t="inlineStr">
        <is>
          <t>Not assessed</t>
        </is>
      </c>
      <c r="BA522" s="29" t="inlineStr">
        <is>
          <t>Not assessed</t>
        </is>
      </c>
      <c r="BB522" s="29" t="inlineStr">
        <is>
          <t>Not assessed</t>
        </is>
      </c>
      <c r="BC522" s="29" t="inlineStr">
        <is>
          <t>Not assessed</t>
        </is>
      </c>
      <c r="BD522" s="29" t="inlineStr">
        <is>
          <t>Not assessed</t>
        </is>
      </c>
      <c r="BE522" s="29" t="inlineStr">
        <is>
          <t>Development required</t>
        </is>
      </c>
      <c r="BF522" s="29" t="inlineStr">
        <is>
          <t>Physical implementation is not complete against the stated requirement.; Searched for music, audio, copyright, infringement, takedown, reuse, remix in source code and found no implementation.</t>
        </is>
      </c>
      <c r="BG522" s="29" t="inlineStr">
        <is>
          <t>Unknown</t>
        </is>
      </c>
      <c r="BH522" s="29" t="inlineStr"/>
      <c r="BI522" s="29" t="inlineStr"/>
      <c r="BJ522" s="29" t="inlineStr"/>
      <c r="BK522" s="29" t="inlineStr">
        <is>
          <t>Evidence reconciled against the reviewed source revision. No production approval is inferred from implementation or file presence.</t>
        </is>
      </c>
      <c r="BL522" s="29" t="inlineStr">
        <is>
          <t>2026-08-02</t>
        </is>
      </c>
    </row>
    <row r="523" ht="42" customHeight="1">
      <c r="A523" s="29" t="inlineStr">
        <is>
          <t>BLYP-26-004</t>
        </is>
      </c>
      <c r="B523" s="29" t="inlineStr"/>
      <c r="C523" s="29" t="inlineStr">
        <is>
          <t>Content rights, music, and reuse</t>
        </is>
      </c>
      <c r="D523" s="29" t="n">
        <v>26</v>
      </c>
      <c r="E523" s="29" t="n">
        <v>4</v>
      </c>
      <c r="F523" s="29" t="inlineStr">
        <is>
          <t>Rule</t>
        </is>
      </c>
      <c r="G523" s="29" t="inlineStr">
        <is>
          <t>Quote permission control</t>
        </is>
      </c>
      <c r="H523" s="29" t="inlineStr">
        <is>
          <t>Quote permission control</t>
        </is>
      </c>
      <c r="I523" s="29" t="inlineStr">
        <is>
          <t>/home/ubuntu/blyp_product_requirements.md :: Section 26 — Content rights, music, and reuse</t>
        </is>
      </c>
      <c r="J523" s="29" t="inlineStr">
        <is>
          <t>/home/ubuntu/BLYP_COMPLETE_FEATURE_LIST.md:662</t>
        </is>
      </c>
      <c r="K523" s="29" t="inlineStr">
        <is>
          <t>Required</t>
        </is>
      </c>
      <c r="L523" s="29" t="inlineStr">
        <is>
          <t>Applicable BLYP member</t>
        </is>
      </c>
      <c r="M523" s="29" t="inlineStr">
        <is>
          <t>BLYP mobile application and supporting production services</t>
        </is>
      </c>
      <c r="N523" s="29" t="inlineStr">
        <is>
          <t>Quote permission control</t>
        </is>
      </c>
      <c r="O523" s="29" t="inlineStr">
        <is>
          <t>Not explicitly defined in the product source; requires accountable product approval before production sign-off.</t>
        </is>
      </c>
      <c r="P523" s="29" t="inlineStr"/>
      <c r="Q523" s="29" t="inlineStr">
        <is>
          <t>No evidence</t>
        </is>
      </c>
      <c r="R523" s="29" t="inlineStr"/>
      <c r="S523" s="29" t="inlineStr">
        <is>
          <t>Not found</t>
        </is>
      </c>
      <c r="T523" s="29" t="inlineStr">
        <is>
          <t>Unknown</t>
        </is>
      </c>
      <c r="U523" s="29" t="inlineStr">
        <is>
          <t>Unknown</t>
        </is>
      </c>
      <c r="V523" s="29" t="inlineStr">
        <is>
          <t>Unknown</t>
        </is>
      </c>
      <c r="W523" s="29" t="inlineStr">
        <is>
          <t>Unknown</t>
        </is>
      </c>
      <c r="X523" s="29" t="inlineStr">
        <is>
          <t>Unknown</t>
        </is>
      </c>
      <c r="Y523" s="29" t="inlineStr">
        <is>
          <t>Unknown</t>
        </is>
      </c>
      <c r="Z523" s="29" t="inlineStr">
        <is>
          <t>Unknown</t>
        </is>
      </c>
      <c r="AA523" s="29" t="inlineStr">
        <is>
          <t>Unknown</t>
        </is>
      </c>
      <c r="AB523" s="29" t="inlineStr">
        <is>
          <t>Unknown</t>
        </is>
      </c>
      <c r="AC523" s="29" t="inlineStr"/>
      <c r="AD523" s="29" t="inlineStr">
        <is>
          <t>Unknown</t>
        </is>
      </c>
      <c r="AE523" s="29" t="inlineStr">
        <is>
          <t>Unknown</t>
        </is>
      </c>
      <c r="AF523" s="29" t="inlineStr"/>
      <c r="AG523" s="29" t="inlineStr">
        <is>
          <t>Unknown</t>
        </is>
      </c>
      <c r="AH523" s="29" t="inlineStr">
        <is>
          <t>Unknown</t>
        </is>
      </c>
      <c r="AI523" s="29" t="inlineStr">
        <is>
          <t>Searched for music, audio, copyright, infringement, takedown, reuse, remix in source code and found no implementation.</t>
        </is>
      </c>
      <c r="AJ523" s="29" t="inlineStr">
        <is>
          <t>Not verified</t>
        </is>
      </c>
      <c r="AK523" s="29" t="inlineStr"/>
      <c r="AL523" s="29" t="inlineStr"/>
      <c r="AM523" s="29" t="inlineStr"/>
      <c r="AN523" s="29" t="inlineStr"/>
      <c r="AO523" s="29" t="inlineStr">
        <is>
          <t>8bc0dcb2a1da1b21368c5536aaeef829d587f316</t>
        </is>
      </c>
      <c r="AP523" s="29" t="inlineStr">
        <is>
          <t>Low</t>
        </is>
      </c>
      <c r="AQ523" s="29" t="inlineStr">
        <is>
          <t>Not assessed</t>
        </is>
      </c>
      <c r="AR523" s="29" t="inlineStr">
        <is>
          <t>Not assessed</t>
        </is>
      </c>
      <c r="AS523" s="29" t="inlineStr">
        <is>
          <t>Not assessed</t>
        </is>
      </c>
      <c r="AT523" s="29" t="inlineStr">
        <is>
          <t>Not assessed</t>
        </is>
      </c>
      <c r="AU523" s="29" t="inlineStr">
        <is>
          <t>Not assessed</t>
        </is>
      </c>
      <c r="AV523" s="29" t="inlineStr">
        <is>
          <t>Not assessed</t>
        </is>
      </c>
      <c r="AW523" s="29" t="inlineStr">
        <is>
          <t>Not assessed</t>
        </is>
      </c>
      <c r="AX523" s="29" t="inlineStr">
        <is>
          <t>Not assessed</t>
        </is>
      </c>
      <c r="AY523" s="29" t="inlineStr">
        <is>
          <t>Not assessed</t>
        </is>
      </c>
      <c r="AZ523" s="29" t="inlineStr">
        <is>
          <t>Not assessed</t>
        </is>
      </c>
      <c r="BA523" s="29" t="inlineStr">
        <is>
          <t>Not assessed</t>
        </is>
      </c>
      <c r="BB523" s="29" t="inlineStr">
        <is>
          <t>Not assessed</t>
        </is>
      </c>
      <c r="BC523" s="29" t="inlineStr">
        <is>
          <t>Not assessed</t>
        </is>
      </c>
      <c r="BD523" s="29" t="inlineStr">
        <is>
          <t>Not assessed</t>
        </is>
      </c>
      <c r="BE523" s="29" t="inlineStr">
        <is>
          <t>Development required</t>
        </is>
      </c>
      <c r="BF523" s="29" t="inlineStr">
        <is>
          <t>Physical implementation is not complete against the stated requirement.; Searched for music, audio, copyright, infringement, takedown, reuse, remix in source code and found no implementation.</t>
        </is>
      </c>
      <c r="BG523" s="29" t="inlineStr">
        <is>
          <t>Unknown</t>
        </is>
      </c>
      <c r="BH523" s="29" t="inlineStr"/>
      <c r="BI523" s="29" t="inlineStr"/>
      <c r="BJ523" s="29" t="inlineStr"/>
      <c r="BK523" s="29" t="inlineStr">
        <is>
          <t>Evidence reconciled against the reviewed source revision. No production approval is inferred from implementation or file presence.</t>
        </is>
      </c>
      <c r="BL523" s="29" t="inlineStr">
        <is>
          <t>2026-08-02</t>
        </is>
      </c>
    </row>
    <row r="524" ht="42" customHeight="1">
      <c r="A524" s="29" t="inlineStr">
        <is>
          <t>BLYP-26-005</t>
        </is>
      </c>
      <c r="B524" s="29" t="inlineStr"/>
      <c r="C524" s="29" t="inlineStr">
        <is>
          <t>Content rights, music, and reuse</t>
        </is>
      </c>
      <c r="D524" s="29" t="n">
        <v>26</v>
      </c>
      <c r="E524" s="29" t="n">
        <v>5</v>
      </c>
      <c r="F524" s="29" t="inlineStr">
        <is>
          <t>Rule</t>
        </is>
      </c>
      <c r="G524" s="29" t="inlineStr">
        <is>
          <t>Remix permission control</t>
        </is>
      </c>
      <c r="H524" s="29" t="inlineStr">
        <is>
          <t>Remix permission control</t>
        </is>
      </c>
      <c r="I524" s="29" t="inlineStr">
        <is>
          <t>/home/ubuntu/blyp_product_requirements.md :: Section 26 — Content rights, music, and reuse</t>
        </is>
      </c>
      <c r="J524" s="29" t="inlineStr">
        <is>
          <t>/home/ubuntu/BLYP_COMPLETE_FEATURE_LIST.md:663</t>
        </is>
      </c>
      <c r="K524" s="29" t="inlineStr">
        <is>
          <t>Required</t>
        </is>
      </c>
      <c r="L524" s="29" t="inlineStr">
        <is>
          <t>Applicable BLYP member</t>
        </is>
      </c>
      <c r="M524" s="29" t="inlineStr">
        <is>
          <t>BLYP mobile application and supporting production services</t>
        </is>
      </c>
      <c r="N524" s="29" t="inlineStr">
        <is>
          <t>Remix permission control</t>
        </is>
      </c>
      <c r="O524" s="29" t="inlineStr">
        <is>
          <t>Not explicitly defined in the product source; requires accountable product approval before production sign-off.</t>
        </is>
      </c>
      <c r="P524" s="29" t="inlineStr"/>
      <c r="Q524" s="29" t="inlineStr">
        <is>
          <t>No evidence</t>
        </is>
      </c>
      <c r="R524" s="29" t="inlineStr"/>
      <c r="S524" s="29" t="inlineStr">
        <is>
          <t>Not found</t>
        </is>
      </c>
      <c r="T524" s="29" t="inlineStr">
        <is>
          <t>Unknown</t>
        </is>
      </c>
      <c r="U524" s="29" t="inlineStr">
        <is>
          <t>Unknown</t>
        </is>
      </c>
      <c r="V524" s="29" t="inlineStr">
        <is>
          <t>Unknown</t>
        </is>
      </c>
      <c r="W524" s="29" t="inlineStr">
        <is>
          <t>Unknown</t>
        </is>
      </c>
      <c r="X524" s="29" t="inlineStr">
        <is>
          <t>Unknown</t>
        </is>
      </c>
      <c r="Y524" s="29" t="inlineStr">
        <is>
          <t>Unknown</t>
        </is>
      </c>
      <c r="Z524" s="29" t="inlineStr">
        <is>
          <t>Unknown</t>
        </is>
      </c>
      <c r="AA524" s="29" t="inlineStr">
        <is>
          <t>Unknown</t>
        </is>
      </c>
      <c r="AB524" s="29" t="inlineStr">
        <is>
          <t>Unknown</t>
        </is>
      </c>
      <c r="AC524" s="29" t="inlineStr"/>
      <c r="AD524" s="29" t="inlineStr">
        <is>
          <t>Unknown</t>
        </is>
      </c>
      <c r="AE524" s="29" t="inlineStr">
        <is>
          <t>Unknown</t>
        </is>
      </c>
      <c r="AF524" s="29" t="inlineStr"/>
      <c r="AG524" s="29" t="inlineStr">
        <is>
          <t>Unknown</t>
        </is>
      </c>
      <c r="AH524" s="29" t="inlineStr">
        <is>
          <t>Unknown</t>
        </is>
      </c>
      <c r="AI524" s="29" t="inlineStr">
        <is>
          <t>Searched for music, audio, copyright, infringement, takedown, reuse, remix in source code and found no implementation.</t>
        </is>
      </c>
      <c r="AJ524" s="29" t="inlineStr">
        <is>
          <t>Not verified</t>
        </is>
      </c>
      <c r="AK524" s="29" t="inlineStr"/>
      <c r="AL524" s="29" t="inlineStr"/>
      <c r="AM524" s="29" t="inlineStr"/>
      <c r="AN524" s="29" t="inlineStr"/>
      <c r="AO524" s="29" t="inlineStr">
        <is>
          <t>8bc0dcb2a1da1b21368c5536aaeef829d587f316</t>
        </is>
      </c>
      <c r="AP524" s="29" t="inlineStr">
        <is>
          <t>Low</t>
        </is>
      </c>
      <c r="AQ524" s="29" t="inlineStr">
        <is>
          <t>Not assessed</t>
        </is>
      </c>
      <c r="AR524" s="29" t="inlineStr">
        <is>
          <t>Not assessed</t>
        </is>
      </c>
      <c r="AS524" s="29" t="inlineStr">
        <is>
          <t>Not assessed</t>
        </is>
      </c>
      <c r="AT524" s="29" t="inlineStr">
        <is>
          <t>Not assessed</t>
        </is>
      </c>
      <c r="AU524" s="29" t="inlineStr">
        <is>
          <t>Not assessed</t>
        </is>
      </c>
      <c r="AV524" s="29" t="inlineStr">
        <is>
          <t>Not assessed</t>
        </is>
      </c>
      <c r="AW524" s="29" t="inlineStr">
        <is>
          <t>Not assessed</t>
        </is>
      </c>
      <c r="AX524" s="29" t="inlineStr">
        <is>
          <t>Not assessed</t>
        </is>
      </c>
      <c r="AY524" s="29" t="inlineStr">
        <is>
          <t>Not assessed</t>
        </is>
      </c>
      <c r="AZ524" s="29" t="inlineStr">
        <is>
          <t>Not assessed</t>
        </is>
      </c>
      <c r="BA524" s="29" t="inlineStr">
        <is>
          <t>Not assessed</t>
        </is>
      </c>
      <c r="BB524" s="29" t="inlineStr">
        <is>
          <t>Not assessed</t>
        </is>
      </c>
      <c r="BC524" s="29" t="inlineStr">
        <is>
          <t>Not assessed</t>
        </is>
      </c>
      <c r="BD524" s="29" t="inlineStr">
        <is>
          <t>Not assessed</t>
        </is>
      </c>
      <c r="BE524" s="29" t="inlineStr">
        <is>
          <t>Development required</t>
        </is>
      </c>
      <c r="BF524" s="29" t="inlineStr">
        <is>
          <t>Physical implementation is not complete against the stated requirement.; Searched for music, audio, copyright, infringement, takedown, reuse, remix in source code and found no implementation.</t>
        </is>
      </c>
      <c r="BG524" s="29" t="inlineStr">
        <is>
          <t>Unknown</t>
        </is>
      </c>
      <c r="BH524" s="29" t="inlineStr"/>
      <c r="BI524" s="29" t="inlineStr"/>
      <c r="BJ524" s="29" t="inlineStr"/>
      <c r="BK524" s="29" t="inlineStr">
        <is>
          <t>Evidence reconciled against the reviewed source revision. No production approval is inferred from implementation or file presence.</t>
        </is>
      </c>
      <c r="BL524" s="29" t="inlineStr">
        <is>
          <t>2026-08-02</t>
        </is>
      </c>
    </row>
    <row r="525" ht="42" customHeight="1">
      <c r="A525" s="29" t="inlineStr">
        <is>
          <t>BLYP-26-006</t>
        </is>
      </c>
      <c r="B525" s="29" t="inlineStr"/>
      <c r="C525" s="29" t="inlineStr">
        <is>
          <t>Content rights, music, and reuse</t>
        </is>
      </c>
      <c r="D525" s="29" t="n">
        <v>26</v>
      </c>
      <c r="E525" s="29" t="n">
        <v>6</v>
      </c>
      <c r="F525" s="29" t="inlineStr">
        <is>
          <t>Rule</t>
        </is>
      </c>
      <c r="G525" s="29" t="inlineStr">
        <is>
          <t>Battle-use permission control</t>
        </is>
      </c>
      <c r="H525" s="29" t="inlineStr">
        <is>
          <t>Battle-use permission control</t>
        </is>
      </c>
      <c r="I525" s="29" t="inlineStr">
        <is>
          <t>/home/ubuntu/blyp_product_requirements.md :: Section 26 — Content rights, music, and reuse</t>
        </is>
      </c>
      <c r="J525" s="29" t="inlineStr">
        <is>
          <t>/home/ubuntu/BLYP_COMPLETE_FEATURE_LIST.md:664</t>
        </is>
      </c>
      <c r="K525" s="29" t="inlineStr">
        <is>
          <t>Required</t>
        </is>
      </c>
      <c r="L525" s="29" t="inlineStr">
        <is>
          <t>Applicable BLYP member</t>
        </is>
      </c>
      <c r="M525" s="29" t="inlineStr">
        <is>
          <t>BLYP mobile application and supporting production services</t>
        </is>
      </c>
      <c r="N525" s="29" t="inlineStr">
        <is>
          <t>Battle-use permission control</t>
        </is>
      </c>
      <c r="O525" s="29" t="inlineStr">
        <is>
          <t>Not explicitly defined in the product source; requires accountable product approval before production sign-off.</t>
        </is>
      </c>
      <c r="P525" s="29" t="inlineStr"/>
      <c r="Q525" s="29" t="inlineStr">
        <is>
          <t>No evidence</t>
        </is>
      </c>
      <c r="R525" s="29" t="inlineStr"/>
      <c r="S525" s="29" t="inlineStr">
        <is>
          <t>Not found</t>
        </is>
      </c>
      <c r="T525" s="29" t="inlineStr">
        <is>
          <t>Unknown</t>
        </is>
      </c>
      <c r="U525" s="29" t="inlineStr">
        <is>
          <t>Unknown</t>
        </is>
      </c>
      <c r="V525" s="29" t="inlineStr">
        <is>
          <t>Unknown</t>
        </is>
      </c>
      <c r="W525" s="29" t="inlineStr">
        <is>
          <t>Unknown</t>
        </is>
      </c>
      <c r="X525" s="29" t="inlineStr">
        <is>
          <t>Unknown</t>
        </is>
      </c>
      <c r="Y525" s="29" t="inlineStr">
        <is>
          <t>Unknown</t>
        </is>
      </c>
      <c r="Z525" s="29" t="inlineStr">
        <is>
          <t>Unknown</t>
        </is>
      </c>
      <c r="AA525" s="29" t="inlineStr">
        <is>
          <t>Unknown</t>
        </is>
      </c>
      <c r="AB525" s="29" t="inlineStr">
        <is>
          <t>Unknown</t>
        </is>
      </c>
      <c r="AC525" s="29" t="inlineStr"/>
      <c r="AD525" s="29" t="inlineStr">
        <is>
          <t>Unknown</t>
        </is>
      </c>
      <c r="AE525" s="29" t="inlineStr">
        <is>
          <t>Unknown</t>
        </is>
      </c>
      <c r="AF525" s="29" t="inlineStr"/>
      <c r="AG525" s="29" t="inlineStr">
        <is>
          <t>Unknown</t>
        </is>
      </c>
      <c r="AH525" s="29" t="inlineStr">
        <is>
          <t>Unknown</t>
        </is>
      </c>
      <c r="AI525" s="29" t="inlineStr">
        <is>
          <t>Searched for music, audio, copyright, infringement, takedown, reuse, remix in source code and found no implementation.</t>
        </is>
      </c>
      <c r="AJ525" s="29" t="inlineStr">
        <is>
          <t>Not verified</t>
        </is>
      </c>
      <c r="AK525" s="29" t="inlineStr"/>
      <c r="AL525" s="29" t="inlineStr"/>
      <c r="AM525" s="29" t="inlineStr"/>
      <c r="AN525" s="29" t="inlineStr"/>
      <c r="AO525" s="29" t="inlineStr">
        <is>
          <t>8bc0dcb2a1da1b21368c5536aaeef829d587f316</t>
        </is>
      </c>
      <c r="AP525" s="29" t="inlineStr">
        <is>
          <t>Low</t>
        </is>
      </c>
      <c r="AQ525" s="29" t="inlineStr">
        <is>
          <t>Not assessed</t>
        </is>
      </c>
      <c r="AR525" s="29" t="inlineStr">
        <is>
          <t>Not assessed</t>
        </is>
      </c>
      <c r="AS525" s="29" t="inlineStr">
        <is>
          <t>Not assessed</t>
        </is>
      </c>
      <c r="AT525" s="29" t="inlineStr">
        <is>
          <t>Not assessed</t>
        </is>
      </c>
      <c r="AU525" s="29" t="inlineStr">
        <is>
          <t>Not assessed</t>
        </is>
      </c>
      <c r="AV525" s="29" t="inlineStr">
        <is>
          <t>Not assessed</t>
        </is>
      </c>
      <c r="AW525" s="29" t="inlineStr">
        <is>
          <t>Not assessed</t>
        </is>
      </c>
      <c r="AX525" s="29" t="inlineStr">
        <is>
          <t>Not assessed</t>
        </is>
      </c>
      <c r="AY525" s="29" t="inlineStr">
        <is>
          <t>Not assessed</t>
        </is>
      </c>
      <c r="AZ525" s="29" t="inlineStr">
        <is>
          <t>Not assessed</t>
        </is>
      </c>
      <c r="BA525" s="29" t="inlineStr">
        <is>
          <t>Not assessed</t>
        </is>
      </c>
      <c r="BB525" s="29" t="inlineStr">
        <is>
          <t>Not assessed</t>
        </is>
      </c>
      <c r="BC525" s="29" t="inlineStr">
        <is>
          <t>Not assessed</t>
        </is>
      </c>
      <c r="BD525" s="29" t="inlineStr">
        <is>
          <t>Not assessed</t>
        </is>
      </c>
      <c r="BE525" s="29" t="inlineStr">
        <is>
          <t>Development required</t>
        </is>
      </c>
      <c r="BF525" s="29" t="inlineStr">
        <is>
          <t>Physical implementation is not complete against the stated requirement.; Searched for music, audio, copyright, infringement, takedown, reuse, remix in source code and found no implementation.</t>
        </is>
      </c>
      <c r="BG525" s="29" t="inlineStr">
        <is>
          <t>Unknown</t>
        </is>
      </c>
      <c r="BH525" s="29" t="inlineStr"/>
      <c r="BI525" s="29" t="inlineStr"/>
      <c r="BJ525" s="29" t="inlineStr"/>
      <c r="BK525" s="29" t="inlineStr">
        <is>
          <t>Evidence reconciled against the reviewed source revision. No production approval is inferred from implementation or file presence.</t>
        </is>
      </c>
      <c r="BL525" s="29" t="inlineStr">
        <is>
          <t>2026-08-02</t>
        </is>
      </c>
    </row>
    <row r="526" ht="42" customHeight="1">
      <c r="A526" s="29" t="inlineStr">
        <is>
          <t>BLYP-26-007</t>
        </is>
      </c>
      <c r="B526" s="29" t="inlineStr"/>
      <c r="C526" s="29" t="inlineStr">
        <is>
          <t>Content rights, music, and reuse</t>
        </is>
      </c>
      <c r="D526" s="29" t="n">
        <v>26</v>
      </c>
      <c r="E526" s="29" t="n">
        <v>7</v>
      </c>
      <c r="F526" s="29" t="inlineStr">
        <is>
          <t>Feature</t>
        </is>
      </c>
      <c r="G526" s="29" t="inlineStr">
        <is>
          <t>System sharing of posts</t>
        </is>
      </c>
      <c r="H526" s="29" t="inlineStr">
        <is>
          <t>System sharing of posts</t>
        </is>
      </c>
      <c r="I526" s="29" t="inlineStr">
        <is>
          <t>/home/ubuntu/blyp_product_requirements.md :: Section 26 — Content rights, music, and reuse</t>
        </is>
      </c>
      <c r="J526" s="29" t="inlineStr">
        <is>
          <t>/home/ubuntu/BLYP_COMPLETE_FEATURE_LIST.md:665</t>
        </is>
      </c>
      <c r="K526" s="29" t="inlineStr">
        <is>
          <t>Required</t>
        </is>
      </c>
      <c r="L526" s="29" t="inlineStr">
        <is>
          <t>Applicable BLYP member</t>
        </is>
      </c>
      <c r="M526" s="29" t="inlineStr">
        <is>
          <t>BLYP mobile application and supporting production services</t>
        </is>
      </c>
      <c r="N526" s="29" t="inlineStr">
        <is>
          <t>System sharing of posts</t>
        </is>
      </c>
      <c r="O526" s="29" t="inlineStr">
        <is>
          <t>Not explicitly defined in the product source; requires accountable product approval before production sign-off.</t>
        </is>
      </c>
      <c r="P526" s="29" t="inlineStr"/>
      <c r="Q526" s="29" t="inlineStr">
        <is>
          <t>Yes</t>
        </is>
      </c>
      <c r="R526" s="29" t="inlineStr"/>
      <c r="S526" s="29" t="inlineStr">
        <is>
          <t>Not found</t>
        </is>
      </c>
      <c r="T526" s="29" t="inlineStr">
        <is>
          <t>Unknown</t>
        </is>
      </c>
      <c r="U526" s="29" t="inlineStr">
        <is>
          <t>Unknown</t>
        </is>
      </c>
      <c r="V526" s="29" t="inlineStr">
        <is>
          <t>Unknown</t>
        </is>
      </c>
      <c r="W526" s="29" t="inlineStr">
        <is>
          <t>Unknown</t>
        </is>
      </c>
      <c r="X526" s="29" t="inlineStr">
        <is>
          <t>Unknown</t>
        </is>
      </c>
      <c r="Y526" s="29" t="inlineStr">
        <is>
          <t>Unknown</t>
        </is>
      </c>
      <c r="Z526" s="29" t="inlineStr">
        <is>
          <t>Unknown</t>
        </is>
      </c>
      <c r="AA526" s="29" t="inlineStr">
        <is>
          <t>Unknown</t>
        </is>
      </c>
      <c r="AB526" s="29" t="inlineStr">
        <is>
          <t>Unknown</t>
        </is>
      </c>
      <c r="AC526" s="29" t="inlineStr"/>
      <c r="AD526" s="29" t="inlineStr">
        <is>
          <t>Unknown</t>
        </is>
      </c>
      <c r="AE526" s="29" t="inlineStr">
        <is>
          <t>Unknown</t>
        </is>
      </c>
      <c r="AF526" s="29" t="inlineStr"/>
      <c r="AG526" s="29" t="inlineStr">
        <is>
          <t>Unknown</t>
        </is>
      </c>
      <c r="AH526" s="29" t="inlineStr">
        <is>
          <t>Unknown</t>
        </is>
      </c>
      <c r="AI526" s="29" t="inlineStr">
        <is>
          <t>Searched for music, audio, copyright, infringement, takedown, reuse, remix in source code and found no implementation.</t>
        </is>
      </c>
      <c r="AJ526" s="29" t="inlineStr">
        <is>
          <t>Not verified</t>
        </is>
      </c>
      <c r="AK526" s="29" t="inlineStr"/>
      <c r="AL526" s="29" t="inlineStr"/>
      <c r="AM526" s="29" t="inlineStr"/>
      <c r="AN526" s="29" t="inlineStr"/>
      <c r="AO526" s="29" t="inlineStr">
        <is>
          <t>8bc0dcb2a1da1b21368c5536aaeef829d587f316</t>
        </is>
      </c>
      <c r="AP526" s="29" t="inlineStr">
        <is>
          <t>Low</t>
        </is>
      </c>
      <c r="AQ526" s="29" t="inlineStr">
        <is>
          <t>Not assessed</t>
        </is>
      </c>
      <c r="AR526" s="29" t="inlineStr">
        <is>
          <t>Not assessed</t>
        </is>
      </c>
      <c r="AS526" s="29" t="inlineStr">
        <is>
          <t>Not assessed</t>
        </is>
      </c>
      <c r="AT526" s="29" t="inlineStr">
        <is>
          <t>Not assessed</t>
        </is>
      </c>
      <c r="AU526" s="29" t="inlineStr">
        <is>
          <t>Not assessed</t>
        </is>
      </c>
      <c r="AV526" s="29" t="inlineStr">
        <is>
          <t>Not assessed</t>
        </is>
      </c>
      <c r="AW526" s="29" t="inlineStr">
        <is>
          <t>Not assessed</t>
        </is>
      </c>
      <c r="AX526" s="29" t="inlineStr">
        <is>
          <t>Not assessed</t>
        </is>
      </c>
      <c r="AY526" s="29" t="inlineStr">
        <is>
          <t>Not assessed</t>
        </is>
      </c>
      <c r="AZ526" s="29" t="inlineStr">
        <is>
          <t>Not assessed</t>
        </is>
      </c>
      <c r="BA526" s="29" t="inlineStr">
        <is>
          <t>Not assessed</t>
        </is>
      </c>
      <c r="BB526" s="29" t="inlineStr">
        <is>
          <t>Not assessed</t>
        </is>
      </c>
      <c r="BC526" s="29" t="inlineStr">
        <is>
          <t>Not assessed</t>
        </is>
      </c>
      <c r="BD526" s="29" t="inlineStr">
        <is>
          <t>Not assessed</t>
        </is>
      </c>
      <c r="BE526" s="29" t="inlineStr">
        <is>
          <t>Development required</t>
        </is>
      </c>
      <c r="BF526" s="29" t="inlineStr">
        <is>
          <t>Physical implementation is not complete against the stated requirement.; Searched for music, audio, copyright, infringement, takedown, reuse, remix in source code and found no implementation.</t>
        </is>
      </c>
      <c r="BG526" s="29" t="inlineStr">
        <is>
          <t>Unknown</t>
        </is>
      </c>
      <c r="BH526" s="29" t="inlineStr"/>
      <c r="BI526" s="29" t="inlineStr"/>
      <c r="BJ526" s="29" t="inlineStr"/>
      <c r="BK526" s="29" t="inlineStr">
        <is>
          <t>Evidence reconciled against the reviewed source revision. No production approval is inferred from implementation or file presence.</t>
        </is>
      </c>
      <c r="BL526" s="29" t="inlineStr">
        <is>
          <t>2026-08-02</t>
        </is>
      </c>
    </row>
    <row r="527" ht="42" customHeight="1">
      <c r="A527" s="29" t="inlineStr">
        <is>
          <t>BLYP-26-008</t>
        </is>
      </c>
      <c r="B527" s="29" t="inlineStr"/>
      <c r="C527" s="29" t="inlineStr">
        <is>
          <t>Content rights, music, and reuse</t>
        </is>
      </c>
      <c r="D527" s="29" t="n">
        <v>26</v>
      </c>
      <c r="E527" s="29" t="n">
        <v>8</v>
      </c>
      <c r="F527" s="29" t="inlineStr">
        <is>
          <t>Feature</t>
        </is>
      </c>
      <c r="G527" s="29" t="inlineStr">
        <is>
          <t>Preserve attribution on reuse</t>
        </is>
      </c>
      <c r="H527" s="29" t="inlineStr">
        <is>
          <t>Preserve attribution on reuse</t>
        </is>
      </c>
      <c r="I527" s="29" t="inlineStr">
        <is>
          <t>/home/ubuntu/blyp_product_requirements.md :: Section 26 — Content rights, music, and reuse</t>
        </is>
      </c>
      <c r="J527" s="29" t="inlineStr">
        <is>
          <t>/home/ubuntu/BLYP_COMPLETE_FEATURE_LIST.md:666</t>
        </is>
      </c>
      <c r="K527" s="29" t="inlineStr">
        <is>
          <t>Required</t>
        </is>
      </c>
      <c r="L527" s="29" t="inlineStr">
        <is>
          <t>Applicable BLYP member</t>
        </is>
      </c>
      <c r="M527" s="29" t="inlineStr">
        <is>
          <t>BLYP mobile application and supporting production services</t>
        </is>
      </c>
      <c r="N527" s="29" t="inlineStr">
        <is>
          <t>Preserve attribution on reuse</t>
        </is>
      </c>
      <c r="O527" s="29" t="inlineStr">
        <is>
          <t>Not explicitly defined in the product source; requires accountable product approval before production sign-off.</t>
        </is>
      </c>
      <c r="P527" s="29" t="inlineStr"/>
      <c r="Q527" s="29" t="inlineStr">
        <is>
          <t>Scaffold only</t>
        </is>
      </c>
      <c r="R527" s="29" t="inlineStr"/>
      <c r="S527" s="29" t="inlineStr">
        <is>
          <t>Not found</t>
        </is>
      </c>
      <c r="T527" s="29" t="inlineStr">
        <is>
          <t>Unknown</t>
        </is>
      </c>
      <c r="U527" s="29" t="inlineStr">
        <is>
          <t>Unknown</t>
        </is>
      </c>
      <c r="V527" s="29" t="inlineStr">
        <is>
          <t>Unknown</t>
        </is>
      </c>
      <c r="W527" s="29" t="inlineStr">
        <is>
          <t>Unknown</t>
        </is>
      </c>
      <c r="X527" s="29" t="inlineStr">
        <is>
          <t>Unknown</t>
        </is>
      </c>
      <c r="Y527" s="29" t="inlineStr">
        <is>
          <t>Unknown</t>
        </is>
      </c>
      <c r="Z527" s="29" t="inlineStr">
        <is>
          <t>Unknown</t>
        </is>
      </c>
      <c r="AA527" s="29" t="inlineStr">
        <is>
          <t>Unknown</t>
        </is>
      </c>
      <c r="AB527" s="29" t="inlineStr">
        <is>
          <t>Unknown</t>
        </is>
      </c>
      <c r="AC527" s="29" t="inlineStr"/>
      <c r="AD527" s="29" t="inlineStr">
        <is>
          <t>Unknown</t>
        </is>
      </c>
      <c r="AE527" s="29" t="inlineStr">
        <is>
          <t>Unknown</t>
        </is>
      </c>
      <c r="AF527" s="29" t="inlineStr"/>
      <c r="AG527" s="29" t="inlineStr">
        <is>
          <t>Unknown</t>
        </is>
      </c>
      <c r="AH527" s="29" t="inlineStr">
        <is>
          <t>Unknown</t>
        </is>
      </c>
      <c r="AI527" s="29" t="inlineStr">
        <is>
          <t>Searched for music, audio, copyright, infringement, takedown, reuse, remix in source code and found no implementation.</t>
        </is>
      </c>
      <c r="AJ527" s="29" t="inlineStr">
        <is>
          <t>Not verified</t>
        </is>
      </c>
      <c r="AK527" s="29" t="inlineStr"/>
      <c r="AL527" s="29" t="inlineStr"/>
      <c r="AM527" s="29" t="inlineStr"/>
      <c r="AN527" s="29" t="inlineStr"/>
      <c r="AO527" s="29" t="inlineStr">
        <is>
          <t>8bc0dcb2a1da1b21368c5536aaeef829d587f316</t>
        </is>
      </c>
      <c r="AP527" s="29" t="inlineStr">
        <is>
          <t>Low</t>
        </is>
      </c>
      <c r="AQ527" s="29" t="inlineStr">
        <is>
          <t>Not assessed</t>
        </is>
      </c>
      <c r="AR527" s="29" t="inlineStr">
        <is>
          <t>Not assessed</t>
        </is>
      </c>
      <c r="AS527" s="29" t="inlineStr">
        <is>
          <t>Not assessed</t>
        </is>
      </c>
      <c r="AT527" s="29" t="inlineStr">
        <is>
          <t>Not assessed</t>
        </is>
      </c>
      <c r="AU527" s="29" t="inlineStr">
        <is>
          <t>Not assessed</t>
        </is>
      </c>
      <c r="AV527" s="29" t="inlineStr">
        <is>
          <t>Not assessed</t>
        </is>
      </c>
      <c r="AW527" s="29" t="inlineStr">
        <is>
          <t>Not assessed</t>
        </is>
      </c>
      <c r="AX527" s="29" t="inlineStr">
        <is>
          <t>Not assessed</t>
        </is>
      </c>
      <c r="AY527" s="29" t="inlineStr">
        <is>
          <t>Not assessed</t>
        </is>
      </c>
      <c r="AZ527" s="29" t="inlineStr">
        <is>
          <t>Not assessed</t>
        </is>
      </c>
      <c r="BA527" s="29" t="inlineStr">
        <is>
          <t>Not assessed</t>
        </is>
      </c>
      <c r="BB527" s="29" t="inlineStr">
        <is>
          <t>Not assessed</t>
        </is>
      </c>
      <c r="BC527" s="29" t="inlineStr">
        <is>
          <t>Not assessed</t>
        </is>
      </c>
      <c r="BD527" s="29" t="inlineStr">
        <is>
          <t>Not assessed</t>
        </is>
      </c>
      <c r="BE527" s="29" t="inlineStr">
        <is>
          <t>Development required</t>
        </is>
      </c>
      <c r="BF527" s="29" t="inlineStr">
        <is>
          <t>Physical implementation is not complete against the stated requirement.; Searched for music, audio, copyright, infringement, takedown, reuse, remix in source code and found no implementation.</t>
        </is>
      </c>
      <c r="BG527" s="29" t="inlineStr">
        <is>
          <t>Unknown</t>
        </is>
      </c>
      <c r="BH527" s="29" t="inlineStr"/>
      <c r="BI527" s="29" t="inlineStr"/>
      <c r="BJ527" s="29" t="inlineStr"/>
      <c r="BK527" s="29" t="inlineStr">
        <is>
          <t>Evidence reconciled against the reviewed source revision. No production approval is inferred from implementation or file presence.</t>
        </is>
      </c>
      <c r="BL527" s="29" t="inlineStr">
        <is>
          <t>2026-08-02</t>
        </is>
      </c>
    </row>
    <row r="528" ht="42" customHeight="1">
      <c r="A528" s="29" t="inlineStr">
        <is>
          <t>BLYP-26-009</t>
        </is>
      </c>
      <c r="B528" s="29" t="inlineStr"/>
      <c r="C528" s="29" t="inlineStr">
        <is>
          <t>Content rights, music, and reuse</t>
        </is>
      </c>
      <c r="D528" s="29" t="n">
        <v>26</v>
      </c>
      <c r="E528" s="29" t="n">
        <v>9</v>
      </c>
      <c r="F528" s="29" t="inlineStr">
        <is>
          <t>Feature</t>
        </is>
      </c>
      <c r="G528" s="29" t="inlineStr">
        <is>
          <t>Link reused content to the original</t>
        </is>
      </c>
      <c r="H528" s="29" t="inlineStr">
        <is>
          <t>Link reused content to the original</t>
        </is>
      </c>
      <c r="I528" s="29" t="inlineStr">
        <is>
          <t>/home/ubuntu/blyp_product_requirements.md :: Section 26 — Content rights, music, and reuse</t>
        </is>
      </c>
      <c r="J528" s="29" t="inlineStr">
        <is>
          <t>/home/ubuntu/BLYP_COMPLETE_FEATURE_LIST.md:667</t>
        </is>
      </c>
      <c r="K528" s="29" t="inlineStr">
        <is>
          <t>Required</t>
        </is>
      </c>
      <c r="L528" s="29" t="inlineStr">
        <is>
          <t>Applicable BLYP member</t>
        </is>
      </c>
      <c r="M528" s="29" t="inlineStr">
        <is>
          <t>BLYP mobile application and supporting production services</t>
        </is>
      </c>
      <c r="N528" s="29" t="inlineStr">
        <is>
          <t>Link reused content to the original</t>
        </is>
      </c>
      <c r="O528" s="29" t="inlineStr">
        <is>
          <t>Not explicitly defined in the product source; requires accountable product approval before production sign-off.</t>
        </is>
      </c>
      <c r="P528" s="29" t="inlineStr"/>
      <c r="Q528" s="29" t="inlineStr">
        <is>
          <t>Scaffold only</t>
        </is>
      </c>
      <c r="R528" s="29" t="inlineStr">
        <is>
          <t>deep-link hooks exist.</t>
        </is>
      </c>
      <c r="S528" s="29" t="inlineStr">
        <is>
          <t>Not found</t>
        </is>
      </c>
      <c r="T528" s="29" t="inlineStr">
        <is>
          <t>Unknown</t>
        </is>
      </c>
      <c r="U528" s="29" t="inlineStr">
        <is>
          <t>Unknown</t>
        </is>
      </c>
      <c r="V528" s="29" t="inlineStr">
        <is>
          <t>Unknown</t>
        </is>
      </c>
      <c r="W528" s="29" t="inlineStr">
        <is>
          <t>Unknown</t>
        </is>
      </c>
      <c r="X528" s="29" t="inlineStr">
        <is>
          <t>Unknown</t>
        </is>
      </c>
      <c r="Y528" s="29" t="inlineStr">
        <is>
          <t>Unknown</t>
        </is>
      </c>
      <c r="Z528" s="29" t="inlineStr">
        <is>
          <t>Unknown</t>
        </is>
      </c>
      <c r="AA528" s="29" t="inlineStr">
        <is>
          <t>Unknown</t>
        </is>
      </c>
      <c r="AB528" s="29" t="inlineStr">
        <is>
          <t>Unknown</t>
        </is>
      </c>
      <c r="AC528" s="29" t="inlineStr"/>
      <c r="AD528" s="29" t="inlineStr">
        <is>
          <t>Unknown</t>
        </is>
      </c>
      <c r="AE528" s="29" t="inlineStr">
        <is>
          <t>Unknown</t>
        </is>
      </c>
      <c r="AF528" s="29" t="inlineStr"/>
      <c r="AG528" s="29" t="inlineStr">
        <is>
          <t>Unknown</t>
        </is>
      </c>
      <c r="AH528" s="29" t="inlineStr">
        <is>
          <t>Unknown</t>
        </is>
      </c>
      <c r="AI528" s="29" t="inlineStr">
        <is>
          <t>Searched for music, audio, copyright, infringement, takedown, reuse, remix in source code and found no implementation.</t>
        </is>
      </c>
      <c r="AJ528" s="29" t="inlineStr">
        <is>
          <t>Not verified</t>
        </is>
      </c>
      <c r="AK528" s="29" t="inlineStr"/>
      <c r="AL528" s="29" t="inlineStr"/>
      <c r="AM528" s="29" t="inlineStr"/>
      <c r="AN528" s="29" t="inlineStr"/>
      <c r="AO528" s="29" t="inlineStr">
        <is>
          <t>8bc0dcb2a1da1b21368c5536aaeef829d587f316</t>
        </is>
      </c>
      <c r="AP528" s="29" t="inlineStr">
        <is>
          <t>Low</t>
        </is>
      </c>
      <c r="AQ528" s="29" t="inlineStr">
        <is>
          <t>Not assessed</t>
        </is>
      </c>
      <c r="AR528" s="29" t="inlineStr">
        <is>
          <t>Not assessed</t>
        </is>
      </c>
      <c r="AS528" s="29" t="inlineStr">
        <is>
          <t>Not assessed</t>
        </is>
      </c>
      <c r="AT528" s="29" t="inlineStr">
        <is>
          <t>Not assessed</t>
        </is>
      </c>
      <c r="AU528" s="29" t="inlineStr">
        <is>
          <t>Not assessed</t>
        </is>
      </c>
      <c r="AV528" s="29" t="inlineStr">
        <is>
          <t>Not assessed</t>
        </is>
      </c>
      <c r="AW528" s="29" t="inlineStr">
        <is>
          <t>Not assessed</t>
        </is>
      </c>
      <c r="AX528" s="29" t="inlineStr">
        <is>
          <t>Not assessed</t>
        </is>
      </c>
      <c r="AY528" s="29" t="inlineStr">
        <is>
          <t>Not assessed</t>
        </is>
      </c>
      <c r="AZ528" s="29" t="inlineStr">
        <is>
          <t>Not assessed</t>
        </is>
      </c>
      <c r="BA528" s="29" t="inlineStr">
        <is>
          <t>Not assessed</t>
        </is>
      </c>
      <c r="BB528" s="29" t="inlineStr">
        <is>
          <t>Not assessed</t>
        </is>
      </c>
      <c r="BC528" s="29" t="inlineStr">
        <is>
          <t>Not assessed</t>
        </is>
      </c>
      <c r="BD528" s="29" t="inlineStr">
        <is>
          <t>Not assessed</t>
        </is>
      </c>
      <c r="BE528" s="29" t="inlineStr">
        <is>
          <t>Development required</t>
        </is>
      </c>
      <c r="BF528" s="29" t="inlineStr">
        <is>
          <t>Physical implementation is not complete against the stated requirement.; Searched for music, audio, copyright, infringement, takedown, reuse, remix in source code and found no implementation.</t>
        </is>
      </c>
      <c r="BG528" s="29" t="inlineStr">
        <is>
          <t>Unknown</t>
        </is>
      </c>
      <c r="BH528" s="29" t="inlineStr"/>
      <c r="BI528" s="29" t="inlineStr"/>
      <c r="BJ528" s="29" t="inlineStr"/>
      <c r="BK528" s="29" t="inlineStr">
        <is>
          <t>Evidence reconciled against the reviewed source revision. No production approval is inferred from implementation or file presence.</t>
        </is>
      </c>
      <c r="BL528" s="29" t="inlineStr">
        <is>
          <t>2026-08-02</t>
        </is>
      </c>
    </row>
    <row r="529" ht="42" customHeight="1">
      <c r="A529" s="29" t="inlineStr">
        <is>
          <t>BLYP-26-010</t>
        </is>
      </c>
      <c r="B529" s="29" t="inlineStr"/>
      <c r="C529" s="29" t="inlineStr">
        <is>
          <t>Content rights, music, and reuse</t>
        </is>
      </c>
      <c r="D529" s="29" t="n">
        <v>26</v>
      </c>
      <c r="E529" s="29" t="n">
        <v>10</v>
      </c>
      <c r="F529" s="29" t="inlineStr">
        <is>
          <t>Feature</t>
        </is>
      </c>
      <c r="G529" s="29" t="inlineStr">
        <is>
          <t>Licensed music/audio catalogue</t>
        </is>
      </c>
      <c r="H529" s="29" t="inlineStr">
        <is>
          <t>Licensed music/audio catalogue</t>
        </is>
      </c>
      <c r="I529" s="29" t="inlineStr">
        <is>
          <t>/home/ubuntu/blyp_product_requirements.md :: Section 26 — Content rights, music, and reuse</t>
        </is>
      </c>
      <c r="J529" s="29" t="inlineStr">
        <is>
          <t>/home/ubuntu/BLYP_COMPLETE_FEATURE_LIST.md:668</t>
        </is>
      </c>
      <c r="K529" s="29" t="inlineStr">
        <is>
          <t>Required</t>
        </is>
      </c>
      <c r="L529" s="29" t="inlineStr">
        <is>
          <t>Applicable BLYP member</t>
        </is>
      </c>
      <c r="M529" s="29" t="inlineStr">
        <is>
          <t>BLYP mobile application and supporting production services</t>
        </is>
      </c>
      <c r="N529" s="29" t="inlineStr">
        <is>
          <t>Licensed music/audio catalogue</t>
        </is>
      </c>
      <c r="O529" s="29" t="inlineStr">
        <is>
          <t>Not explicitly defined in the product source; requires accountable product approval before production sign-off.</t>
        </is>
      </c>
      <c r="P529" s="29" t="inlineStr"/>
      <c r="Q529" s="29" t="inlineStr">
        <is>
          <t>No evidence</t>
        </is>
      </c>
      <c r="R529" s="29" t="inlineStr"/>
      <c r="S529" s="29" t="inlineStr">
        <is>
          <t>Not found</t>
        </is>
      </c>
      <c r="T529" s="29" t="inlineStr">
        <is>
          <t>Unknown</t>
        </is>
      </c>
      <c r="U529" s="29" t="inlineStr">
        <is>
          <t>Unknown</t>
        </is>
      </c>
      <c r="V529" s="29" t="inlineStr">
        <is>
          <t>Unknown</t>
        </is>
      </c>
      <c r="W529" s="29" t="inlineStr">
        <is>
          <t>Unknown</t>
        </is>
      </c>
      <c r="X529" s="29" t="inlineStr">
        <is>
          <t>Unknown</t>
        </is>
      </c>
      <c r="Y529" s="29" t="inlineStr">
        <is>
          <t>Unknown</t>
        </is>
      </c>
      <c r="Z529" s="29" t="inlineStr">
        <is>
          <t>Unknown</t>
        </is>
      </c>
      <c r="AA529" s="29" t="inlineStr">
        <is>
          <t>Unknown</t>
        </is>
      </c>
      <c r="AB529" s="29" t="inlineStr">
        <is>
          <t>Unknown</t>
        </is>
      </c>
      <c r="AC529" s="29" t="inlineStr"/>
      <c r="AD529" s="29" t="inlineStr">
        <is>
          <t>Unknown</t>
        </is>
      </c>
      <c r="AE529" s="29" t="inlineStr">
        <is>
          <t>Unknown</t>
        </is>
      </c>
      <c r="AF529" s="29" t="inlineStr"/>
      <c r="AG529" s="29" t="inlineStr">
        <is>
          <t>Unknown</t>
        </is>
      </c>
      <c r="AH529" s="29" t="inlineStr">
        <is>
          <t>Unknown</t>
        </is>
      </c>
      <c r="AI529" s="29" t="inlineStr">
        <is>
          <t>Searched for music, audio, copyright, infringement, takedown, reuse, remix in source code and found no implementation.</t>
        </is>
      </c>
      <c r="AJ529" s="29" t="inlineStr">
        <is>
          <t>Not verified</t>
        </is>
      </c>
      <c r="AK529" s="29" t="inlineStr"/>
      <c r="AL529" s="29" t="inlineStr"/>
      <c r="AM529" s="29" t="inlineStr"/>
      <c r="AN529" s="29" t="inlineStr"/>
      <c r="AO529" s="29" t="inlineStr">
        <is>
          <t>8bc0dcb2a1da1b21368c5536aaeef829d587f316</t>
        </is>
      </c>
      <c r="AP529" s="29" t="inlineStr">
        <is>
          <t>Low</t>
        </is>
      </c>
      <c r="AQ529" s="29" t="inlineStr">
        <is>
          <t>Not assessed</t>
        </is>
      </c>
      <c r="AR529" s="29" t="inlineStr">
        <is>
          <t>Not assessed</t>
        </is>
      </c>
      <c r="AS529" s="29" t="inlineStr">
        <is>
          <t>Not assessed</t>
        </is>
      </c>
      <c r="AT529" s="29" t="inlineStr">
        <is>
          <t>Not assessed</t>
        </is>
      </c>
      <c r="AU529" s="29" t="inlineStr">
        <is>
          <t>Not assessed</t>
        </is>
      </c>
      <c r="AV529" s="29" t="inlineStr">
        <is>
          <t>Not assessed</t>
        </is>
      </c>
      <c r="AW529" s="29" t="inlineStr">
        <is>
          <t>Not assessed</t>
        </is>
      </c>
      <c r="AX529" s="29" t="inlineStr">
        <is>
          <t>Not assessed</t>
        </is>
      </c>
      <c r="AY529" s="29" t="inlineStr">
        <is>
          <t>Not assessed</t>
        </is>
      </c>
      <c r="AZ529" s="29" t="inlineStr">
        <is>
          <t>Not assessed</t>
        </is>
      </c>
      <c r="BA529" s="29" t="inlineStr">
        <is>
          <t>Not assessed</t>
        </is>
      </c>
      <c r="BB529" s="29" t="inlineStr">
        <is>
          <t>Not assessed</t>
        </is>
      </c>
      <c r="BC529" s="29" t="inlineStr">
        <is>
          <t>Not assessed</t>
        </is>
      </c>
      <c r="BD529" s="29" t="inlineStr">
        <is>
          <t>Not assessed</t>
        </is>
      </c>
      <c r="BE529" s="29" t="inlineStr">
        <is>
          <t>Development required</t>
        </is>
      </c>
      <c r="BF529" s="29" t="inlineStr">
        <is>
          <t>Physical implementation is not complete against the stated requirement.; Searched for music, audio, copyright, infringement, takedown, reuse, remix in source code and found no implementation.</t>
        </is>
      </c>
      <c r="BG529" s="29" t="inlineStr">
        <is>
          <t>Unknown</t>
        </is>
      </c>
      <c r="BH529" s="29" t="inlineStr"/>
      <c r="BI529" s="29" t="inlineStr"/>
      <c r="BJ529" s="29" t="inlineStr"/>
      <c r="BK529" s="29" t="inlineStr">
        <is>
          <t>Evidence reconciled against the reviewed source revision. No production approval is inferred from implementation or file presence.</t>
        </is>
      </c>
      <c r="BL529" s="29" t="inlineStr">
        <is>
          <t>2026-08-02</t>
        </is>
      </c>
    </row>
    <row r="530" ht="42" customHeight="1">
      <c r="A530" s="29" t="inlineStr">
        <is>
          <t>BLYP-26-011</t>
        </is>
      </c>
      <c r="B530" s="29" t="inlineStr"/>
      <c r="C530" s="29" t="inlineStr">
        <is>
          <t>Content rights, music, and reuse</t>
        </is>
      </c>
      <c r="D530" s="29" t="n">
        <v>26</v>
      </c>
      <c r="E530" s="29" t="n">
        <v>11</v>
      </c>
      <c r="F530" s="29" t="inlineStr">
        <is>
          <t>Feature</t>
        </is>
      </c>
      <c r="G530" s="29" t="inlineStr">
        <is>
          <t>User-rights confirmation for uploaded audio</t>
        </is>
      </c>
      <c r="H530" s="29" t="inlineStr">
        <is>
          <t>User-rights confirmation for uploaded audio</t>
        </is>
      </c>
      <c r="I530" s="29" t="inlineStr">
        <is>
          <t>/home/ubuntu/blyp_product_requirements.md :: Section 26 — Content rights, music, and reuse</t>
        </is>
      </c>
      <c r="J530" s="29" t="inlineStr">
        <is>
          <t>/home/ubuntu/BLYP_COMPLETE_FEATURE_LIST.md:669</t>
        </is>
      </c>
      <c r="K530" s="29" t="inlineStr">
        <is>
          <t>Required</t>
        </is>
      </c>
      <c r="L530" s="29" t="inlineStr">
        <is>
          <t>Applicable BLYP member</t>
        </is>
      </c>
      <c r="M530" s="29" t="inlineStr">
        <is>
          <t>BLYP mobile application and supporting production services</t>
        </is>
      </c>
      <c r="N530" s="29" t="inlineStr">
        <is>
          <t>User-rights confirmation for uploaded audio</t>
        </is>
      </c>
      <c r="O530" s="29" t="inlineStr">
        <is>
          <t>Not explicitly defined in the product source; requires accountable product approval before production sign-off.</t>
        </is>
      </c>
      <c r="P530" s="29" t="inlineStr"/>
      <c r="Q530" s="29" t="inlineStr">
        <is>
          <t>No evidence</t>
        </is>
      </c>
      <c r="R530" s="29" t="inlineStr"/>
      <c r="S530" s="29" t="inlineStr">
        <is>
          <t>Not found</t>
        </is>
      </c>
      <c r="T530" s="29" t="inlineStr">
        <is>
          <t>Unknown</t>
        </is>
      </c>
      <c r="U530" s="29" t="inlineStr">
        <is>
          <t>Unknown</t>
        </is>
      </c>
      <c r="V530" s="29" t="inlineStr">
        <is>
          <t>Unknown</t>
        </is>
      </c>
      <c r="W530" s="29" t="inlineStr">
        <is>
          <t>Unknown</t>
        </is>
      </c>
      <c r="X530" s="29" t="inlineStr">
        <is>
          <t>Unknown</t>
        </is>
      </c>
      <c r="Y530" s="29" t="inlineStr">
        <is>
          <t>Unknown</t>
        </is>
      </c>
      <c r="Z530" s="29" t="inlineStr">
        <is>
          <t>Unknown</t>
        </is>
      </c>
      <c r="AA530" s="29" t="inlineStr">
        <is>
          <t>Unknown</t>
        </is>
      </c>
      <c r="AB530" s="29" t="inlineStr">
        <is>
          <t>Unknown</t>
        </is>
      </c>
      <c r="AC530" s="29" t="inlineStr"/>
      <c r="AD530" s="29" t="inlineStr">
        <is>
          <t>Unknown</t>
        </is>
      </c>
      <c r="AE530" s="29" t="inlineStr">
        <is>
          <t>Unknown</t>
        </is>
      </c>
      <c r="AF530" s="29" t="inlineStr"/>
      <c r="AG530" s="29" t="inlineStr">
        <is>
          <t>Unknown</t>
        </is>
      </c>
      <c r="AH530" s="29" t="inlineStr">
        <is>
          <t>Unknown</t>
        </is>
      </c>
      <c r="AI530" s="29" t="inlineStr">
        <is>
          <t>Searched for music, audio, copyright, infringement, takedown, reuse, remix in source code and found no implementation.</t>
        </is>
      </c>
      <c r="AJ530" s="29" t="inlineStr">
        <is>
          <t>Not verified</t>
        </is>
      </c>
      <c r="AK530" s="29" t="inlineStr"/>
      <c r="AL530" s="29" t="inlineStr"/>
      <c r="AM530" s="29" t="inlineStr"/>
      <c r="AN530" s="29" t="inlineStr"/>
      <c r="AO530" s="29" t="inlineStr">
        <is>
          <t>8bc0dcb2a1da1b21368c5536aaeef829d587f316</t>
        </is>
      </c>
      <c r="AP530" s="29" t="inlineStr">
        <is>
          <t>Low</t>
        </is>
      </c>
      <c r="AQ530" s="29" t="inlineStr">
        <is>
          <t>Not assessed</t>
        </is>
      </c>
      <c r="AR530" s="29" t="inlineStr">
        <is>
          <t>Not assessed</t>
        </is>
      </c>
      <c r="AS530" s="29" t="inlineStr">
        <is>
          <t>Not assessed</t>
        </is>
      </c>
      <c r="AT530" s="29" t="inlineStr">
        <is>
          <t>Not assessed</t>
        </is>
      </c>
      <c r="AU530" s="29" t="inlineStr">
        <is>
          <t>Not assessed</t>
        </is>
      </c>
      <c r="AV530" s="29" t="inlineStr">
        <is>
          <t>Not assessed</t>
        </is>
      </c>
      <c r="AW530" s="29" t="inlineStr">
        <is>
          <t>Not assessed</t>
        </is>
      </c>
      <c r="AX530" s="29" t="inlineStr">
        <is>
          <t>Not assessed</t>
        </is>
      </c>
      <c r="AY530" s="29" t="inlineStr">
        <is>
          <t>Not assessed</t>
        </is>
      </c>
      <c r="AZ530" s="29" t="inlineStr">
        <is>
          <t>Not assessed</t>
        </is>
      </c>
      <c r="BA530" s="29" t="inlineStr">
        <is>
          <t>Not assessed</t>
        </is>
      </c>
      <c r="BB530" s="29" t="inlineStr">
        <is>
          <t>Not assessed</t>
        </is>
      </c>
      <c r="BC530" s="29" t="inlineStr">
        <is>
          <t>Not assessed</t>
        </is>
      </c>
      <c r="BD530" s="29" t="inlineStr">
        <is>
          <t>Not assessed</t>
        </is>
      </c>
      <c r="BE530" s="29" t="inlineStr">
        <is>
          <t>Development required</t>
        </is>
      </c>
      <c r="BF530" s="29" t="inlineStr">
        <is>
          <t>Physical implementation is not complete against the stated requirement.; Searched for music, audio, copyright, infringement, takedown, reuse, remix in source code and found no implementation.</t>
        </is>
      </c>
      <c r="BG530" s="29" t="inlineStr">
        <is>
          <t>Unknown</t>
        </is>
      </c>
      <c r="BH530" s="29" t="inlineStr"/>
      <c r="BI530" s="29" t="inlineStr"/>
      <c r="BJ530" s="29" t="inlineStr"/>
      <c r="BK530" s="29" t="inlineStr">
        <is>
          <t>Evidence reconciled against the reviewed source revision. No production approval is inferred from implementation or file presence.</t>
        </is>
      </c>
      <c r="BL530" s="29" t="inlineStr">
        <is>
          <t>2026-08-02</t>
        </is>
      </c>
    </row>
    <row r="531" ht="42" customHeight="1">
      <c r="A531" s="29" t="inlineStr">
        <is>
          <t>BLYP-26-012</t>
        </is>
      </c>
      <c r="B531" s="29" t="inlineStr"/>
      <c r="C531" s="29" t="inlineStr">
        <is>
          <t>Content rights, music, and reuse</t>
        </is>
      </c>
      <c r="D531" s="29" t="n">
        <v>26</v>
      </c>
      <c r="E531" s="29" t="n">
        <v>12</v>
      </c>
      <c r="F531" s="29" t="inlineStr">
        <is>
          <t>Feature</t>
        </is>
      </c>
      <c r="G531" s="29" t="inlineStr">
        <is>
          <t>External-platform music rejection warning</t>
        </is>
      </c>
      <c r="H531" s="29" t="inlineStr">
        <is>
          <t>External-platform music rejection warning</t>
        </is>
      </c>
      <c r="I531" s="29" t="inlineStr">
        <is>
          <t>/home/ubuntu/blyp_product_requirements.md :: Section 26 — Content rights, music, and reuse</t>
        </is>
      </c>
      <c r="J531" s="29" t="inlineStr">
        <is>
          <t>/home/ubuntu/BLYP_COMPLETE_FEATURE_LIST.md:670</t>
        </is>
      </c>
      <c r="K531" s="29" t="inlineStr">
        <is>
          <t>Required</t>
        </is>
      </c>
      <c r="L531" s="29" t="inlineStr">
        <is>
          <t>Applicable BLYP member</t>
        </is>
      </c>
      <c r="M531" s="29" t="inlineStr">
        <is>
          <t>BLYP mobile application and supporting production services</t>
        </is>
      </c>
      <c r="N531" s="29" t="inlineStr">
        <is>
          <t>External-platform music rejection warning</t>
        </is>
      </c>
      <c r="O531" s="29" t="inlineStr">
        <is>
          <t>Not explicitly defined in the product source; requires accountable product approval before production sign-off.</t>
        </is>
      </c>
      <c r="P531" s="29" t="inlineStr"/>
      <c r="Q531" s="29" t="inlineStr">
        <is>
          <t>No evidence</t>
        </is>
      </c>
      <c r="R531" s="29" t="inlineStr"/>
      <c r="S531" s="29" t="inlineStr">
        <is>
          <t>Not found</t>
        </is>
      </c>
      <c r="T531" s="29" t="inlineStr">
        <is>
          <t>Unknown</t>
        </is>
      </c>
      <c r="U531" s="29" t="inlineStr">
        <is>
          <t>Unknown</t>
        </is>
      </c>
      <c r="V531" s="29" t="inlineStr">
        <is>
          <t>Unknown</t>
        </is>
      </c>
      <c r="W531" s="29" t="inlineStr">
        <is>
          <t>Unknown</t>
        </is>
      </c>
      <c r="X531" s="29" t="inlineStr">
        <is>
          <t>Unknown</t>
        </is>
      </c>
      <c r="Y531" s="29" t="inlineStr">
        <is>
          <t>Unknown</t>
        </is>
      </c>
      <c r="Z531" s="29" t="inlineStr">
        <is>
          <t>Unknown</t>
        </is>
      </c>
      <c r="AA531" s="29" t="inlineStr">
        <is>
          <t>Unknown</t>
        </is>
      </c>
      <c r="AB531" s="29" t="inlineStr">
        <is>
          <t>Unknown</t>
        </is>
      </c>
      <c r="AC531" s="29" t="inlineStr"/>
      <c r="AD531" s="29" t="inlineStr">
        <is>
          <t>Unknown</t>
        </is>
      </c>
      <c r="AE531" s="29" t="inlineStr">
        <is>
          <t>Unknown</t>
        </is>
      </c>
      <c r="AF531" s="29" t="inlineStr"/>
      <c r="AG531" s="29" t="inlineStr">
        <is>
          <t>Unknown</t>
        </is>
      </c>
      <c r="AH531" s="29" t="inlineStr">
        <is>
          <t>Unknown</t>
        </is>
      </c>
      <c r="AI531" s="29" t="inlineStr">
        <is>
          <t>Searched for music, audio, copyright, infringement, takedown, reuse, remix in source code and found no implementation.</t>
        </is>
      </c>
      <c r="AJ531" s="29" t="inlineStr">
        <is>
          <t>Not verified</t>
        </is>
      </c>
      <c r="AK531" s="29" t="inlineStr"/>
      <c r="AL531" s="29" t="inlineStr"/>
      <c r="AM531" s="29" t="inlineStr"/>
      <c r="AN531" s="29" t="inlineStr"/>
      <c r="AO531" s="29" t="inlineStr">
        <is>
          <t>8bc0dcb2a1da1b21368c5536aaeef829d587f316</t>
        </is>
      </c>
      <c r="AP531" s="29" t="inlineStr">
        <is>
          <t>Low</t>
        </is>
      </c>
      <c r="AQ531" s="29" t="inlineStr">
        <is>
          <t>Not assessed</t>
        </is>
      </c>
      <c r="AR531" s="29" t="inlineStr">
        <is>
          <t>Not assessed</t>
        </is>
      </c>
      <c r="AS531" s="29" t="inlineStr">
        <is>
          <t>Not assessed</t>
        </is>
      </c>
      <c r="AT531" s="29" t="inlineStr">
        <is>
          <t>Not assessed</t>
        </is>
      </c>
      <c r="AU531" s="29" t="inlineStr">
        <is>
          <t>Not assessed</t>
        </is>
      </c>
      <c r="AV531" s="29" t="inlineStr">
        <is>
          <t>Not assessed</t>
        </is>
      </c>
      <c r="AW531" s="29" t="inlineStr">
        <is>
          <t>Not assessed</t>
        </is>
      </c>
      <c r="AX531" s="29" t="inlineStr">
        <is>
          <t>Not assessed</t>
        </is>
      </c>
      <c r="AY531" s="29" t="inlineStr">
        <is>
          <t>Not assessed</t>
        </is>
      </c>
      <c r="AZ531" s="29" t="inlineStr">
        <is>
          <t>Not assessed</t>
        </is>
      </c>
      <c r="BA531" s="29" t="inlineStr">
        <is>
          <t>Not assessed</t>
        </is>
      </c>
      <c r="BB531" s="29" t="inlineStr">
        <is>
          <t>Not assessed</t>
        </is>
      </c>
      <c r="BC531" s="29" t="inlineStr">
        <is>
          <t>Not assessed</t>
        </is>
      </c>
      <c r="BD531" s="29" t="inlineStr">
        <is>
          <t>Not assessed</t>
        </is>
      </c>
      <c r="BE531" s="29" t="inlineStr">
        <is>
          <t>Development required</t>
        </is>
      </c>
      <c r="BF531" s="29" t="inlineStr">
        <is>
          <t>Physical implementation is not complete against the stated requirement.; Searched for music, audio, copyright, infringement, takedown, reuse, remix in source code and found no implementation.</t>
        </is>
      </c>
      <c r="BG531" s="29" t="inlineStr">
        <is>
          <t>Unknown</t>
        </is>
      </c>
      <c r="BH531" s="29" t="inlineStr"/>
      <c r="BI531" s="29" t="inlineStr"/>
      <c r="BJ531" s="29" t="inlineStr"/>
      <c r="BK531" s="29" t="inlineStr">
        <is>
          <t>Evidence reconciled against the reviewed source revision. No production approval is inferred from implementation or file presence.</t>
        </is>
      </c>
      <c r="BL531" s="29" t="inlineStr">
        <is>
          <t>2026-08-02</t>
        </is>
      </c>
    </row>
    <row r="532" ht="42" customHeight="1">
      <c r="A532" s="29" t="inlineStr">
        <is>
          <t>BLYP-26-013</t>
        </is>
      </c>
      <c r="B532" s="29" t="inlineStr"/>
      <c r="C532" s="29" t="inlineStr">
        <is>
          <t>Content rights, music, and reuse</t>
        </is>
      </c>
      <c r="D532" s="29" t="n">
        <v>26</v>
      </c>
      <c r="E532" s="29" t="n">
        <v>13</v>
      </c>
      <c r="F532" s="29" t="inlineStr">
        <is>
          <t>Feature</t>
        </is>
      </c>
      <c r="G532" s="29" t="inlineStr">
        <is>
          <t>Infringement reporting</t>
        </is>
      </c>
      <c r="H532" s="29" t="inlineStr">
        <is>
          <t>Infringement reporting</t>
        </is>
      </c>
      <c r="I532" s="29" t="inlineStr">
        <is>
          <t>/home/ubuntu/blyp_product_requirements.md :: Section 26 — Content rights, music, and reuse</t>
        </is>
      </c>
      <c r="J532" s="29" t="inlineStr">
        <is>
          <t>/home/ubuntu/BLYP_COMPLETE_FEATURE_LIST.md:671</t>
        </is>
      </c>
      <c r="K532" s="29" t="inlineStr">
        <is>
          <t>Required</t>
        </is>
      </c>
      <c r="L532" s="29" t="inlineStr">
        <is>
          <t>Applicable BLYP member</t>
        </is>
      </c>
      <c r="M532" s="29" t="inlineStr">
        <is>
          <t>BLYP mobile application and supporting production services</t>
        </is>
      </c>
      <c r="N532" s="29" t="inlineStr">
        <is>
          <t>Infringement reporting</t>
        </is>
      </c>
      <c r="O532" s="29" t="inlineStr">
        <is>
          <t>Not explicitly defined in the product source; requires accountable product approval before production sign-off.</t>
        </is>
      </c>
      <c r="P532" s="29" t="inlineStr"/>
      <c r="Q532" s="29" t="inlineStr">
        <is>
          <t>No evidence</t>
        </is>
      </c>
      <c r="R532" s="29" t="inlineStr"/>
      <c r="S532" s="29" t="inlineStr">
        <is>
          <t>Not found</t>
        </is>
      </c>
      <c r="T532" s="29" t="inlineStr">
        <is>
          <t>Unknown</t>
        </is>
      </c>
      <c r="U532" s="29" t="inlineStr">
        <is>
          <t>Unknown</t>
        </is>
      </c>
      <c r="V532" s="29" t="inlineStr">
        <is>
          <t>Unknown</t>
        </is>
      </c>
      <c r="W532" s="29" t="inlineStr">
        <is>
          <t>Unknown</t>
        </is>
      </c>
      <c r="X532" s="29" t="inlineStr">
        <is>
          <t>Unknown</t>
        </is>
      </c>
      <c r="Y532" s="29" t="inlineStr">
        <is>
          <t>Unknown</t>
        </is>
      </c>
      <c r="Z532" s="29" t="inlineStr">
        <is>
          <t>Unknown</t>
        </is>
      </c>
      <c r="AA532" s="29" t="inlineStr">
        <is>
          <t>Unknown</t>
        </is>
      </c>
      <c r="AB532" s="29" t="inlineStr">
        <is>
          <t>Unknown</t>
        </is>
      </c>
      <c r="AC532" s="29" t="inlineStr"/>
      <c r="AD532" s="29" t="inlineStr">
        <is>
          <t>Unknown</t>
        </is>
      </c>
      <c r="AE532" s="29" t="inlineStr">
        <is>
          <t>Unknown</t>
        </is>
      </c>
      <c r="AF532" s="29" t="inlineStr"/>
      <c r="AG532" s="29" t="inlineStr">
        <is>
          <t>Unknown</t>
        </is>
      </c>
      <c r="AH532" s="29" t="inlineStr">
        <is>
          <t>Unknown</t>
        </is>
      </c>
      <c r="AI532" s="29" t="inlineStr">
        <is>
          <t>Searched for music, audio, copyright, infringement, takedown, reuse, remix in source code and found no implementation.</t>
        </is>
      </c>
      <c r="AJ532" s="29" t="inlineStr">
        <is>
          <t>Not verified</t>
        </is>
      </c>
      <c r="AK532" s="29" t="inlineStr"/>
      <c r="AL532" s="29" t="inlineStr"/>
      <c r="AM532" s="29" t="inlineStr"/>
      <c r="AN532" s="29" t="inlineStr"/>
      <c r="AO532" s="29" t="inlineStr">
        <is>
          <t>8bc0dcb2a1da1b21368c5536aaeef829d587f316</t>
        </is>
      </c>
      <c r="AP532" s="29" t="inlineStr">
        <is>
          <t>Low</t>
        </is>
      </c>
      <c r="AQ532" s="29" t="inlineStr">
        <is>
          <t>Not assessed</t>
        </is>
      </c>
      <c r="AR532" s="29" t="inlineStr">
        <is>
          <t>Not assessed</t>
        </is>
      </c>
      <c r="AS532" s="29" t="inlineStr">
        <is>
          <t>Not assessed</t>
        </is>
      </c>
      <c r="AT532" s="29" t="inlineStr">
        <is>
          <t>Not assessed</t>
        </is>
      </c>
      <c r="AU532" s="29" t="inlineStr">
        <is>
          <t>Not assessed</t>
        </is>
      </c>
      <c r="AV532" s="29" t="inlineStr">
        <is>
          <t>Not assessed</t>
        </is>
      </c>
      <c r="AW532" s="29" t="inlineStr">
        <is>
          <t>Not assessed</t>
        </is>
      </c>
      <c r="AX532" s="29" t="inlineStr">
        <is>
          <t>Not assessed</t>
        </is>
      </c>
      <c r="AY532" s="29" t="inlineStr">
        <is>
          <t>Not assessed</t>
        </is>
      </c>
      <c r="AZ532" s="29" t="inlineStr">
        <is>
          <t>Not assessed</t>
        </is>
      </c>
      <c r="BA532" s="29" t="inlineStr">
        <is>
          <t>Not assessed</t>
        </is>
      </c>
      <c r="BB532" s="29" t="inlineStr">
        <is>
          <t>Not assessed</t>
        </is>
      </c>
      <c r="BC532" s="29" t="inlineStr">
        <is>
          <t>Not assessed</t>
        </is>
      </c>
      <c r="BD532" s="29" t="inlineStr">
        <is>
          <t>Not assessed</t>
        </is>
      </c>
      <c r="BE532" s="29" t="inlineStr">
        <is>
          <t>Development required</t>
        </is>
      </c>
      <c r="BF532" s="29" t="inlineStr">
        <is>
          <t>Physical implementation is not complete against the stated requirement.; Searched for music, audio, copyright, infringement, takedown, reuse, remix in source code and found no implementation.</t>
        </is>
      </c>
      <c r="BG532" s="29" t="inlineStr">
        <is>
          <t>Unknown</t>
        </is>
      </c>
      <c r="BH532" s="29" t="inlineStr"/>
      <c r="BI532" s="29" t="inlineStr"/>
      <c r="BJ532" s="29" t="inlineStr"/>
      <c r="BK532" s="29" t="inlineStr">
        <is>
          <t>Evidence reconciled against the reviewed source revision. No production approval is inferred from implementation or file presence.</t>
        </is>
      </c>
      <c r="BL532" s="29" t="inlineStr">
        <is>
          <t>2026-08-02</t>
        </is>
      </c>
    </row>
    <row r="533" ht="42" customHeight="1">
      <c r="A533" s="29" t="inlineStr">
        <is>
          <t>BLYP-26-014</t>
        </is>
      </c>
      <c r="B533" s="29" t="inlineStr"/>
      <c r="C533" s="29" t="inlineStr">
        <is>
          <t>Content rights, music, and reuse</t>
        </is>
      </c>
      <c r="D533" s="29" t="n">
        <v>26</v>
      </c>
      <c r="E533" s="29" t="n">
        <v>14</v>
      </c>
      <c r="F533" s="29" t="inlineStr">
        <is>
          <t>Feature</t>
        </is>
      </c>
      <c r="G533" s="29" t="inlineStr">
        <is>
          <t>Infringement appeal</t>
        </is>
      </c>
      <c r="H533" s="29" t="inlineStr">
        <is>
          <t>Infringement appeal</t>
        </is>
      </c>
      <c r="I533" s="29" t="inlineStr">
        <is>
          <t>/home/ubuntu/blyp_product_requirements.md :: Section 26 — Content rights, music, and reuse</t>
        </is>
      </c>
      <c r="J533" s="29" t="inlineStr">
        <is>
          <t>/home/ubuntu/BLYP_COMPLETE_FEATURE_LIST.md:672</t>
        </is>
      </c>
      <c r="K533" s="29" t="inlineStr">
        <is>
          <t>Required</t>
        </is>
      </c>
      <c r="L533" s="29" t="inlineStr">
        <is>
          <t>Applicable BLYP member</t>
        </is>
      </c>
      <c r="M533" s="29" t="inlineStr">
        <is>
          <t>BLYP mobile application and supporting production services</t>
        </is>
      </c>
      <c r="N533" s="29" t="inlineStr">
        <is>
          <t>Infringement appeal</t>
        </is>
      </c>
      <c r="O533" s="29" t="inlineStr">
        <is>
          <t>Not explicitly defined in the product source; requires accountable product approval before production sign-off.</t>
        </is>
      </c>
      <c r="P533" s="29" t="inlineStr"/>
      <c r="Q533" s="29" t="inlineStr">
        <is>
          <t>No evidence</t>
        </is>
      </c>
      <c r="R533" s="29" t="inlineStr"/>
      <c r="S533" s="29" t="inlineStr">
        <is>
          <t>Not found</t>
        </is>
      </c>
      <c r="T533" s="29" t="inlineStr">
        <is>
          <t>Unknown</t>
        </is>
      </c>
      <c r="U533" s="29" t="inlineStr">
        <is>
          <t>Unknown</t>
        </is>
      </c>
      <c r="V533" s="29" t="inlineStr">
        <is>
          <t>Unknown</t>
        </is>
      </c>
      <c r="W533" s="29" t="inlineStr">
        <is>
          <t>Unknown</t>
        </is>
      </c>
      <c r="X533" s="29" t="inlineStr">
        <is>
          <t>Unknown</t>
        </is>
      </c>
      <c r="Y533" s="29" t="inlineStr">
        <is>
          <t>Unknown</t>
        </is>
      </c>
      <c r="Z533" s="29" t="inlineStr">
        <is>
          <t>Unknown</t>
        </is>
      </c>
      <c r="AA533" s="29" t="inlineStr">
        <is>
          <t>Unknown</t>
        </is>
      </c>
      <c r="AB533" s="29" t="inlineStr">
        <is>
          <t>Unknown</t>
        </is>
      </c>
      <c r="AC533" s="29" t="inlineStr"/>
      <c r="AD533" s="29" t="inlineStr">
        <is>
          <t>Unknown</t>
        </is>
      </c>
      <c r="AE533" s="29" t="inlineStr">
        <is>
          <t>Unknown</t>
        </is>
      </c>
      <c r="AF533" s="29" t="inlineStr"/>
      <c r="AG533" s="29" t="inlineStr">
        <is>
          <t>Unknown</t>
        </is>
      </c>
      <c r="AH533" s="29" t="inlineStr">
        <is>
          <t>Unknown</t>
        </is>
      </c>
      <c r="AI533" s="29" t="inlineStr">
        <is>
          <t>Searched for music, audio, copyright, infringement, takedown, reuse, remix in source code and found no implementation.</t>
        </is>
      </c>
      <c r="AJ533" s="29" t="inlineStr">
        <is>
          <t>Not verified</t>
        </is>
      </c>
      <c r="AK533" s="29" t="inlineStr"/>
      <c r="AL533" s="29" t="inlineStr"/>
      <c r="AM533" s="29" t="inlineStr"/>
      <c r="AN533" s="29" t="inlineStr"/>
      <c r="AO533" s="29" t="inlineStr">
        <is>
          <t>8bc0dcb2a1da1b21368c5536aaeef829d587f316</t>
        </is>
      </c>
      <c r="AP533" s="29" t="inlineStr">
        <is>
          <t>Low</t>
        </is>
      </c>
      <c r="AQ533" s="29" t="inlineStr">
        <is>
          <t>Not assessed</t>
        </is>
      </c>
      <c r="AR533" s="29" t="inlineStr">
        <is>
          <t>Not assessed</t>
        </is>
      </c>
      <c r="AS533" s="29" t="inlineStr">
        <is>
          <t>Not assessed</t>
        </is>
      </c>
      <c r="AT533" s="29" t="inlineStr">
        <is>
          <t>Not assessed</t>
        </is>
      </c>
      <c r="AU533" s="29" t="inlineStr">
        <is>
          <t>Not assessed</t>
        </is>
      </c>
      <c r="AV533" s="29" t="inlineStr">
        <is>
          <t>Not assessed</t>
        </is>
      </c>
      <c r="AW533" s="29" t="inlineStr">
        <is>
          <t>Not assessed</t>
        </is>
      </c>
      <c r="AX533" s="29" t="inlineStr">
        <is>
          <t>Not assessed</t>
        </is>
      </c>
      <c r="AY533" s="29" t="inlineStr">
        <is>
          <t>Not assessed</t>
        </is>
      </c>
      <c r="AZ533" s="29" t="inlineStr">
        <is>
          <t>Not assessed</t>
        </is>
      </c>
      <c r="BA533" s="29" t="inlineStr">
        <is>
          <t>Not assessed</t>
        </is>
      </c>
      <c r="BB533" s="29" t="inlineStr">
        <is>
          <t>Not assessed</t>
        </is>
      </c>
      <c r="BC533" s="29" t="inlineStr">
        <is>
          <t>Not assessed</t>
        </is>
      </c>
      <c r="BD533" s="29" t="inlineStr">
        <is>
          <t>Not assessed</t>
        </is>
      </c>
      <c r="BE533" s="29" t="inlineStr">
        <is>
          <t>Development required</t>
        </is>
      </c>
      <c r="BF533" s="29" t="inlineStr">
        <is>
          <t>Physical implementation is not complete against the stated requirement.; Searched for music, audio, copyright, infringement, takedown, reuse, remix in source code and found no implementation.</t>
        </is>
      </c>
      <c r="BG533" s="29" t="inlineStr">
        <is>
          <t>Unknown</t>
        </is>
      </c>
      <c r="BH533" s="29" t="inlineStr"/>
      <c r="BI533" s="29" t="inlineStr"/>
      <c r="BJ533" s="29" t="inlineStr"/>
      <c r="BK533" s="29" t="inlineStr">
        <is>
          <t>Evidence reconciled against the reviewed source revision. No production approval is inferred from implementation or file presence.</t>
        </is>
      </c>
      <c r="BL533" s="29" t="inlineStr">
        <is>
          <t>2026-08-02</t>
        </is>
      </c>
    </row>
    <row r="534" ht="42" customHeight="1">
      <c r="A534" s="29" t="inlineStr">
        <is>
          <t>BLYP-26-015</t>
        </is>
      </c>
      <c r="B534" s="29" t="inlineStr"/>
      <c r="C534" s="29" t="inlineStr">
        <is>
          <t>Content rights, music, and reuse</t>
        </is>
      </c>
      <c r="D534" s="29" t="n">
        <v>26</v>
      </c>
      <c r="E534" s="29" t="n">
        <v>15</v>
      </c>
      <c r="F534" s="29" t="inlineStr">
        <is>
          <t>Rule</t>
        </is>
      </c>
      <c r="G534" s="29" t="inlineStr">
        <is>
          <t>Safeguards against abusive takedowns</t>
        </is>
      </c>
      <c r="H534" s="29" t="inlineStr">
        <is>
          <t>Safeguards against abusive takedowns</t>
        </is>
      </c>
      <c r="I534" s="29" t="inlineStr">
        <is>
          <t>/home/ubuntu/blyp_product_requirements.md :: Section 26 — Content rights, music, and reuse</t>
        </is>
      </c>
      <c r="J534" s="29" t="inlineStr">
        <is>
          <t>/home/ubuntu/BLYP_COMPLETE_FEATURE_LIST.md:673</t>
        </is>
      </c>
      <c r="K534" s="29" t="inlineStr">
        <is>
          <t>Required</t>
        </is>
      </c>
      <c r="L534" s="29" t="inlineStr">
        <is>
          <t>Applicable BLYP member</t>
        </is>
      </c>
      <c r="M534" s="29" t="inlineStr">
        <is>
          <t>BLYP mobile application and supporting production services</t>
        </is>
      </c>
      <c r="N534" s="29" t="inlineStr">
        <is>
          <t>Safeguards against abusive takedowns</t>
        </is>
      </c>
      <c r="O534" s="29" t="inlineStr">
        <is>
          <t>Not explicitly defined in the product source; requires accountable product approval before production sign-off.</t>
        </is>
      </c>
      <c r="P534" s="29" t="inlineStr"/>
      <c r="Q534" s="29" t="inlineStr">
        <is>
          <t>No evidence</t>
        </is>
      </c>
      <c r="R534" s="29" t="inlineStr"/>
      <c r="S534" s="29" t="inlineStr">
        <is>
          <t>Not found</t>
        </is>
      </c>
      <c r="T534" s="29" t="inlineStr">
        <is>
          <t>Unknown</t>
        </is>
      </c>
      <c r="U534" s="29" t="inlineStr">
        <is>
          <t>Unknown</t>
        </is>
      </c>
      <c r="V534" s="29" t="inlineStr">
        <is>
          <t>Unknown</t>
        </is>
      </c>
      <c r="W534" s="29" t="inlineStr">
        <is>
          <t>Unknown</t>
        </is>
      </c>
      <c r="X534" s="29" t="inlineStr">
        <is>
          <t>Unknown</t>
        </is>
      </c>
      <c r="Y534" s="29" t="inlineStr">
        <is>
          <t>Unknown</t>
        </is>
      </c>
      <c r="Z534" s="29" t="inlineStr">
        <is>
          <t>Unknown</t>
        </is>
      </c>
      <c r="AA534" s="29" t="inlineStr">
        <is>
          <t>Unknown</t>
        </is>
      </c>
      <c r="AB534" s="29" t="inlineStr">
        <is>
          <t>Unknown</t>
        </is>
      </c>
      <c r="AC534" s="29" t="inlineStr"/>
      <c r="AD534" s="29" t="inlineStr">
        <is>
          <t>Unknown</t>
        </is>
      </c>
      <c r="AE534" s="29" t="inlineStr">
        <is>
          <t>Unknown</t>
        </is>
      </c>
      <c r="AF534" s="29" t="inlineStr"/>
      <c r="AG534" s="29" t="inlineStr">
        <is>
          <t>Unknown</t>
        </is>
      </c>
      <c r="AH534" s="29" t="inlineStr">
        <is>
          <t>Unknown</t>
        </is>
      </c>
      <c r="AI534" s="29" t="inlineStr">
        <is>
          <t>Searched for music, audio, copyright, infringement, takedown, reuse, remix in source code and found no implementation.</t>
        </is>
      </c>
      <c r="AJ534" s="29" t="inlineStr">
        <is>
          <t>Not verified</t>
        </is>
      </c>
      <c r="AK534" s="29" t="inlineStr"/>
      <c r="AL534" s="29" t="inlineStr"/>
      <c r="AM534" s="29" t="inlineStr"/>
      <c r="AN534" s="29" t="inlineStr"/>
      <c r="AO534" s="29" t="inlineStr">
        <is>
          <t>8bc0dcb2a1da1b21368c5536aaeef829d587f316</t>
        </is>
      </c>
      <c r="AP534" s="29" t="inlineStr">
        <is>
          <t>Low</t>
        </is>
      </c>
      <c r="AQ534" s="29" t="inlineStr">
        <is>
          <t>Not assessed</t>
        </is>
      </c>
      <c r="AR534" s="29" t="inlineStr">
        <is>
          <t>Not assessed</t>
        </is>
      </c>
      <c r="AS534" s="29" t="inlineStr">
        <is>
          <t>Not assessed</t>
        </is>
      </c>
      <c r="AT534" s="29" t="inlineStr">
        <is>
          <t>Not assessed</t>
        </is>
      </c>
      <c r="AU534" s="29" t="inlineStr">
        <is>
          <t>Not assessed</t>
        </is>
      </c>
      <c r="AV534" s="29" t="inlineStr">
        <is>
          <t>Not assessed</t>
        </is>
      </c>
      <c r="AW534" s="29" t="inlineStr">
        <is>
          <t>Not assessed</t>
        </is>
      </c>
      <c r="AX534" s="29" t="inlineStr">
        <is>
          <t>Not assessed</t>
        </is>
      </c>
      <c r="AY534" s="29" t="inlineStr">
        <is>
          <t>Not assessed</t>
        </is>
      </c>
      <c r="AZ534" s="29" t="inlineStr">
        <is>
          <t>Not assessed</t>
        </is>
      </c>
      <c r="BA534" s="29" t="inlineStr">
        <is>
          <t>Not assessed</t>
        </is>
      </c>
      <c r="BB534" s="29" t="inlineStr">
        <is>
          <t>Not assessed</t>
        </is>
      </c>
      <c r="BC534" s="29" t="inlineStr">
        <is>
          <t>Not assessed</t>
        </is>
      </c>
      <c r="BD534" s="29" t="inlineStr">
        <is>
          <t>Not assessed</t>
        </is>
      </c>
      <c r="BE534" s="29" t="inlineStr">
        <is>
          <t>Development required</t>
        </is>
      </c>
      <c r="BF534" s="29" t="inlineStr">
        <is>
          <t>Physical implementation is not complete against the stated requirement.; Searched for music, audio, copyright, infringement, takedown, reuse, remix in source code and found no implementation.</t>
        </is>
      </c>
      <c r="BG534" s="29" t="inlineStr">
        <is>
          <t>Unknown</t>
        </is>
      </c>
      <c r="BH534" s="29" t="inlineStr"/>
      <c r="BI534" s="29" t="inlineStr"/>
      <c r="BJ534" s="29" t="inlineStr"/>
      <c r="BK534" s="29" t="inlineStr">
        <is>
          <t>Evidence reconciled against the reviewed source revision. No production approval is inferred from implementation or file presence.</t>
        </is>
      </c>
      <c r="BL534" s="29" t="inlineStr">
        <is>
          <t>2026-08-02</t>
        </is>
      </c>
    </row>
    <row r="535" ht="42" customHeight="1">
      <c r="A535" s="29" t="inlineStr">
        <is>
          <t>BLYP-27-001</t>
        </is>
      </c>
      <c r="B535" s="29" t="inlineStr"/>
      <c r="C535" s="29" t="inlineStr">
        <is>
          <t>Unified Inbox and messaging</t>
        </is>
      </c>
      <c r="D535" s="29" t="n">
        <v>27</v>
      </c>
      <c r="E535" s="29" t="n">
        <v>1</v>
      </c>
      <c r="F535" s="29" t="inlineStr">
        <is>
          <t>Feature</t>
        </is>
      </c>
      <c r="G535" s="29" t="inlineStr">
        <is>
          <t>Inbox/chat list</t>
        </is>
      </c>
      <c r="H535" s="29" t="inlineStr">
        <is>
          <t>Inbox/chat list</t>
        </is>
      </c>
      <c r="I535" s="29" t="inlineStr">
        <is>
          <t>/home/ubuntu/blyp_product_requirements.md :: Section 27 — Unified Inbox and messaging</t>
        </is>
      </c>
      <c r="J535" s="29" t="inlineStr">
        <is>
          <t>/home/ubuntu/BLYP_COMPLETE_FEATURE_LIST.md:679</t>
        </is>
      </c>
      <c r="K535" s="29" t="inlineStr">
        <is>
          <t>Required</t>
        </is>
      </c>
      <c r="L535" s="29" t="inlineStr">
        <is>
          <t>Applicable BLYP member</t>
        </is>
      </c>
      <c r="M535" s="29" t="inlineStr">
        <is>
          <t>BLYP mobile application and supporting production services</t>
        </is>
      </c>
      <c r="N535" s="29" t="inlineStr">
        <is>
          <t>Inbox/chat list</t>
        </is>
      </c>
      <c r="O535" s="29" t="inlineStr">
        <is>
          <t>Not explicitly defined in the product source; requires accountable product approval before production sign-off.</t>
        </is>
      </c>
      <c r="P535" s="29" t="inlineStr">
        <is>
          <t>None; Firestore (chats, messages)</t>
        </is>
      </c>
      <c r="Q535" s="29" t="inlineStr">
        <is>
          <t>Yes</t>
        </is>
      </c>
      <c r="R535" s="29" t="inlineStr"/>
      <c r="S535" s="29" t="inlineStr">
        <is>
          <t>Partial</t>
        </is>
      </c>
      <c r="T535" s="29" t="inlineStr">
        <is>
          <t>ChatListScreen.js, MessengerScreen.js</t>
        </is>
      </c>
      <c r="U535" s="29" t="inlineStr">
        <is>
          <t>ChatListScreen, MessengerScreen</t>
        </is>
      </c>
      <c r="V535" s="29" t="inlineStr">
        <is>
          <t>None</t>
        </is>
      </c>
      <c r="W535" s="29" t="inlineStr">
        <is>
          <t>None</t>
        </is>
      </c>
      <c r="X535" s="29" t="inlineStr">
        <is>
          <t>Firestore (chats, messages)</t>
        </is>
      </c>
      <c r="Y535" s="29" t="inlineStr">
        <is>
          <t>None</t>
        </is>
      </c>
      <c r="Z535" s="29" t="inlineStr">
        <is>
          <t>None</t>
        </is>
      </c>
      <c r="AA535" s="29" t="inlineStr">
        <is>
          <t>None</t>
        </is>
      </c>
      <c r="AB535" s="29" t="inlineStr">
        <is>
          <t>None</t>
        </is>
      </c>
      <c r="AC535" s="29" t="inlineStr"/>
      <c r="AD535" s="29" t="inlineStr">
        <is>
          <t>None</t>
        </is>
      </c>
      <c r="AE535" s="29" t="inlineStr">
        <is>
          <t>Internally reachable</t>
        </is>
      </c>
      <c r="AF535" s="29" t="inlineStr">
        <is>
          <t>ChatListScreen.js, MessengerScreen.js; None</t>
        </is>
      </c>
      <c r="AG535" s="29" t="inlineStr">
        <is>
          <t>Incomplete</t>
        </is>
      </c>
      <c r="AH535" s="29" t="inlineStr">
        <is>
          <t>No</t>
        </is>
      </c>
      <c r="AI535" s="29" t="inlineStr">
        <is>
          <t>Missing full inbox functionality</t>
        </is>
      </c>
      <c r="AJ535" s="29" t="inlineStr">
        <is>
          <t>Not verified</t>
        </is>
      </c>
      <c r="AK535" s="29" t="inlineStr">
        <is>
          <t>EV-27-0001</t>
        </is>
      </c>
      <c r="AL535" s="29" t="inlineStr"/>
      <c r="AM535" s="29" t="inlineStr"/>
      <c r="AN535" s="29" t="inlineStr"/>
      <c r="AO535" s="29" t="inlineStr">
        <is>
          <t>8bc0dcb2a1da1b21368c5536aaeef829d587f316</t>
        </is>
      </c>
      <c r="AP535" s="29" t="inlineStr">
        <is>
          <t>Medium</t>
        </is>
      </c>
      <c r="AQ535" s="29" t="inlineStr">
        <is>
          <t>Not assessed</t>
        </is>
      </c>
      <c r="AR535" s="29" t="inlineStr">
        <is>
          <t>Not assessed</t>
        </is>
      </c>
      <c r="AS535" s="29" t="inlineStr">
        <is>
          <t>Fail</t>
        </is>
      </c>
      <c r="AT535" s="29" t="inlineStr">
        <is>
          <t>Not assessed</t>
        </is>
      </c>
      <c r="AU535" s="29" t="inlineStr">
        <is>
          <t>Not assessed</t>
        </is>
      </c>
      <c r="AV535" s="29" t="inlineStr">
        <is>
          <t>Not assessed</t>
        </is>
      </c>
      <c r="AW535" s="29" t="inlineStr">
        <is>
          <t>Not assessed</t>
        </is>
      </c>
      <c r="AX535" s="29" t="inlineStr">
        <is>
          <t>Not assessed</t>
        </is>
      </c>
      <c r="AY535" s="29" t="inlineStr">
        <is>
          <t>Not assessed</t>
        </is>
      </c>
      <c r="AZ535" s="29" t="inlineStr">
        <is>
          <t>Not assessed</t>
        </is>
      </c>
      <c r="BA535" s="29" t="inlineStr">
        <is>
          <t>Not assessed</t>
        </is>
      </c>
      <c r="BB535" s="29" t="inlineStr">
        <is>
          <t>Not assessed</t>
        </is>
      </c>
      <c r="BC535" s="29" t="inlineStr">
        <is>
          <t>Not assessed</t>
        </is>
      </c>
      <c r="BD535" s="29" t="inlineStr">
        <is>
          <t>Not assessed</t>
        </is>
      </c>
      <c r="BE535" s="29" t="inlineStr">
        <is>
          <t>Development required</t>
        </is>
      </c>
      <c r="BF535" s="29" t="inlineStr">
        <is>
          <t>Physical implementation is not complete against the stated requirement.; Missing full inbox functionality</t>
        </is>
      </c>
      <c r="BG535" s="29" t="inlineStr"/>
      <c r="BH535" s="29" t="inlineStr"/>
      <c r="BI535" s="29" t="inlineStr"/>
      <c r="BJ535" s="29" t="inlineStr"/>
      <c r="BK535" s="29" t="inlineStr">
        <is>
          <t>Evidence reconciled against the reviewed source revision. No production approval is inferred from implementation or file presence.</t>
        </is>
      </c>
      <c r="BL535" s="29" t="inlineStr">
        <is>
          <t>2026-08-02</t>
        </is>
      </c>
    </row>
    <row r="536" ht="42" customHeight="1">
      <c r="A536" s="29" t="inlineStr">
        <is>
          <t>BLYP-27-002</t>
        </is>
      </c>
      <c r="B536" s="29" t="inlineStr"/>
      <c r="C536" s="29" t="inlineStr">
        <is>
          <t>Unified Inbox and messaging</t>
        </is>
      </c>
      <c r="D536" s="29" t="n">
        <v>27</v>
      </c>
      <c r="E536" s="29" t="n">
        <v>2</v>
      </c>
      <c r="F536" s="29" t="inlineStr">
        <is>
          <t>Feature</t>
        </is>
      </c>
      <c r="G536" s="29" t="inlineStr">
        <is>
          <t>Direct conversations</t>
        </is>
      </c>
      <c r="H536" s="29" t="inlineStr">
        <is>
          <t>Direct conversations</t>
        </is>
      </c>
      <c r="I536" s="29" t="inlineStr">
        <is>
          <t>/home/ubuntu/blyp_product_requirements.md :: Section 27 — Unified Inbox and messaging</t>
        </is>
      </c>
      <c r="J536" s="29" t="inlineStr">
        <is>
          <t>/home/ubuntu/BLYP_COMPLETE_FEATURE_LIST.md:680</t>
        </is>
      </c>
      <c r="K536" s="29" t="inlineStr">
        <is>
          <t>Required</t>
        </is>
      </c>
      <c r="L536" s="29" t="inlineStr">
        <is>
          <t>Applicable BLYP member</t>
        </is>
      </c>
      <c r="M536" s="29" t="inlineStr">
        <is>
          <t>BLYP mobile application and supporting production services</t>
        </is>
      </c>
      <c r="N536" s="29" t="inlineStr">
        <is>
          <t>Direct conversations</t>
        </is>
      </c>
      <c r="O536" s="29" t="inlineStr">
        <is>
          <t>Not explicitly defined in the product source; requires accountable product approval before production sign-off.</t>
        </is>
      </c>
      <c r="P536" s="29" t="inlineStr">
        <is>
          <t>None; Firestore (chats, messages)</t>
        </is>
      </c>
      <c r="Q536" s="29" t="inlineStr">
        <is>
          <t>Yes</t>
        </is>
      </c>
      <c r="R536" s="29" t="inlineStr"/>
      <c r="S536" s="29" t="inlineStr">
        <is>
          <t>Partial</t>
        </is>
      </c>
      <c r="T536" s="29" t="inlineStr">
        <is>
          <t>ChatConversationScreen.js</t>
        </is>
      </c>
      <c r="U536" s="29" t="inlineStr">
        <is>
          <t>ChatConversationScreen</t>
        </is>
      </c>
      <c r="V536" s="29" t="inlineStr">
        <is>
          <t>None</t>
        </is>
      </c>
      <c r="W536" s="29" t="inlineStr">
        <is>
          <t>None</t>
        </is>
      </c>
      <c r="X536" s="29" t="inlineStr">
        <is>
          <t>Firestore (chats, messages)</t>
        </is>
      </c>
      <c r="Y536" s="29" t="inlineStr">
        <is>
          <t>None</t>
        </is>
      </c>
      <c r="Z536" s="29" t="inlineStr">
        <is>
          <t>None</t>
        </is>
      </c>
      <c r="AA536" s="29" t="inlineStr">
        <is>
          <t>None</t>
        </is>
      </c>
      <c r="AB536" s="29" t="inlineStr">
        <is>
          <t>None</t>
        </is>
      </c>
      <c r="AC536" s="29" t="inlineStr"/>
      <c r="AD536" s="29" t="inlineStr">
        <is>
          <t>None</t>
        </is>
      </c>
      <c r="AE536" s="29" t="inlineStr">
        <is>
          <t>Internally reachable</t>
        </is>
      </c>
      <c r="AF536" s="29" t="inlineStr">
        <is>
          <t>ChatConversationScreen.js; None</t>
        </is>
      </c>
      <c r="AG536" s="29" t="inlineStr">
        <is>
          <t>Incomplete</t>
        </is>
      </c>
      <c r="AH536" s="29" t="inlineStr">
        <is>
          <t>No</t>
        </is>
      </c>
      <c r="AI536" s="29" t="inlineStr">
        <is>
          <t>Missing full conversation functionality</t>
        </is>
      </c>
      <c r="AJ536" s="29" t="inlineStr">
        <is>
          <t>Not verified</t>
        </is>
      </c>
      <c r="AK536" s="29" t="inlineStr">
        <is>
          <t>EV-27-0002</t>
        </is>
      </c>
      <c r="AL536" s="29" t="inlineStr"/>
      <c r="AM536" s="29" t="inlineStr"/>
      <c r="AN536" s="29" t="inlineStr"/>
      <c r="AO536" s="29" t="inlineStr">
        <is>
          <t>8bc0dcb2a1da1b21368c5536aaeef829d587f316</t>
        </is>
      </c>
      <c r="AP536" s="29" t="inlineStr">
        <is>
          <t>Medium</t>
        </is>
      </c>
      <c r="AQ536" s="29" t="inlineStr">
        <is>
          <t>Not assessed</t>
        </is>
      </c>
      <c r="AR536" s="29" t="inlineStr">
        <is>
          <t>Not assessed</t>
        </is>
      </c>
      <c r="AS536" s="29" t="inlineStr">
        <is>
          <t>Fail</t>
        </is>
      </c>
      <c r="AT536" s="29" t="inlineStr">
        <is>
          <t>Not assessed</t>
        </is>
      </c>
      <c r="AU536" s="29" t="inlineStr">
        <is>
          <t>Not assessed</t>
        </is>
      </c>
      <c r="AV536" s="29" t="inlineStr">
        <is>
          <t>Not assessed</t>
        </is>
      </c>
      <c r="AW536" s="29" t="inlineStr">
        <is>
          <t>Not assessed</t>
        </is>
      </c>
      <c r="AX536" s="29" t="inlineStr">
        <is>
          <t>Not assessed</t>
        </is>
      </c>
      <c r="AY536" s="29" t="inlineStr">
        <is>
          <t>Not assessed</t>
        </is>
      </c>
      <c r="AZ536" s="29" t="inlineStr">
        <is>
          <t>Not assessed</t>
        </is>
      </c>
      <c r="BA536" s="29" t="inlineStr">
        <is>
          <t>Not assessed</t>
        </is>
      </c>
      <c r="BB536" s="29" t="inlineStr">
        <is>
          <t>Not assessed</t>
        </is>
      </c>
      <c r="BC536" s="29" t="inlineStr">
        <is>
          <t>Not assessed</t>
        </is>
      </c>
      <c r="BD536" s="29" t="inlineStr">
        <is>
          <t>Not assessed</t>
        </is>
      </c>
      <c r="BE536" s="29" t="inlineStr">
        <is>
          <t>Development required</t>
        </is>
      </c>
      <c r="BF536" s="29" t="inlineStr">
        <is>
          <t>Physical implementation is not complete against the stated requirement.; Missing full conversation functionality</t>
        </is>
      </c>
      <c r="BG536" s="29" t="inlineStr"/>
      <c r="BH536" s="29" t="inlineStr"/>
      <c r="BI536" s="29" t="inlineStr"/>
      <c r="BJ536" s="29" t="inlineStr"/>
      <c r="BK536" s="29" t="inlineStr">
        <is>
          <t>Evidence reconciled against the reviewed source revision. No production approval is inferred from implementation or file presence.</t>
        </is>
      </c>
      <c r="BL536" s="29" t="inlineStr">
        <is>
          <t>2026-08-02</t>
        </is>
      </c>
    </row>
    <row r="537" ht="42" customHeight="1">
      <c r="A537" s="29" t="inlineStr">
        <is>
          <t>BLYP-27-003</t>
        </is>
      </c>
      <c r="B537" s="29" t="inlineStr"/>
      <c r="C537" s="29" t="inlineStr">
        <is>
          <t>Unified Inbox and messaging</t>
        </is>
      </c>
      <c r="D537" s="29" t="n">
        <v>27</v>
      </c>
      <c r="E537" s="29" t="n">
        <v>3</v>
      </c>
      <c r="F537" s="29" t="inlineStr">
        <is>
          <t>Feature</t>
        </is>
      </c>
      <c r="G537" s="29" t="inlineStr">
        <is>
          <t>Message requests</t>
        </is>
      </c>
      <c r="H537" s="29" t="inlineStr">
        <is>
          <t>Message requests</t>
        </is>
      </c>
      <c r="I537" s="29" t="inlineStr">
        <is>
          <t>/home/ubuntu/blyp_product_requirements.md :: Section 27 — Unified Inbox and messaging</t>
        </is>
      </c>
      <c r="J537" s="29" t="inlineStr">
        <is>
          <t>/home/ubuntu/BLYP_COMPLETE_FEATURE_LIST.md:681</t>
        </is>
      </c>
      <c r="K537" s="29" t="inlineStr">
        <is>
          <t>Required</t>
        </is>
      </c>
      <c r="L537" s="29" t="inlineStr">
        <is>
          <t>Applicable BLYP member</t>
        </is>
      </c>
      <c r="M537" s="29" t="inlineStr">
        <is>
          <t>BLYP mobile application and supporting production services</t>
        </is>
      </c>
      <c r="N537" s="29" t="inlineStr">
        <is>
          <t>Message requests</t>
        </is>
      </c>
      <c r="O537" s="29" t="inlineStr">
        <is>
          <t>Not explicitly defined in the product source; requires accountable product approval before production sign-off.</t>
        </is>
      </c>
      <c r="P537" s="29" t="inlineStr">
        <is>
          <t>None</t>
        </is>
      </c>
      <c r="Q537" s="29" t="inlineStr">
        <is>
          <t>No evidence</t>
        </is>
      </c>
      <c r="R537" s="29" t="inlineStr"/>
      <c r="S537" s="29" t="inlineStr">
        <is>
          <t>Partial</t>
        </is>
      </c>
      <c r="T537" s="29" t="inlineStr">
        <is>
          <t>ChatListScreen.js, MessengerScreen.js</t>
        </is>
      </c>
      <c r="U537" s="29" t="inlineStr">
        <is>
          <t>ChatListScreen, MessengerScreen</t>
        </is>
      </c>
      <c r="V537" s="29" t="inlineStr">
        <is>
          <t>None</t>
        </is>
      </c>
      <c r="W537" s="29" t="inlineStr">
        <is>
          <t>None</t>
        </is>
      </c>
      <c r="X537" s="29" t="inlineStr">
        <is>
          <t>None</t>
        </is>
      </c>
      <c r="Y537" s="29" t="inlineStr">
        <is>
          <t>None</t>
        </is>
      </c>
      <c r="Z537" s="29" t="inlineStr">
        <is>
          <t>None</t>
        </is>
      </c>
      <c r="AA537" s="29" t="inlineStr">
        <is>
          <t>None</t>
        </is>
      </c>
      <c r="AB537" s="29" t="inlineStr">
        <is>
          <t>None</t>
        </is>
      </c>
      <c r="AC537" s="29" t="inlineStr"/>
      <c r="AD537" s="29" t="inlineStr">
        <is>
          <t>None</t>
        </is>
      </c>
      <c r="AE537" s="29" t="inlineStr">
        <is>
          <t>Internally reachable</t>
        </is>
      </c>
      <c r="AF537" s="29" t="inlineStr">
        <is>
          <t>ChatListScreen.js, MessengerScreen.js; None</t>
        </is>
      </c>
      <c r="AG537" s="29" t="inlineStr">
        <is>
          <t>Incomplete</t>
        </is>
      </c>
      <c r="AH537" s="29" t="inlineStr">
        <is>
          <t>No</t>
        </is>
      </c>
      <c r="AI537" s="29" t="inlineStr">
        <is>
          <t>Only UI tabs found</t>
        </is>
      </c>
      <c r="AJ537" s="29" t="inlineStr">
        <is>
          <t>Not verified</t>
        </is>
      </c>
      <c r="AK537" s="29" t="inlineStr">
        <is>
          <t>EV-27-0003</t>
        </is>
      </c>
      <c r="AL537" s="29" t="inlineStr"/>
      <c r="AM537" s="29" t="inlineStr"/>
      <c r="AN537" s="29" t="inlineStr"/>
      <c r="AO537" s="29" t="inlineStr">
        <is>
          <t>8bc0dcb2a1da1b21368c5536aaeef829d587f316</t>
        </is>
      </c>
      <c r="AP537" s="29" t="inlineStr">
        <is>
          <t>Low</t>
        </is>
      </c>
      <c r="AQ537" s="29" t="inlineStr">
        <is>
          <t>Not assessed</t>
        </is>
      </c>
      <c r="AR537" s="29" t="inlineStr">
        <is>
          <t>Not assessed</t>
        </is>
      </c>
      <c r="AS537" s="29" t="inlineStr">
        <is>
          <t>Fail</t>
        </is>
      </c>
      <c r="AT537" s="29" t="inlineStr">
        <is>
          <t>Not assessed</t>
        </is>
      </c>
      <c r="AU537" s="29" t="inlineStr">
        <is>
          <t>Not assessed</t>
        </is>
      </c>
      <c r="AV537" s="29" t="inlineStr">
        <is>
          <t>Not assessed</t>
        </is>
      </c>
      <c r="AW537" s="29" t="inlineStr">
        <is>
          <t>Not assessed</t>
        </is>
      </c>
      <c r="AX537" s="29" t="inlineStr">
        <is>
          <t>Not assessed</t>
        </is>
      </c>
      <c r="AY537" s="29" t="inlineStr">
        <is>
          <t>Not assessed</t>
        </is>
      </c>
      <c r="AZ537" s="29" t="inlineStr">
        <is>
          <t>Not assessed</t>
        </is>
      </c>
      <c r="BA537" s="29" t="inlineStr">
        <is>
          <t>Not assessed</t>
        </is>
      </c>
      <c r="BB537" s="29" t="inlineStr">
        <is>
          <t>Not assessed</t>
        </is>
      </c>
      <c r="BC537" s="29" t="inlineStr">
        <is>
          <t>Not assessed</t>
        </is>
      </c>
      <c r="BD537" s="29" t="inlineStr">
        <is>
          <t>Not assessed</t>
        </is>
      </c>
      <c r="BE537" s="29" t="inlineStr">
        <is>
          <t>Development required</t>
        </is>
      </c>
      <c r="BF537" s="29" t="inlineStr">
        <is>
          <t>Physical implementation is not complete against the stated requirement.; Only UI tabs found</t>
        </is>
      </c>
      <c r="BG537" s="29" t="inlineStr"/>
      <c r="BH537" s="29" t="inlineStr"/>
      <c r="BI537" s="29" t="inlineStr"/>
      <c r="BJ537" s="29" t="inlineStr"/>
      <c r="BK537" s="29" t="inlineStr">
        <is>
          <t>Evidence reconciled against the reviewed source revision. No production approval is inferred from implementation or file presence.</t>
        </is>
      </c>
      <c r="BL537" s="29" t="inlineStr">
        <is>
          <t>2026-08-02</t>
        </is>
      </c>
    </row>
    <row r="538" ht="42" customHeight="1">
      <c r="A538" s="29" t="inlineStr">
        <is>
          <t>BLYP-27-004</t>
        </is>
      </c>
      <c r="B538" s="29" t="inlineStr"/>
      <c r="C538" s="29" t="inlineStr">
        <is>
          <t>Unified Inbox and messaging</t>
        </is>
      </c>
      <c r="D538" s="29" t="n">
        <v>27</v>
      </c>
      <c r="E538" s="29" t="n">
        <v>4</v>
      </c>
      <c r="F538" s="29" t="inlineStr">
        <is>
          <t>Feature</t>
        </is>
      </c>
      <c r="G538" s="29" t="inlineStr">
        <is>
          <t>Team/group chats</t>
        </is>
      </c>
      <c r="H538" s="29" t="inlineStr">
        <is>
          <t>Team/group chats</t>
        </is>
      </c>
      <c r="I538" s="29" t="inlineStr">
        <is>
          <t>/home/ubuntu/blyp_product_requirements.md :: Section 27 — Unified Inbox and messaging</t>
        </is>
      </c>
      <c r="J538" s="29" t="inlineStr">
        <is>
          <t>/home/ubuntu/BLYP_COMPLETE_FEATURE_LIST.md:682</t>
        </is>
      </c>
      <c r="K538" s="29" t="inlineStr">
        <is>
          <t>Required</t>
        </is>
      </c>
      <c r="L538" s="29" t="inlineStr">
        <is>
          <t>Applicable BLYP member</t>
        </is>
      </c>
      <c r="M538" s="29" t="inlineStr">
        <is>
          <t>BLYP mobile application and supporting production services</t>
        </is>
      </c>
      <c r="N538" s="29" t="inlineStr">
        <is>
          <t>Team/group chats</t>
        </is>
      </c>
      <c r="O538" s="29" t="inlineStr">
        <is>
          <t>Not explicitly defined in the product source; requires accountable product approval before production sign-off.</t>
        </is>
      </c>
      <c r="P538" s="29" t="inlineStr">
        <is>
          <t>None</t>
        </is>
      </c>
      <c r="Q538" s="29" t="inlineStr">
        <is>
          <t>Partial</t>
        </is>
      </c>
      <c r="R538" s="29" t="inlineStr">
        <is>
          <t>room chat exists; Team integration does not.</t>
        </is>
      </c>
      <c r="S538" s="29" t="inlineStr">
        <is>
          <t>Partial</t>
        </is>
      </c>
      <c r="T538" s="29" t="inlineStr">
        <is>
          <t>ChatListScreen.js, MessengerScreen.js</t>
        </is>
      </c>
      <c r="U538" s="29" t="inlineStr">
        <is>
          <t>ChatListScreen, MessengerScreen</t>
        </is>
      </c>
      <c r="V538" s="29" t="inlineStr">
        <is>
          <t>None</t>
        </is>
      </c>
      <c r="W538" s="29" t="inlineStr">
        <is>
          <t>None</t>
        </is>
      </c>
      <c r="X538" s="29" t="inlineStr">
        <is>
          <t>None</t>
        </is>
      </c>
      <c r="Y538" s="29" t="inlineStr">
        <is>
          <t>None</t>
        </is>
      </c>
      <c r="Z538" s="29" t="inlineStr">
        <is>
          <t>None</t>
        </is>
      </c>
      <c r="AA538" s="29" t="inlineStr">
        <is>
          <t>None</t>
        </is>
      </c>
      <c r="AB538" s="29" t="inlineStr">
        <is>
          <t>None</t>
        </is>
      </c>
      <c r="AC538" s="29" t="inlineStr"/>
      <c r="AD538" s="29" t="inlineStr">
        <is>
          <t>None</t>
        </is>
      </c>
      <c r="AE538" s="29" t="inlineStr">
        <is>
          <t>Internally reachable</t>
        </is>
      </c>
      <c r="AF538" s="29" t="inlineStr">
        <is>
          <t>ChatListScreen.js, MessengerScreen.js; None</t>
        </is>
      </c>
      <c r="AG538" s="29" t="inlineStr">
        <is>
          <t>Incomplete</t>
        </is>
      </c>
      <c r="AH538" s="29" t="inlineStr">
        <is>
          <t>No</t>
        </is>
      </c>
      <c r="AI538" s="29" t="inlineStr">
        <is>
          <t>Only UI tabs found</t>
        </is>
      </c>
      <c r="AJ538" s="29" t="inlineStr">
        <is>
          <t>Not verified</t>
        </is>
      </c>
      <c r="AK538" s="29" t="inlineStr">
        <is>
          <t>EV-27-0004</t>
        </is>
      </c>
      <c r="AL538" s="29" t="inlineStr"/>
      <c r="AM538" s="29" t="inlineStr"/>
      <c r="AN538" s="29" t="inlineStr"/>
      <c r="AO538" s="29" t="inlineStr">
        <is>
          <t>8bc0dcb2a1da1b21368c5536aaeef829d587f316</t>
        </is>
      </c>
      <c r="AP538" s="29" t="inlineStr">
        <is>
          <t>Low</t>
        </is>
      </c>
      <c r="AQ538" s="29" t="inlineStr">
        <is>
          <t>Not assessed</t>
        </is>
      </c>
      <c r="AR538" s="29" t="inlineStr">
        <is>
          <t>Not assessed</t>
        </is>
      </c>
      <c r="AS538" s="29" t="inlineStr">
        <is>
          <t>Fail</t>
        </is>
      </c>
      <c r="AT538" s="29" t="inlineStr">
        <is>
          <t>Not assessed</t>
        </is>
      </c>
      <c r="AU538" s="29" t="inlineStr">
        <is>
          <t>Not assessed</t>
        </is>
      </c>
      <c r="AV538" s="29" t="inlineStr">
        <is>
          <t>Not assessed</t>
        </is>
      </c>
      <c r="AW538" s="29" t="inlineStr">
        <is>
          <t>Not assessed</t>
        </is>
      </c>
      <c r="AX538" s="29" t="inlineStr">
        <is>
          <t>Not assessed</t>
        </is>
      </c>
      <c r="AY538" s="29" t="inlineStr">
        <is>
          <t>Not assessed</t>
        </is>
      </c>
      <c r="AZ538" s="29" t="inlineStr">
        <is>
          <t>Not assessed</t>
        </is>
      </c>
      <c r="BA538" s="29" t="inlineStr">
        <is>
          <t>Not assessed</t>
        </is>
      </c>
      <c r="BB538" s="29" t="inlineStr">
        <is>
          <t>Not assessed</t>
        </is>
      </c>
      <c r="BC538" s="29" t="inlineStr">
        <is>
          <t>Not assessed</t>
        </is>
      </c>
      <c r="BD538" s="29" t="inlineStr">
        <is>
          <t>Not assessed</t>
        </is>
      </c>
      <c r="BE538" s="29" t="inlineStr">
        <is>
          <t>Development required</t>
        </is>
      </c>
      <c r="BF538" s="29" t="inlineStr">
        <is>
          <t>Physical implementation is not complete against the stated requirement.; Only UI tabs found</t>
        </is>
      </c>
      <c r="BG538" s="29" t="inlineStr"/>
      <c r="BH538" s="29" t="inlineStr"/>
      <c r="BI538" s="29" t="inlineStr"/>
      <c r="BJ538" s="29" t="inlineStr"/>
      <c r="BK538" s="29" t="inlineStr">
        <is>
          <t>Evidence reconciled against the reviewed source revision. No production approval is inferred from implementation or file presence.</t>
        </is>
      </c>
      <c r="BL538" s="29" t="inlineStr">
        <is>
          <t>2026-08-02</t>
        </is>
      </c>
    </row>
    <row r="539" ht="42" customHeight="1">
      <c r="A539" s="29" t="inlineStr">
        <is>
          <t>BLYP-27-005</t>
        </is>
      </c>
      <c r="B539" s="29" t="inlineStr"/>
      <c r="C539" s="29" t="inlineStr">
        <is>
          <t>Unified Inbox and messaging</t>
        </is>
      </c>
      <c r="D539" s="29" t="n">
        <v>27</v>
      </c>
      <c r="E539" s="29" t="n">
        <v>5</v>
      </c>
      <c r="F539" s="29" t="inlineStr">
        <is>
          <t>Feature</t>
        </is>
      </c>
      <c r="G539" s="29" t="inlineStr">
        <is>
          <t>Dating matches and conversations</t>
        </is>
      </c>
      <c r="H539" s="29" t="inlineStr">
        <is>
          <t>Dating matches and conversations</t>
        </is>
      </c>
      <c r="I539" s="29" t="inlineStr">
        <is>
          <t>/home/ubuntu/blyp_product_requirements.md :: Section 27 — Unified Inbox and messaging</t>
        </is>
      </c>
      <c r="J539" s="29" t="inlineStr">
        <is>
          <t>/home/ubuntu/BLYP_COMPLETE_FEATURE_LIST.md:683</t>
        </is>
      </c>
      <c r="K539" s="29" t="inlineStr">
        <is>
          <t>Required</t>
        </is>
      </c>
      <c r="L539" s="29" t="inlineStr">
        <is>
          <t>Applicable BLYP member</t>
        </is>
      </c>
      <c r="M539" s="29" t="inlineStr">
        <is>
          <t>BLYP mobile application and supporting production services</t>
        </is>
      </c>
      <c r="N539" s="29" t="inlineStr">
        <is>
          <t>Dating matches and conversations</t>
        </is>
      </c>
      <c r="O539" s="29" t="inlineStr">
        <is>
          <t>Not explicitly defined in the product source; requires accountable product approval before production sign-off.</t>
        </is>
      </c>
      <c r="P539" s="29" t="inlineStr">
        <is>
          <t>None</t>
        </is>
      </c>
      <c r="Q539" s="29" t="inlineStr">
        <is>
          <t>No evidence</t>
        </is>
      </c>
      <c r="R539" s="29" t="inlineStr"/>
      <c r="S539" s="29" t="inlineStr">
        <is>
          <t>Not found</t>
        </is>
      </c>
      <c r="T539" s="29" t="inlineStr">
        <is>
          <t>None</t>
        </is>
      </c>
      <c r="U539" s="29" t="inlineStr">
        <is>
          <t>None</t>
        </is>
      </c>
      <c r="V539" s="29" t="inlineStr">
        <is>
          <t>None</t>
        </is>
      </c>
      <c r="W539" s="29" t="inlineStr">
        <is>
          <t>None</t>
        </is>
      </c>
      <c r="X539" s="29" t="inlineStr">
        <is>
          <t>None</t>
        </is>
      </c>
      <c r="Y539" s="29" t="inlineStr">
        <is>
          <t>None</t>
        </is>
      </c>
      <c r="Z539" s="29" t="inlineStr">
        <is>
          <t>None</t>
        </is>
      </c>
      <c r="AA539" s="29" t="inlineStr">
        <is>
          <t>None</t>
        </is>
      </c>
      <c r="AB539" s="29" t="inlineStr">
        <is>
          <t>None</t>
        </is>
      </c>
      <c r="AC539" s="29" t="inlineStr"/>
      <c r="AD539" s="29" t="inlineStr">
        <is>
          <t>None</t>
        </is>
      </c>
      <c r="AE539" s="29" t="inlineStr">
        <is>
          <t>Not wired</t>
        </is>
      </c>
      <c r="AF539" s="29" t="inlineStr">
        <is>
          <t>None</t>
        </is>
      </c>
      <c r="AG539" s="29" t="inlineStr">
        <is>
          <t>Not started</t>
        </is>
      </c>
      <c r="AH539" s="29" t="inlineStr">
        <is>
          <t>No</t>
        </is>
      </c>
      <c r="AI539" s="29" t="inlineStr">
        <is>
          <t>No evidence found in source</t>
        </is>
      </c>
      <c r="AJ539" s="29" t="inlineStr">
        <is>
          <t>Not verified</t>
        </is>
      </c>
      <c r="AK539" s="29" t="inlineStr">
        <is>
          <t>EV-27-0005</t>
        </is>
      </c>
      <c r="AL539" s="29" t="inlineStr"/>
      <c r="AM539" s="29" t="inlineStr"/>
      <c r="AN539" s="29" t="inlineStr"/>
      <c r="AO539" s="29" t="inlineStr">
        <is>
          <t>8bc0dcb2a1da1b21368c5536aaeef829d587f316</t>
        </is>
      </c>
      <c r="AP539" s="29" t="inlineStr">
        <is>
          <t>High</t>
        </is>
      </c>
      <c r="AQ539" s="29" t="inlineStr">
        <is>
          <t>Not assessed</t>
        </is>
      </c>
      <c r="AR539" s="29" t="inlineStr">
        <is>
          <t>Not assessed</t>
        </is>
      </c>
      <c r="AS539" s="29" t="inlineStr">
        <is>
          <t>Fail</t>
        </is>
      </c>
      <c r="AT539" s="29" t="inlineStr">
        <is>
          <t>Not assessed</t>
        </is>
      </c>
      <c r="AU539" s="29" t="inlineStr">
        <is>
          <t>Not assessed</t>
        </is>
      </c>
      <c r="AV539" s="29" t="inlineStr">
        <is>
          <t>Not assessed</t>
        </is>
      </c>
      <c r="AW539" s="29" t="inlineStr">
        <is>
          <t>Not assessed</t>
        </is>
      </c>
      <c r="AX539" s="29" t="inlineStr">
        <is>
          <t>Not assessed</t>
        </is>
      </c>
      <c r="AY539" s="29" t="inlineStr">
        <is>
          <t>Not assessed</t>
        </is>
      </c>
      <c r="AZ539" s="29" t="inlineStr">
        <is>
          <t>Not assessed</t>
        </is>
      </c>
      <c r="BA539" s="29" t="inlineStr">
        <is>
          <t>Not assessed</t>
        </is>
      </c>
      <c r="BB539" s="29" t="inlineStr">
        <is>
          <t>Not assessed</t>
        </is>
      </c>
      <c r="BC539" s="29" t="inlineStr">
        <is>
          <t>Not assessed</t>
        </is>
      </c>
      <c r="BD539" s="29" t="inlineStr">
        <is>
          <t>Not assessed</t>
        </is>
      </c>
      <c r="BE539" s="29" t="inlineStr">
        <is>
          <t>Development required</t>
        </is>
      </c>
      <c r="BF539" s="29" t="inlineStr">
        <is>
          <t>Physical implementation is not complete against the stated requirement.; No evidence found in source</t>
        </is>
      </c>
      <c r="BG539" s="29" t="inlineStr"/>
      <c r="BH539" s="29" t="inlineStr"/>
      <c r="BI539" s="29" t="inlineStr"/>
      <c r="BJ539" s="29" t="inlineStr"/>
      <c r="BK539" s="29" t="inlineStr">
        <is>
          <t>Evidence reconciled against the reviewed source revision. No production approval is inferred from implementation or file presence.</t>
        </is>
      </c>
      <c r="BL539" s="29" t="inlineStr">
        <is>
          <t>2026-08-02</t>
        </is>
      </c>
    </row>
    <row r="540" ht="42" customHeight="1">
      <c r="A540" s="29" t="inlineStr">
        <is>
          <t>BLYP-27-006</t>
        </is>
      </c>
      <c r="B540" s="29" t="inlineStr"/>
      <c r="C540" s="29" t="inlineStr">
        <is>
          <t>Unified Inbox and messaging</t>
        </is>
      </c>
      <c r="D540" s="29" t="n">
        <v>27</v>
      </c>
      <c r="E540" s="29" t="n">
        <v>6</v>
      </c>
      <c r="F540" s="29" t="inlineStr">
        <is>
          <t>Feature</t>
        </is>
      </c>
      <c r="G540" s="29" t="inlineStr">
        <is>
          <t>Important system communications</t>
        </is>
      </c>
      <c r="H540" s="29" t="inlineStr">
        <is>
          <t>Important system communications</t>
        </is>
      </c>
      <c r="I540" s="29" t="inlineStr">
        <is>
          <t>/home/ubuntu/blyp_product_requirements.md :: Section 27 — Unified Inbox and messaging</t>
        </is>
      </c>
      <c r="J540" s="29" t="inlineStr">
        <is>
          <t>/home/ubuntu/BLYP_COMPLETE_FEATURE_LIST.md:684</t>
        </is>
      </c>
      <c r="K540" s="29" t="inlineStr">
        <is>
          <t>Required</t>
        </is>
      </c>
      <c r="L540" s="29" t="inlineStr">
        <is>
          <t>Applicable BLYP member</t>
        </is>
      </c>
      <c r="M540" s="29" t="inlineStr">
        <is>
          <t>BLYP mobile application and supporting production services</t>
        </is>
      </c>
      <c r="N540" s="29" t="inlineStr">
        <is>
          <t>Important system communications</t>
        </is>
      </c>
      <c r="O540" s="29" t="inlineStr">
        <is>
          <t>Not explicitly defined in the product source; requires accountable product approval before production sign-off.</t>
        </is>
      </c>
      <c r="P540" s="29" t="inlineStr">
        <is>
          <t>None</t>
        </is>
      </c>
      <c r="Q540" s="29" t="inlineStr">
        <is>
          <t>Partial</t>
        </is>
      </c>
      <c r="R540" s="29" t="inlineStr">
        <is>
          <t>Activity exists separately.</t>
        </is>
      </c>
      <c r="S540" s="29" t="inlineStr">
        <is>
          <t>Not found</t>
        </is>
      </c>
      <c r="T540" s="29" t="inlineStr">
        <is>
          <t>None</t>
        </is>
      </c>
      <c r="U540" s="29" t="inlineStr">
        <is>
          <t>None</t>
        </is>
      </c>
      <c r="V540" s="29" t="inlineStr">
        <is>
          <t>None</t>
        </is>
      </c>
      <c r="W540" s="29" t="inlineStr">
        <is>
          <t>None</t>
        </is>
      </c>
      <c r="X540" s="29" t="inlineStr">
        <is>
          <t>None</t>
        </is>
      </c>
      <c r="Y540" s="29" t="inlineStr">
        <is>
          <t>None</t>
        </is>
      </c>
      <c r="Z540" s="29" t="inlineStr">
        <is>
          <t>None</t>
        </is>
      </c>
      <c r="AA540" s="29" t="inlineStr">
        <is>
          <t>None</t>
        </is>
      </c>
      <c r="AB540" s="29" t="inlineStr">
        <is>
          <t>None</t>
        </is>
      </c>
      <c r="AC540" s="29" t="inlineStr"/>
      <c r="AD540" s="29" t="inlineStr">
        <is>
          <t>None</t>
        </is>
      </c>
      <c r="AE540" s="29" t="inlineStr">
        <is>
          <t>Not wired</t>
        </is>
      </c>
      <c r="AF540" s="29" t="inlineStr">
        <is>
          <t>None</t>
        </is>
      </c>
      <c r="AG540" s="29" t="inlineStr">
        <is>
          <t>Not started</t>
        </is>
      </c>
      <c r="AH540" s="29" t="inlineStr">
        <is>
          <t>No</t>
        </is>
      </c>
      <c r="AI540" s="29" t="inlineStr">
        <is>
          <t>No evidence found in source</t>
        </is>
      </c>
      <c r="AJ540" s="29" t="inlineStr">
        <is>
          <t>Not verified</t>
        </is>
      </c>
      <c r="AK540" s="29" t="inlineStr">
        <is>
          <t>EV-27-0006</t>
        </is>
      </c>
      <c r="AL540" s="29" t="inlineStr"/>
      <c r="AM540" s="29" t="inlineStr"/>
      <c r="AN540" s="29" t="inlineStr"/>
      <c r="AO540" s="29" t="inlineStr">
        <is>
          <t>8bc0dcb2a1da1b21368c5536aaeef829d587f316</t>
        </is>
      </c>
      <c r="AP540" s="29" t="inlineStr">
        <is>
          <t>High</t>
        </is>
      </c>
      <c r="AQ540" s="29" t="inlineStr">
        <is>
          <t>Not assessed</t>
        </is>
      </c>
      <c r="AR540" s="29" t="inlineStr">
        <is>
          <t>Not assessed</t>
        </is>
      </c>
      <c r="AS540" s="29" t="inlineStr">
        <is>
          <t>Fail</t>
        </is>
      </c>
      <c r="AT540" s="29" t="inlineStr">
        <is>
          <t>Not assessed</t>
        </is>
      </c>
      <c r="AU540" s="29" t="inlineStr">
        <is>
          <t>Not assessed</t>
        </is>
      </c>
      <c r="AV540" s="29" t="inlineStr">
        <is>
          <t>Not assessed</t>
        </is>
      </c>
      <c r="AW540" s="29" t="inlineStr">
        <is>
          <t>Not assessed</t>
        </is>
      </c>
      <c r="AX540" s="29" t="inlineStr">
        <is>
          <t>Not assessed</t>
        </is>
      </c>
      <c r="AY540" s="29" t="inlineStr">
        <is>
          <t>Not assessed</t>
        </is>
      </c>
      <c r="AZ540" s="29" t="inlineStr">
        <is>
          <t>Not assessed</t>
        </is>
      </c>
      <c r="BA540" s="29" t="inlineStr">
        <is>
          <t>Not assessed</t>
        </is>
      </c>
      <c r="BB540" s="29" t="inlineStr">
        <is>
          <t>Not assessed</t>
        </is>
      </c>
      <c r="BC540" s="29" t="inlineStr">
        <is>
          <t>Not assessed</t>
        </is>
      </c>
      <c r="BD540" s="29" t="inlineStr">
        <is>
          <t>Not assessed</t>
        </is>
      </c>
      <c r="BE540" s="29" t="inlineStr">
        <is>
          <t>Development required</t>
        </is>
      </c>
      <c r="BF540" s="29" t="inlineStr">
        <is>
          <t>Physical implementation is not complete against the stated requirement.; No evidence found in source</t>
        </is>
      </c>
      <c r="BG540" s="29" t="inlineStr"/>
      <c r="BH540" s="29" t="inlineStr"/>
      <c r="BI540" s="29" t="inlineStr"/>
      <c r="BJ540" s="29" t="inlineStr"/>
      <c r="BK540" s="29" t="inlineStr">
        <is>
          <t>Evidence reconciled against the reviewed source revision. No production approval is inferred from implementation or file presence.</t>
        </is>
      </c>
      <c r="BL540" s="29" t="inlineStr">
        <is>
          <t>2026-08-02</t>
        </is>
      </c>
    </row>
    <row r="541" ht="42" customHeight="1">
      <c r="A541" s="29" t="inlineStr">
        <is>
          <t>BLYP-27-007</t>
        </is>
      </c>
      <c r="B541" s="29" t="inlineStr"/>
      <c r="C541" s="29" t="inlineStr">
        <is>
          <t>Unified Inbox and messaging</t>
        </is>
      </c>
      <c r="D541" s="29" t="n">
        <v>27</v>
      </c>
      <c r="E541" s="29" t="n">
        <v>7</v>
      </c>
      <c r="F541" s="29" t="inlineStr">
        <is>
          <t>Feature</t>
        </is>
      </c>
      <c r="G541" s="29" t="inlineStr">
        <is>
          <t>Replies</t>
        </is>
      </c>
      <c r="H541" s="29" t="inlineStr">
        <is>
          <t>Replies</t>
        </is>
      </c>
      <c r="I541" s="29" t="inlineStr">
        <is>
          <t>/home/ubuntu/blyp_product_requirements.md :: Section 27 — Unified Inbox and messaging</t>
        </is>
      </c>
      <c r="J541" s="29" t="inlineStr">
        <is>
          <t>/home/ubuntu/BLYP_COMPLETE_FEATURE_LIST.md:685</t>
        </is>
      </c>
      <c r="K541" s="29" t="inlineStr">
        <is>
          <t>Required</t>
        </is>
      </c>
      <c r="L541" s="29" t="inlineStr">
        <is>
          <t>Applicable BLYP member</t>
        </is>
      </c>
      <c r="M541" s="29" t="inlineStr">
        <is>
          <t>BLYP mobile application and supporting production services</t>
        </is>
      </c>
      <c r="N541" s="29" t="inlineStr">
        <is>
          <t>Replies</t>
        </is>
      </c>
      <c r="O541" s="29" t="inlineStr">
        <is>
          <t>Not explicitly defined in the product source; requires accountable product approval before production sign-off.</t>
        </is>
      </c>
      <c r="P541" s="29" t="inlineStr">
        <is>
          <t>None</t>
        </is>
      </c>
      <c r="Q541" s="29" t="inlineStr">
        <is>
          <t>Partial</t>
        </is>
      </c>
      <c r="R541" s="29" t="inlineStr"/>
      <c r="S541" s="29" t="inlineStr">
        <is>
          <t>Not found</t>
        </is>
      </c>
      <c r="T541" s="29" t="inlineStr">
        <is>
          <t>None</t>
        </is>
      </c>
      <c r="U541" s="29" t="inlineStr">
        <is>
          <t>None</t>
        </is>
      </c>
      <c r="V541" s="29" t="inlineStr">
        <is>
          <t>None</t>
        </is>
      </c>
      <c r="W541" s="29" t="inlineStr">
        <is>
          <t>None</t>
        </is>
      </c>
      <c r="X541" s="29" t="inlineStr">
        <is>
          <t>None</t>
        </is>
      </c>
      <c r="Y541" s="29" t="inlineStr">
        <is>
          <t>None</t>
        </is>
      </c>
      <c r="Z541" s="29" t="inlineStr">
        <is>
          <t>None</t>
        </is>
      </c>
      <c r="AA541" s="29" t="inlineStr">
        <is>
          <t>None</t>
        </is>
      </c>
      <c r="AB541" s="29" t="inlineStr">
        <is>
          <t>None</t>
        </is>
      </c>
      <c r="AC541" s="29" t="inlineStr"/>
      <c r="AD541" s="29" t="inlineStr">
        <is>
          <t>None</t>
        </is>
      </c>
      <c r="AE541" s="29" t="inlineStr">
        <is>
          <t>Not wired</t>
        </is>
      </c>
      <c r="AF541" s="29" t="inlineStr">
        <is>
          <t>None</t>
        </is>
      </c>
      <c r="AG541" s="29" t="inlineStr">
        <is>
          <t>Not started</t>
        </is>
      </c>
      <c r="AH541" s="29" t="inlineStr">
        <is>
          <t>No</t>
        </is>
      </c>
      <c r="AI541" s="29" t="inlineStr">
        <is>
          <t>No evidence found in source</t>
        </is>
      </c>
      <c r="AJ541" s="29" t="inlineStr">
        <is>
          <t>Not verified</t>
        </is>
      </c>
      <c r="AK541" s="29" t="inlineStr">
        <is>
          <t>EV-27-0007</t>
        </is>
      </c>
      <c r="AL541" s="29" t="inlineStr"/>
      <c r="AM541" s="29" t="inlineStr"/>
      <c r="AN541" s="29" t="inlineStr"/>
      <c r="AO541" s="29" t="inlineStr">
        <is>
          <t>8bc0dcb2a1da1b21368c5536aaeef829d587f316</t>
        </is>
      </c>
      <c r="AP541" s="29" t="inlineStr">
        <is>
          <t>High</t>
        </is>
      </c>
      <c r="AQ541" s="29" t="inlineStr">
        <is>
          <t>Not assessed</t>
        </is>
      </c>
      <c r="AR541" s="29" t="inlineStr">
        <is>
          <t>Not assessed</t>
        </is>
      </c>
      <c r="AS541" s="29" t="inlineStr">
        <is>
          <t>Fail</t>
        </is>
      </c>
      <c r="AT541" s="29" t="inlineStr">
        <is>
          <t>Not assessed</t>
        </is>
      </c>
      <c r="AU541" s="29" t="inlineStr">
        <is>
          <t>Not assessed</t>
        </is>
      </c>
      <c r="AV541" s="29" t="inlineStr">
        <is>
          <t>Not assessed</t>
        </is>
      </c>
      <c r="AW541" s="29" t="inlineStr">
        <is>
          <t>Not assessed</t>
        </is>
      </c>
      <c r="AX541" s="29" t="inlineStr">
        <is>
          <t>Not assessed</t>
        </is>
      </c>
      <c r="AY541" s="29" t="inlineStr">
        <is>
          <t>Not assessed</t>
        </is>
      </c>
      <c r="AZ541" s="29" t="inlineStr">
        <is>
          <t>Not assessed</t>
        </is>
      </c>
      <c r="BA541" s="29" t="inlineStr">
        <is>
          <t>Not assessed</t>
        </is>
      </c>
      <c r="BB541" s="29" t="inlineStr">
        <is>
          <t>Not assessed</t>
        </is>
      </c>
      <c r="BC541" s="29" t="inlineStr">
        <is>
          <t>Not assessed</t>
        </is>
      </c>
      <c r="BD541" s="29" t="inlineStr">
        <is>
          <t>Not assessed</t>
        </is>
      </c>
      <c r="BE541" s="29" t="inlineStr">
        <is>
          <t>Development required</t>
        </is>
      </c>
      <c r="BF541" s="29" t="inlineStr">
        <is>
          <t>Physical implementation is not complete against the stated requirement.; No evidence found in source</t>
        </is>
      </c>
      <c r="BG541" s="29" t="inlineStr"/>
      <c r="BH541" s="29" t="inlineStr"/>
      <c r="BI541" s="29" t="inlineStr"/>
      <c r="BJ541" s="29" t="inlineStr"/>
      <c r="BK541" s="29" t="inlineStr">
        <is>
          <t>Evidence reconciled against the reviewed source revision. No production approval is inferred from implementation or file presence.</t>
        </is>
      </c>
      <c r="BL541" s="29" t="inlineStr">
        <is>
          <t>2026-08-02</t>
        </is>
      </c>
    </row>
    <row r="542" ht="42" customHeight="1">
      <c r="A542" s="29" t="inlineStr">
        <is>
          <t>BLYP-27-008</t>
        </is>
      </c>
      <c r="B542" s="29" t="inlineStr"/>
      <c r="C542" s="29" t="inlineStr">
        <is>
          <t>Unified Inbox and messaging</t>
        </is>
      </c>
      <c r="D542" s="29" t="n">
        <v>27</v>
      </c>
      <c r="E542" s="29" t="n">
        <v>8</v>
      </c>
      <c r="F542" s="29" t="inlineStr">
        <is>
          <t>Feature</t>
        </is>
      </c>
      <c r="G542" s="29" t="inlineStr">
        <is>
          <t>Reactions</t>
        </is>
      </c>
      <c r="H542" s="29" t="inlineStr">
        <is>
          <t>Reactions</t>
        </is>
      </c>
      <c r="I542" s="29" t="inlineStr">
        <is>
          <t>/home/ubuntu/blyp_product_requirements.md :: Section 27 — Unified Inbox and messaging</t>
        </is>
      </c>
      <c r="J542" s="29" t="inlineStr">
        <is>
          <t>/home/ubuntu/BLYP_COMPLETE_FEATURE_LIST.md:686</t>
        </is>
      </c>
      <c r="K542" s="29" t="inlineStr">
        <is>
          <t>Required</t>
        </is>
      </c>
      <c r="L542" s="29" t="inlineStr">
        <is>
          <t>Applicable BLYP member</t>
        </is>
      </c>
      <c r="M542" s="29" t="inlineStr">
        <is>
          <t>BLYP mobile application and supporting production services</t>
        </is>
      </c>
      <c r="N542" s="29" t="inlineStr">
        <is>
          <t>Reactions</t>
        </is>
      </c>
      <c r="O542" s="29" t="inlineStr">
        <is>
          <t>Not explicitly defined in the product source; requires accountable product approval before production sign-off.</t>
        </is>
      </c>
      <c r="P542" s="29" t="inlineStr">
        <is>
          <t>None</t>
        </is>
      </c>
      <c r="Q542" s="29" t="inlineStr">
        <is>
          <t>No evidence</t>
        </is>
      </c>
      <c r="R542" s="29" t="inlineStr"/>
      <c r="S542" s="29" t="inlineStr">
        <is>
          <t>Not found</t>
        </is>
      </c>
      <c r="T542" s="29" t="inlineStr">
        <is>
          <t>None</t>
        </is>
      </c>
      <c r="U542" s="29" t="inlineStr">
        <is>
          <t>None</t>
        </is>
      </c>
      <c r="V542" s="29" t="inlineStr">
        <is>
          <t>None</t>
        </is>
      </c>
      <c r="W542" s="29" t="inlineStr">
        <is>
          <t>None</t>
        </is>
      </c>
      <c r="X542" s="29" t="inlineStr">
        <is>
          <t>None</t>
        </is>
      </c>
      <c r="Y542" s="29" t="inlineStr">
        <is>
          <t>None</t>
        </is>
      </c>
      <c r="Z542" s="29" t="inlineStr">
        <is>
          <t>None</t>
        </is>
      </c>
      <c r="AA542" s="29" t="inlineStr">
        <is>
          <t>None</t>
        </is>
      </c>
      <c r="AB542" s="29" t="inlineStr">
        <is>
          <t>None</t>
        </is>
      </c>
      <c r="AC542" s="29" t="inlineStr"/>
      <c r="AD542" s="29" t="inlineStr">
        <is>
          <t>None</t>
        </is>
      </c>
      <c r="AE542" s="29" t="inlineStr">
        <is>
          <t>Not wired</t>
        </is>
      </c>
      <c r="AF542" s="29" t="inlineStr">
        <is>
          <t>None</t>
        </is>
      </c>
      <c r="AG542" s="29" t="inlineStr">
        <is>
          <t>Not started</t>
        </is>
      </c>
      <c r="AH542" s="29" t="inlineStr">
        <is>
          <t>No</t>
        </is>
      </c>
      <c r="AI542" s="29" t="inlineStr">
        <is>
          <t>No evidence found in source</t>
        </is>
      </c>
      <c r="AJ542" s="29" t="inlineStr">
        <is>
          <t>Not verified</t>
        </is>
      </c>
      <c r="AK542" s="29" t="inlineStr">
        <is>
          <t>EV-27-0008</t>
        </is>
      </c>
      <c r="AL542" s="29" t="inlineStr"/>
      <c r="AM542" s="29" t="inlineStr"/>
      <c r="AN542" s="29" t="inlineStr"/>
      <c r="AO542" s="29" t="inlineStr">
        <is>
          <t>8bc0dcb2a1da1b21368c5536aaeef829d587f316</t>
        </is>
      </c>
      <c r="AP542" s="29" t="inlineStr">
        <is>
          <t>High</t>
        </is>
      </c>
      <c r="AQ542" s="29" t="inlineStr">
        <is>
          <t>Not assessed</t>
        </is>
      </c>
      <c r="AR542" s="29" t="inlineStr">
        <is>
          <t>Not assessed</t>
        </is>
      </c>
      <c r="AS542" s="29" t="inlineStr">
        <is>
          <t>Fail</t>
        </is>
      </c>
      <c r="AT542" s="29" t="inlineStr">
        <is>
          <t>Not assessed</t>
        </is>
      </c>
      <c r="AU542" s="29" t="inlineStr">
        <is>
          <t>Not assessed</t>
        </is>
      </c>
      <c r="AV542" s="29" t="inlineStr">
        <is>
          <t>Not assessed</t>
        </is>
      </c>
      <c r="AW542" s="29" t="inlineStr">
        <is>
          <t>Not assessed</t>
        </is>
      </c>
      <c r="AX542" s="29" t="inlineStr">
        <is>
          <t>Not assessed</t>
        </is>
      </c>
      <c r="AY542" s="29" t="inlineStr">
        <is>
          <t>Not assessed</t>
        </is>
      </c>
      <c r="AZ542" s="29" t="inlineStr">
        <is>
          <t>Not assessed</t>
        </is>
      </c>
      <c r="BA542" s="29" t="inlineStr">
        <is>
          <t>Not assessed</t>
        </is>
      </c>
      <c r="BB542" s="29" t="inlineStr">
        <is>
          <t>Not assessed</t>
        </is>
      </c>
      <c r="BC542" s="29" t="inlineStr">
        <is>
          <t>Not assessed</t>
        </is>
      </c>
      <c r="BD542" s="29" t="inlineStr">
        <is>
          <t>Not assessed</t>
        </is>
      </c>
      <c r="BE542" s="29" t="inlineStr">
        <is>
          <t>Development required</t>
        </is>
      </c>
      <c r="BF542" s="29" t="inlineStr">
        <is>
          <t>Physical implementation is not complete against the stated requirement.; No evidence found in source</t>
        </is>
      </c>
      <c r="BG542" s="29" t="inlineStr"/>
      <c r="BH542" s="29" t="inlineStr"/>
      <c r="BI542" s="29" t="inlineStr"/>
      <c r="BJ542" s="29" t="inlineStr"/>
      <c r="BK542" s="29" t="inlineStr">
        <is>
          <t>Evidence reconciled against the reviewed source revision. No production approval is inferred from implementation or file presence.</t>
        </is>
      </c>
      <c r="BL542" s="29" t="inlineStr">
        <is>
          <t>2026-08-02</t>
        </is>
      </c>
    </row>
    <row r="543" ht="42" customHeight="1">
      <c r="A543" s="29" t="inlineStr">
        <is>
          <t>BLYP-27-009</t>
        </is>
      </c>
      <c r="B543" s="29" t="inlineStr"/>
      <c r="C543" s="29" t="inlineStr">
        <is>
          <t>Unified Inbox and messaging</t>
        </is>
      </c>
      <c r="D543" s="29" t="n">
        <v>27</v>
      </c>
      <c r="E543" s="29" t="n">
        <v>9</v>
      </c>
      <c r="F543" s="29" t="inlineStr">
        <is>
          <t>Feature</t>
        </is>
      </c>
      <c r="G543" s="29" t="inlineStr">
        <is>
          <t>Media messages</t>
        </is>
      </c>
      <c r="H543" s="29" t="inlineStr">
        <is>
          <t>Media messages</t>
        </is>
      </c>
      <c r="I543" s="29" t="inlineStr">
        <is>
          <t>/home/ubuntu/blyp_product_requirements.md :: Section 27 — Unified Inbox and messaging</t>
        </is>
      </c>
      <c r="J543" s="29" t="inlineStr">
        <is>
          <t>/home/ubuntu/BLYP_COMPLETE_FEATURE_LIST.md:687</t>
        </is>
      </c>
      <c r="K543" s="29" t="inlineStr">
        <is>
          <t>Required</t>
        </is>
      </c>
      <c r="L543" s="29" t="inlineStr">
        <is>
          <t>Applicable BLYP member</t>
        </is>
      </c>
      <c r="M543" s="29" t="inlineStr">
        <is>
          <t>BLYP mobile application and supporting production services</t>
        </is>
      </c>
      <c r="N543" s="29" t="inlineStr">
        <is>
          <t>Media messages</t>
        </is>
      </c>
      <c r="O543" s="29" t="inlineStr">
        <is>
          <t>Not explicitly defined in the product source; requires accountable product approval before production sign-off.</t>
        </is>
      </c>
      <c r="P543" s="29" t="inlineStr">
        <is>
          <t>None</t>
        </is>
      </c>
      <c r="Q543" s="29" t="inlineStr">
        <is>
          <t>Partial</t>
        </is>
      </c>
      <c r="R543" s="29" t="inlineStr"/>
      <c r="S543" s="29" t="inlineStr">
        <is>
          <t>Not found</t>
        </is>
      </c>
      <c r="T543" s="29" t="inlineStr">
        <is>
          <t>None</t>
        </is>
      </c>
      <c r="U543" s="29" t="inlineStr">
        <is>
          <t>None</t>
        </is>
      </c>
      <c r="V543" s="29" t="inlineStr">
        <is>
          <t>None</t>
        </is>
      </c>
      <c r="W543" s="29" t="inlineStr">
        <is>
          <t>None</t>
        </is>
      </c>
      <c r="X543" s="29" t="inlineStr">
        <is>
          <t>None</t>
        </is>
      </c>
      <c r="Y543" s="29" t="inlineStr">
        <is>
          <t>None</t>
        </is>
      </c>
      <c r="Z543" s="29" t="inlineStr">
        <is>
          <t>None</t>
        </is>
      </c>
      <c r="AA543" s="29" t="inlineStr">
        <is>
          <t>None</t>
        </is>
      </c>
      <c r="AB543" s="29" t="inlineStr">
        <is>
          <t>None</t>
        </is>
      </c>
      <c r="AC543" s="29" t="inlineStr"/>
      <c r="AD543" s="29" t="inlineStr">
        <is>
          <t>None</t>
        </is>
      </c>
      <c r="AE543" s="29" t="inlineStr">
        <is>
          <t>Not wired</t>
        </is>
      </c>
      <c r="AF543" s="29" t="inlineStr">
        <is>
          <t>None</t>
        </is>
      </c>
      <c r="AG543" s="29" t="inlineStr">
        <is>
          <t>Not started</t>
        </is>
      </c>
      <c r="AH543" s="29" t="inlineStr">
        <is>
          <t>No</t>
        </is>
      </c>
      <c r="AI543" s="29" t="inlineStr">
        <is>
          <t>No evidence found in source</t>
        </is>
      </c>
      <c r="AJ543" s="29" t="inlineStr">
        <is>
          <t>Not verified</t>
        </is>
      </c>
      <c r="AK543" s="29" t="inlineStr">
        <is>
          <t>EV-27-0009</t>
        </is>
      </c>
      <c r="AL543" s="29" t="inlineStr"/>
      <c r="AM543" s="29" t="inlineStr"/>
      <c r="AN543" s="29" t="inlineStr"/>
      <c r="AO543" s="29" t="inlineStr">
        <is>
          <t>8bc0dcb2a1da1b21368c5536aaeef829d587f316</t>
        </is>
      </c>
      <c r="AP543" s="29" t="inlineStr">
        <is>
          <t>High</t>
        </is>
      </c>
      <c r="AQ543" s="29" t="inlineStr">
        <is>
          <t>Not assessed</t>
        </is>
      </c>
      <c r="AR543" s="29" t="inlineStr">
        <is>
          <t>Not assessed</t>
        </is>
      </c>
      <c r="AS543" s="29" t="inlineStr">
        <is>
          <t>Fail</t>
        </is>
      </c>
      <c r="AT543" s="29" t="inlineStr">
        <is>
          <t>Not assessed</t>
        </is>
      </c>
      <c r="AU543" s="29" t="inlineStr">
        <is>
          <t>Not assessed</t>
        </is>
      </c>
      <c r="AV543" s="29" t="inlineStr">
        <is>
          <t>Not assessed</t>
        </is>
      </c>
      <c r="AW543" s="29" t="inlineStr">
        <is>
          <t>Not assessed</t>
        </is>
      </c>
      <c r="AX543" s="29" t="inlineStr">
        <is>
          <t>Not assessed</t>
        </is>
      </c>
      <c r="AY543" s="29" t="inlineStr">
        <is>
          <t>Not assessed</t>
        </is>
      </c>
      <c r="AZ543" s="29" t="inlineStr">
        <is>
          <t>Not assessed</t>
        </is>
      </c>
      <c r="BA543" s="29" t="inlineStr">
        <is>
          <t>Not assessed</t>
        </is>
      </c>
      <c r="BB543" s="29" t="inlineStr">
        <is>
          <t>Not assessed</t>
        </is>
      </c>
      <c r="BC543" s="29" t="inlineStr">
        <is>
          <t>Not assessed</t>
        </is>
      </c>
      <c r="BD543" s="29" t="inlineStr">
        <is>
          <t>Not assessed</t>
        </is>
      </c>
      <c r="BE543" s="29" t="inlineStr">
        <is>
          <t>Development required</t>
        </is>
      </c>
      <c r="BF543" s="29" t="inlineStr">
        <is>
          <t>Physical implementation is not complete against the stated requirement.; No evidence found in source</t>
        </is>
      </c>
      <c r="BG543" s="29" t="inlineStr"/>
      <c r="BH543" s="29" t="inlineStr"/>
      <c r="BI543" s="29" t="inlineStr"/>
      <c r="BJ543" s="29" t="inlineStr"/>
      <c r="BK543" s="29" t="inlineStr">
        <is>
          <t>Evidence reconciled against the reviewed source revision. No production approval is inferred from implementation or file presence.</t>
        </is>
      </c>
      <c r="BL543" s="29" t="inlineStr">
        <is>
          <t>2026-08-02</t>
        </is>
      </c>
    </row>
    <row r="544" ht="42" customHeight="1">
      <c r="A544" s="29" t="inlineStr">
        <is>
          <t>BLYP-27-010</t>
        </is>
      </c>
      <c r="B544" s="29" t="inlineStr"/>
      <c r="C544" s="29" t="inlineStr">
        <is>
          <t>Unified Inbox and messaging</t>
        </is>
      </c>
      <c r="D544" s="29" t="n">
        <v>27</v>
      </c>
      <c r="E544" s="29" t="n">
        <v>10</v>
      </c>
      <c r="F544" s="29" t="inlineStr">
        <is>
          <t>Feature</t>
        </is>
      </c>
      <c r="G544" s="29" t="inlineStr">
        <is>
          <t>Voice notes</t>
        </is>
      </c>
      <c r="H544" s="29" t="inlineStr">
        <is>
          <t>Voice notes</t>
        </is>
      </c>
      <c r="I544" s="29" t="inlineStr">
        <is>
          <t>/home/ubuntu/blyp_product_requirements.md :: Section 27 — Unified Inbox and messaging</t>
        </is>
      </c>
      <c r="J544" s="29" t="inlineStr">
        <is>
          <t>/home/ubuntu/BLYP_COMPLETE_FEATURE_LIST.md:688</t>
        </is>
      </c>
      <c r="K544" s="29" t="inlineStr">
        <is>
          <t>Required</t>
        </is>
      </c>
      <c r="L544" s="29" t="inlineStr">
        <is>
          <t>Applicable BLYP member</t>
        </is>
      </c>
      <c r="M544" s="29" t="inlineStr">
        <is>
          <t>BLYP mobile application and supporting production services</t>
        </is>
      </c>
      <c r="N544" s="29" t="inlineStr">
        <is>
          <t>Voice notes</t>
        </is>
      </c>
      <c r="O544" s="29" t="inlineStr">
        <is>
          <t>Not explicitly defined in the product source; requires accountable product approval before production sign-off.</t>
        </is>
      </c>
      <c r="P544" s="29" t="inlineStr">
        <is>
          <t>None</t>
        </is>
      </c>
      <c r="Q544" s="29" t="inlineStr">
        <is>
          <t>No evidence</t>
        </is>
      </c>
      <c r="R544" s="29" t="inlineStr"/>
      <c r="S544" s="29" t="inlineStr">
        <is>
          <t>Not found</t>
        </is>
      </c>
      <c r="T544" s="29" t="inlineStr">
        <is>
          <t>None</t>
        </is>
      </c>
      <c r="U544" s="29" t="inlineStr">
        <is>
          <t>None</t>
        </is>
      </c>
      <c r="V544" s="29" t="inlineStr">
        <is>
          <t>None</t>
        </is>
      </c>
      <c r="W544" s="29" t="inlineStr">
        <is>
          <t>None</t>
        </is>
      </c>
      <c r="X544" s="29" t="inlineStr">
        <is>
          <t>None</t>
        </is>
      </c>
      <c r="Y544" s="29" t="inlineStr">
        <is>
          <t>None</t>
        </is>
      </c>
      <c r="Z544" s="29" t="inlineStr">
        <is>
          <t>None</t>
        </is>
      </c>
      <c r="AA544" s="29" t="inlineStr">
        <is>
          <t>None</t>
        </is>
      </c>
      <c r="AB544" s="29" t="inlineStr">
        <is>
          <t>None</t>
        </is>
      </c>
      <c r="AC544" s="29" t="inlineStr"/>
      <c r="AD544" s="29" t="inlineStr">
        <is>
          <t>None</t>
        </is>
      </c>
      <c r="AE544" s="29" t="inlineStr">
        <is>
          <t>Not wired</t>
        </is>
      </c>
      <c r="AF544" s="29" t="inlineStr">
        <is>
          <t>None</t>
        </is>
      </c>
      <c r="AG544" s="29" t="inlineStr">
        <is>
          <t>Not started</t>
        </is>
      </c>
      <c r="AH544" s="29" t="inlineStr">
        <is>
          <t>No</t>
        </is>
      </c>
      <c r="AI544" s="29" t="inlineStr">
        <is>
          <t>No evidence found in source</t>
        </is>
      </c>
      <c r="AJ544" s="29" t="inlineStr">
        <is>
          <t>Not verified</t>
        </is>
      </c>
      <c r="AK544" s="29" t="inlineStr">
        <is>
          <t>EV-27-0010</t>
        </is>
      </c>
      <c r="AL544" s="29" t="inlineStr"/>
      <c r="AM544" s="29" t="inlineStr"/>
      <c r="AN544" s="29" t="inlineStr"/>
      <c r="AO544" s="29" t="inlineStr">
        <is>
          <t>8bc0dcb2a1da1b21368c5536aaeef829d587f316</t>
        </is>
      </c>
      <c r="AP544" s="29" t="inlineStr">
        <is>
          <t>High</t>
        </is>
      </c>
      <c r="AQ544" s="29" t="inlineStr">
        <is>
          <t>Not assessed</t>
        </is>
      </c>
      <c r="AR544" s="29" t="inlineStr">
        <is>
          <t>Not assessed</t>
        </is>
      </c>
      <c r="AS544" s="29" t="inlineStr">
        <is>
          <t>Fail</t>
        </is>
      </c>
      <c r="AT544" s="29" t="inlineStr">
        <is>
          <t>Not assessed</t>
        </is>
      </c>
      <c r="AU544" s="29" t="inlineStr">
        <is>
          <t>Not assessed</t>
        </is>
      </c>
      <c r="AV544" s="29" t="inlineStr">
        <is>
          <t>Not assessed</t>
        </is>
      </c>
      <c r="AW544" s="29" t="inlineStr">
        <is>
          <t>Not assessed</t>
        </is>
      </c>
      <c r="AX544" s="29" t="inlineStr">
        <is>
          <t>Not assessed</t>
        </is>
      </c>
      <c r="AY544" s="29" t="inlineStr">
        <is>
          <t>Not assessed</t>
        </is>
      </c>
      <c r="AZ544" s="29" t="inlineStr">
        <is>
          <t>Not assessed</t>
        </is>
      </c>
      <c r="BA544" s="29" t="inlineStr">
        <is>
          <t>Not assessed</t>
        </is>
      </c>
      <c r="BB544" s="29" t="inlineStr">
        <is>
          <t>Not assessed</t>
        </is>
      </c>
      <c r="BC544" s="29" t="inlineStr">
        <is>
          <t>Not assessed</t>
        </is>
      </c>
      <c r="BD544" s="29" t="inlineStr">
        <is>
          <t>Not assessed</t>
        </is>
      </c>
      <c r="BE544" s="29" t="inlineStr">
        <is>
          <t>Development required</t>
        </is>
      </c>
      <c r="BF544" s="29" t="inlineStr">
        <is>
          <t>Physical implementation is not complete against the stated requirement.; No evidence found in source</t>
        </is>
      </c>
      <c r="BG544" s="29" t="inlineStr"/>
      <c r="BH544" s="29" t="inlineStr"/>
      <c r="BI544" s="29" t="inlineStr"/>
      <c r="BJ544" s="29" t="inlineStr"/>
      <c r="BK544" s="29" t="inlineStr">
        <is>
          <t>Evidence reconciled against the reviewed source revision. No production approval is inferred from implementation or file presence.</t>
        </is>
      </c>
      <c r="BL544" s="29" t="inlineStr">
        <is>
          <t>2026-08-02</t>
        </is>
      </c>
    </row>
    <row r="545" ht="42" customHeight="1">
      <c r="A545" s="29" t="inlineStr">
        <is>
          <t>BLYP-27-011</t>
        </is>
      </c>
      <c r="B545" s="29" t="inlineStr"/>
      <c r="C545" s="29" t="inlineStr">
        <is>
          <t>Unified Inbox and messaging</t>
        </is>
      </c>
      <c r="D545" s="29" t="n">
        <v>27</v>
      </c>
      <c r="E545" s="29" t="n">
        <v>11</v>
      </c>
      <c r="F545" s="29" t="inlineStr">
        <is>
          <t>Feature</t>
        </is>
      </c>
      <c r="G545" s="29" t="inlineStr">
        <is>
          <t>Message search</t>
        </is>
      </c>
      <c r="H545" s="29" t="inlineStr">
        <is>
          <t>Message search</t>
        </is>
      </c>
      <c r="I545" s="29" t="inlineStr">
        <is>
          <t>/home/ubuntu/blyp_product_requirements.md :: Section 27 — Unified Inbox and messaging</t>
        </is>
      </c>
      <c r="J545" s="29" t="inlineStr">
        <is>
          <t>/home/ubuntu/BLYP_COMPLETE_FEATURE_LIST.md:689</t>
        </is>
      </c>
      <c r="K545" s="29" t="inlineStr">
        <is>
          <t>Required</t>
        </is>
      </c>
      <c r="L545" s="29" t="inlineStr">
        <is>
          <t>Applicable BLYP member</t>
        </is>
      </c>
      <c r="M545" s="29" t="inlineStr">
        <is>
          <t>BLYP mobile application and supporting production services</t>
        </is>
      </c>
      <c r="N545" s="29" t="inlineStr">
        <is>
          <t>Message search</t>
        </is>
      </c>
      <c r="O545" s="29" t="inlineStr">
        <is>
          <t>Not explicitly defined in the product source; requires accountable product approval before production sign-off.</t>
        </is>
      </c>
      <c r="P545" s="29" t="inlineStr">
        <is>
          <t>None</t>
        </is>
      </c>
      <c r="Q545" s="29" t="inlineStr">
        <is>
          <t>No evidence</t>
        </is>
      </c>
      <c r="R545" s="29" t="inlineStr"/>
      <c r="S545" s="29" t="inlineStr">
        <is>
          <t>Partial</t>
        </is>
      </c>
      <c r="T545" s="29" t="inlineStr">
        <is>
          <t>ChatListScreen.js, MessengerScreen.js</t>
        </is>
      </c>
      <c r="U545" s="29" t="inlineStr">
        <is>
          <t>ChatListScreen, MessengerScreen</t>
        </is>
      </c>
      <c r="V545" s="29" t="inlineStr">
        <is>
          <t>None</t>
        </is>
      </c>
      <c r="W545" s="29" t="inlineStr">
        <is>
          <t>None</t>
        </is>
      </c>
      <c r="X545" s="29" t="inlineStr">
        <is>
          <t>None</t>
        </is>
      </c>
      <c r="Y545" s="29" t="inlineStr">
        <is>
          <t>None</t>
        </is>
      </c>
      <c r="Z545" s="29" t="inlineStr">
        <is>
          <t>None</t>
        </is>
      </c>
      <c r="AA545" s="29" t="inlineStr">
        <is>
          <t>None</t>
        </is>
      </c>
      <c r="AB545" s="29" t="inlineStr">
        <is>
          <t>None</t>
        </is>
      </c>
      <c r="AC545" s="29" t="inlineStr"/>
      <c r="AD545" s="29" t="inlineStr">
        <is>
          <t>None</t>
        </is>
      </c>
      <c r="AE545" s="29" t="inlineStr">
        <is>
          <t>Internally reachable</t>
        </is>
      </c>
      <c r="AF545" s="29" t="inlineStr">
        <is>
          <t>ChatListScreen.js, MessengerScreen.js; None</t>
        </is>
      </c>
      <c r="AG545" s="29" t="inlineStr">
        <is>
          <t>Incomplete</t>
        </is>
      </c>
      <c r="AH545" s="29" t="inlineStr">
        <is>
          <t>No</t>
        </is>
      </c>
      <c r="AI545" s="29" t="inlineStr">
        <is>
          <t>Client-side search only</t>
        </is>
      </c>
      <c r="AJ545" s="29" t="inlineStr">
        <is>
          <t>Not verified</t>
        </is>
      </c>
      <c r="AK545" s="29" t="inlineStr">
        <is>
          <t>EV-27-0011</t>
        </is>
      </c>
      <c r="AL545" s="29" t="inlineStr"/>
      <c r="AM545" s="29" t="inlineStr"/>
      <c r="AN545" s="29" t="inlineStr"/>
      <c r="AO545" s="29" t="inlineStr">
        <is>
          <t>8bc0dcb2a1da1b21368c5536aaeef829d587f316</t>
        </is>
      </c>
      <c r="AP545" s="29" t="inlineStr">
        <is>
          <t>Medium</t>
        </is>
      </c>
      <c r="AQ545" s="29" t="inlineStr">
        <is>
          <t>Not assessed</t>
        </is>
      </c>
      <c r="AR545" s="29" t="inlineStr">
        <is>
          <t>Not assessed</t>
        </is>
      </c>
      <c r="AS545" s="29" t="inlineStr">
        <is>
          <t>Fail</t>
        </is>
      </c>
      <c r="AT545" s="29" t="inlineStr">
        <is>
          <t>Not assessed</t>
        </is>
      </c>
      <c r="AU545" s="29" t="inlineStr">
        <is>
          <t>Not assessed</t>
        </is>
      </c>
      <c r="AV545" s="29" t="inlineStr">
        <is>
          <t>Not assessed</t>
        </is>
      </c>
      <c r="AW545" s="29" t="inlineStr">
        <is>
          <t>Not assessed</t>
        </is>
      </c>
      <c r="AX545" s="29" t="inlineStr">
        <is>
          <t>Not assessed</t>
        </is>
      </c>
      <c r="AY545" s="29" t="inlineStr">
        <is>
          <t>Not assessed</t>
        </is>
      </c>
      <c r="AZ545" s="29" t="inlineStr">
        <is>
          <t>Not assessed</t>
        </is>
      </c>
      <c r="BA545" s="29" t="inlineStr">
        <is>
          <t>Not assessed</t>
        </is>
      </c>
      <c r="BB545" s="29" t="inlineStr">
        <is>
          <t>Not assessed</t>
        </is>
      </c>
      <c r="BC545" s="29" t="inlineStr">
        <is>
          <t>Not assessed</t>
        </is>
      </c>
      <c r="BD545" s="29" t="inlineStr">
        <is>
          <t>Not assessed</t>
        </is>
      </c>
      <c r="BE545" s="29" t="inlineStr">
        <is>
          <t>Development required</t>
        </is>
      </c>
      <c r="BF545" s="29" t="inlineStr">
        <is>
          <t>Physical implementation is not complete against the stated requirement.; Client-side search only</t>
        </is>
      </c>
      <c r="BG545" s="29" t="inlineStr"/>
      <c r="BH545" s="29" t="inlineStr"/>
      <c r="BI545" s="29" t="inlineStr"/>
      <c r="BJ545" s="29" t="inlineStr"/>
      <c r="BK545" s="29" t="inlineStr">
        <is>
          <t>Evidence reconciled against the reviewed source revision. No production approval is inferred from implementation or file presence.</t>
        </is>
      </c>
      <c r="BL545" s="29" t="inlineStr">
        <is>
          <t>2026-08-02</t>
        </is>
      </c>
    </row>
    <row r="546" ht="42" customHeight="1">
      <c r="A546" s="29" t="inlineStr">
        <is>
          <t>BLYP-27-012</t>
        </is>
      </c>
      <c r="B546" s="29" t="inlineStr"/>
      <c r="C546" s="29" t="inlineStr">
        <is>
          <t>Unified Inbox and messaging</t>
        </is>
      </c>
      <c r="D546" s="29" t="n">
        <v>27</v>
      </c>
      <c r="E546" s="29" t="n">
        <v>12</v>
      </c>
      <c r="F546" s="29" t="inlineStr">
        <is>
          <t>Feature</t>
        </is>
      </c>
      <c r="G546" s="29" t="inlineStr">
        <is>
          <t>Unread controls</t>
        </is>
      </c>
      <c r="H546" s="29" t="inlineStr">
        <is>
          <t>Unread controls</t>
        </is>
      </c>
      <c r="I546" s="29" t="inlineStr">
        <is>
          <t>/home/ubuntu/blyp_product_requirements.md :: Section 27 — Unified Inbox and messaging</t>
        </is>
      </c>
      <c r="J546" s="29" t="inlineStr">
        <is>
          <t>/home/ubuntu/BLYP_COMPLETE_FEATURE_LIST.md:690</t>
        </is>
      </c>
      <c r="K546" s="29" t="inlineStr">
        <is>
          <t>Required</t>
        </is>
      </c>
      <c r="L546" s="29" t="inlineStr">
        <is>
          <t>Applicable BLYP member</t>
        </is>
      </c>
      <c r="M546" s="29" t="inlineStr">
        <is>
          <t>BLYP mobile application and supporting production services</t>
        </is>
      </c>
      <c r="N546" s="29" t="inlineStr">
        <is>
          <t>Unread controls</t>
        </is>
      </c>
      <c r="O546" s="29" t="inlineStr">
        <is>
          <t>Not explicitly defined in the product source; requires accountable product approval before production sign-off.</t>
        </is>
      </c>
      <c r="P546" s="29" t="inlineStr">
        <is>
          <t>None; Firestore (unreadCount)</t>
        </is>
      </c>
      <c r="Q546" s="29" t="inlineStr">
        <is>
          <t>Yes</t>
        </is>
      </c>
      <c r="R546" s="29" t="inlineStr"/>
      <c r="S546" s="29" t="inlineStr">
        <is>
          <t>Partial</t>
        </is>
      </c>
      <c r="T546" s="29" t="inlineStr">
        <is>
          <t>ChatListScreen.js, MessengerScreen.js</t>
        </is>
      </c>
      <c r="U546" s="29" t="inlineStr">
        <is>
          <t>ChatListScreen, MessengerScreen</t>
        </is>
      </c>
      <c r="V546" s="29" t="inlineStr">
        <is>
          <t>None</t>
        </is>
      </c>
      <c r="W546" s="29" t="inlineStr">
        <is>
          <t>None</t>
        </is>
      </c>
      <c r="X546" s="29" t="inlineStr">
        <is>
          <t>Firestore (unreadCount)</t>
        </is>
      </c>
      <c r="Y546" s="29" t="inlineStr">
        <is>
          <t>None</t>
        </is>
      </c>
      <c r="Z546" s="29" t="inlineStr">
        <is>
          <t>None</t>
        </is>
      </c>
      <c r="AA546" s="29" t="inlineStr">
        <is>
          <t>None</t>
        </is>
      </c>
      <c r="AB546" s="29" t="inlineStr">
        <is>
          <t>None</t>
        </is>
      </c>
      <c r="AC546" s="29" t="inlineStr"/>
      <c r="AD546" s="29" t="inlineStr">
        <is>
          <t>None</t>
        </is>
      </c>
      <c r="AE546" s="29" t="inlineStr">
        <is>
          <t>Internally reachable</t>
        </is>
      </c>
      <c r="AF546" s="29" t="inlineStr">
        <is>
          <t>ChatListScreen.js, MessengerScreen.js; None</t>
        </is>
      </c>
      <c r="AG546" s="29" t="inlineStr">
        <is>
          <t>Incomplete</t>
        </is>
      </c>
      <c r="AH546" s="29" t="inlineStr">
        <is>
          <t>No</t>
        </is>
      </c>
      <c r="AI546" s="29" t="inlineStr">
        <is>
          <t>Unread count tracking found</t>
        </is>
      </c>
      <c r="AJ546" s="29" t="inlineStr">
        <is>
          <t>Not verified</t>
        </is>
      </c>
      <c r="AK546" s="29" t="inlineStr">
        <is>
          <t>EV-27-0012</t>
        </is>
      </c>
      <c r="AL546" s="29" t="inlineStr"/>
      <c r="AM546" s="29" t="inlineStr"/>
      <c r="AN546" s="29" t="inlineStr"/>
      <c r="AO546" s="29" t="inlineStr">
        <is>
          <t>8bc0dcb2a1da1b21368c5536aaeef829d587f316</t>
        </is>
      </c>
      <c r="AP546" s="29" t="inlineStr">
        <is>
          <t>Medium</t>
        </is>
      </c>
      <c r="AQ546" s="29" t="inlineStr">
        <is>
          <t>Not assessed</t>
        </is>
      </c>
      <c r="AR546" s="29" t="inlineStr">
        <is>
          <t>Not assessed</t>
        </is>
      </c>
      <c r="AS546" s="29" t="inlineStr">
        <is>
          <t>Fail</t>
        </is>
      </c>
      <c r="AT546" s="29" t="inlineStr">
        <is>
          <t>Not assessed</t>
        </is>
      </c>
      <c r="AU546" s="29" t="inlineStr">
        <is>
          <t>Not assessed</t>
        </is>
      </c>
      <c r="AV546" s="29" t="inlineStr">
        <is>
          <t>Not assessed</t>
        </is>
      </c>
      <c r="AW546" s="29" t="inlineStr">
        <is>
          <t>Not assessed</t>
        </is>
      </c>
      <c r="AX546" s="29" t="inlineStr">
        <is>
          <t>Not assessed</t>
        </is>
      </c>
      <c r="AY546" s="29" t="inlineStr">
        <is>
          <t>Not assessed</t>
        </is>
      </c>
      <c r="AZ546" s="29" t="inlineStr">
        <is>
          <t>Not assessed</t>
        </is>
      </c>
      <c r="BA546" s="29" t="inlineStr">
        <is>
          <t>Not assessed</t>
        </is>
      </c>
      <c r="BB546" s="29" t="inlineStr">
        <is>
          <t>Not assessed</t>
        </is>
      </c>
      <c r="BC546" s="29" t="inlineStr">
        <is>
          <t>Not assessed</t>
        </is>
      </c>
      <c r="BD546" s="29" t="inlineStr">
        <is>
          <t>Not assessed</t>
        </is>
      </c>
      <c r="BE546" s="29" t="inlineStr">
        <is>
          <t>Development required</t>
        </is>
      </c>
      <c r="BF546" s="29" t="inlineStr">
        <is>
          <t>Physical implementation is not complete against the stated requirement.; Unread count tracking found</t>
        </is>
      </c>
      <c r="BG546" s="29" t="inlineStr"/>
      <c r="BH546" s="29" t="inlineStr"/>
      <c r="BI546" s="29" t="inlineStr"/>
      <c r="BJ546" s="29" t="inlineStr"/>
      <c r="BK546" s="29" t="inlineStr">
        <is>
          <t>Evidence reconciled against the reviewed source revision. No production approval is inferred from implementation or file presence.</t>
        </is>
      </c>
      <c r="BL546" s="29" t="inlineStr">
        <is>
          <t>2026-08-02</t>
        </is>
      </c>
    </row>
    <row r="547" ht="42" customHeight="1">
      <c r="A547" s="29" t="inlineStr">
        <is>
          <t>BLYP-27-013</t>
        </is>
      </c>
      <c r="B547" s="29" t="inlineStr"/>
      <c r="C547" s="29" t="inlineStr">
        <is>
          <t>Unified Inbox and messaging</t>
        </is>
      </c>
      <c r="D547" s="29" t="n">
        <v>27</v>
      </c>
      <c r="E547" s="29" t="n">
        <v>13</v>
      </c>
      <c r="F547" s="29" t="inlineStr">
        <is>
          <t>Feature</t>
        </is>
      </c>
      <c r="G547" s="29" t="inlineStr">
        <is>
          <t>Muting</t>
        </is>
      </c>
      <c r="H547" s="29" t="inlineStr">
        <is>
          <t>Muting</t>
        </is>
      </c>
      <c r="I547" s="29" t="inlineStr">
        <is>
          <t>/home/ubuntu/blyp_product_requirements.md :: Section 27 — Unified Inbox and messaging</t>
        </is>
      </c>
      <c r="J547" s="29" t="inlineStr">
        <is>
          <t>/home/ubuntu/BLYP_COMPLETE_FEATURE_LIST.md:691</t>
        </is>
      </c>
      <c r="K547" s="29" t="inlineStr">
        <is>
          <t>Required</t>
        </is>
      </c>
      <c r="L547" s="29" t="inlineStr">
        <is>
          <t>Applicable BLYP member</t>
        </is>
      </c>
      <c r="M547" s="29" t="inlineStr">
        <is>
          <t>BLYP mobile application and supporting production services</t>
        </is>
      </c>
      <c r="N547" s="29" t="inlineStr">
        <is>
          <t>Muting</t>
        </is>
      </c>
      <c r="O547" s="29" t="inlineStr">
        <is>
          <t>Not explicitly defined in the product source; requires accountable product approval before production sign-off.</t>
        </is>
      </c>
      <c r="P547" s="29" t="inlineStr">
        <is>
          <t>None</t>
        </is>
      </c>
      <c r="Q547" s="29" t="inlineStr">
        <is>
          <t>Partial</t>
        </is>
      </c>
      <c r="R547" s="29" t="inlineStr"/>
      <c r="S547" s="29" t="inlineStr">
        <is>
          <t>Not found</t>
        </is>
      </c>
      <c r="T547" s="29" t="inlineStr">
        <is>
          <t>None</t>
        </is>
      </c>
      <c r="U547" s="29" t="inlineStr">
        <is>
          <t>None</t>
        </is>
      </c>
      <c r="V547" s="29" t="inlineStr">
        <is>
          <t>None</t>
        </is>
      </c>
      <c r="W547" s="29" t="inlineStr">
        <is>
          <t>None</t>
        </is>
      </c>
      <c r="X547" s="29" t="inlineStr">
        <is>
          <t>None</t>
        </is>
      </c>
      <c r="Y547" s="29" t="inlineStr">
        <is>
          <t>None</t>
        </is>
      </c>
      <c r="Z547" s="29" t="inlineStr">
        <is>
          <t>None</t>
        </is>
      </c>
      <c r="AA547" s="29" t="inlineStr">
        <is>
          <t>None</t>
        </is>
      </c>
      <c r="AB547" s="29" t="inlineStr">
        <is>
          <t>None</t>
        </is>
      </c>
      <c r="AC547" s="29" t="inlineStr"/>
      <c r="AD547" s="29" t="inlineStr">
        <is>
          <t>None</t>
        </is>
      </c>
      <c r="AE547" s="29" t="inlineStr">
        <is>
          <t>Not wired</t>
        </is>
      </c>
      <c r="AF547" s="29" t="inlineStr">
        <is>
          <t>None</t>
        </is>
      </c>
      <c r="AG547" s="29" t="inlineStr">
        <is>
          <t>Not started</t>
        </is>
      </c>
      <c r="AH547" s="29" t="inlineStr">
        <is>
          <t>No</t>
        </is>
      </c>
      <c r="AI547" s="29" t="inlineStr">
        <is>
          <t>No evidence found in source</t>
        </is>
      </c>
      <c r="AJ547" s="29" t="inlineStr">
        <is>
          <t>Not verified</t>
        </is>
      </c>
      <c r="AK547" s="29" t="inlineStr">
        <is>
          <t>EV-27-0013</t>
        </is>
      </c>
      <c r="AL547" s="29" t="inlineStr"/>
      <c r="AM547" s="29" t="inlineStr"/>
      <c r="AN547" s="29" t="inlineStr"/>
      <c r="AO547" s="29" t="inlineStr">
        <is>
          <t>8bc0dcb2a1da1b21368c5536aaeef829d587f316</t>
        </is>
      </c>
      <c r="AP547" s="29" t="inlineStr">
        <is>
          <t>High</t>
        </is>
      </c>
      <c r="AQ547" s="29" t="inlineStr">
        <is>
          <t>Not assessed</t>
        </is>
      </c>
      <c r="AR547" s="29" t="inlineStr">
        <is>
          <t>Not assessed</t>
        </is>
      </c>
      <c r="AS547" s="29" t="inlineStr">
        <is>
          <t>Fail</t>
        </is>
      </c>
      <c r="AT547" s="29" t="inlineStr">
        <is>
          <t>Not assessed</t>
        </is>
      </c>
      <c r="AU547" s="29" t="inlineStr">
        <is>
          <t>Not assessed</t>
        </is>
      </c>
      <c r="AV547" s="29" t="inlineStr">
        <is>
          <t>Not assessed</t>
        </is>
      </c>
      <c r="AW547" s="29" t="inlineStr">
        <is>
          <t>Not assessed</t>
        </is>
      </c>
      <c r="AX547" s="29" t="inlineStr">
        <is>
          <t>Not assessed</t>
        </is>
      </c>
      <c r="AY547" s="29" t="inlineStr">
        <is>
          <t>Not assessed</t>
        </is>
      </c>
      <c r="AZ547" s="29" t="inlineStr">
        <is>
          <t>Not assessed</t>
        </is>
      </c>
      <c r="BA547" s="29" t="inlineStr">
        <is>
          <t>Not assessed</t>
        </is>
      </c>
      <c r="BB547" s="29" t="inlineStr">
        <is>
          <t>Not assessed</t>
        </is>
      </c>
      <c r="BC547" s="29" t="inlineStr">
        <is>
          <t>Not assessed</t>
        </is>
      </c>
      <c r="BD547" s="29" t="inlineStr">
        <is>
          <t>Not assessed</t>
        </is>
      </c>
      <c r="BE547" s="29" t="inlineStr">
        <is>
          <t>Development required</t>
        </is>
      </c>
      <c r="BF547" s="29" t="inlineStr">
        <is>
          <t>Physical implementation is not complete against the stated requirement.; No evidence found in source</t>
        </is>
      </c>
      <c r="BG547" s="29" t="inlineStr"/>
      <c r="BH547" s="29" t="inlineStr"/>
      <c r="BI547" s="29" t="inlineStr"/>
      <c r="BJ547" s="29" t="inlineStr"/>
      <c r="BK547" s="29" t="inlineStr">
        <is>
          <t>Evidence reconciled against the reviewed source revision. No production approval is inferred from implementation or file presence.</t>
        </is>
      </c>
      <c r="BL547" s="29" t="inlineStr">
        <is>
          <t>2026-08-02</t>
        </is>
      </c>
    </row>
    <row r="548" ht="42" customHeight="1">
      <c r="A548" s="29" t="inlineStr">
        <is>
          <t>BLYP-27-014</t>
        </is>
      </c>
      <c r="B548" s="29" t="inlineStr"/>
      <c r="C548" s="29" t="inlineStr">
        <is>
          <t>Unified Inbox and messaging</t>
        </is>
      </c>
      <c r="D548" s="29" t="n">
        <v>27</v>
      </c>
      <c r="E548" s="29" t="n">
        <v>14</v>
      </c>
      <c r="F548" s="29" t="inlineStr">
        <is>
          <t>Feature</t>
        </is>
      </c>
      <c r="G548" s="29" t="inlineStr">
        <is>
          <t>Blocking</t>
        </is>
      </c>
      <c r="H548" s="29" t="inlineStr">
        <is>
          <t>Blocking</t>
        </is>
      </c>
      <c r="I548" s="29" t="inlineStr">
        <is>
          <t>/home/ubuntu/blyp_product_requirements.md :: Section 27 — Unified Inbox and messaging</t>
        </is>
      </c>
      <c r="J548" s="29" t="inlineStr">
        <is>
          <t>/home/ubuntu/BLYP_COMPLETE_FEATURE_LIST.md:692</t>
        </is>
      </c>
      <c r="K548" s="29" t="inlineStr">
        <is>
          <t>Required</t>
        </is>
      </c>
      <c r="L548" s="29" t="inlineStr">
        <is>
          <t>Applicable BLYP member</t>
        </is>
      </c>
      <c r="M548" s="29" t="inlineStr">
        <is>
          <t>BLYP mobile application and supporting production services</t>
        </is>
      </c>
      <c r="N548" s="29" t="inlineStr">
        <is>
          <t>Blocking</t>
        </is>
      </c>
      <c r="O548" s="29" t="inlineStr">
        <is>
          <t>Not explicitly defined in the product source; requires accountable product approval before production sign-off.</t>
        </is>
      </c>
      <c r="P548" s="29" t="inlineStr">
        <is>
          <t>None</t>
        </is>
      </c>
      <c r="Q548" s="29" t="inlineStr">
        <is>
          <t>Partial</t>
        </is>
      </c>
      <c r="R548" s="29" t="inlineStr"/>
      <c r="S548" s="29" t="inlineStr">
        <is>
          <t>Not found</t>
        </is>
      </c>
      <c r="T548" s="29" t="inlineStr">
        <is>
          <t>None</t>
        </is>
      </c>
      <c r="U548" s="29" t="inlineStr">
        <is>
          <t>None</t>
        </is>
      </c>
      <c r="V548" s="29" t="inlineStr">
        <is>
          <t>None</t>
        </is>
      </c>
      <c r="W548" s="29" t="inlineStr">
        <is>
          <t>None</t>
        </is>
      </c>
      <c r="X548" s="29" t="inlineStr">
        <is>
          <t>None</t>
        </is>
      </c>
      <c r="Y548" s="29" t="inlineStr">
        <is>
          <t>None</t>
        </is>
      </c>
      <c r="Z548" s="29" t="inlineStr">
        <is>
          <t>None</t>
        </is>
      </c>
      <c r="AA548" s="29" t="inlineStr">
        <is>
          <t>None</t>
        </is>
      </c>
      <c r="AB548" s="29" t="inlineStr">
        <is>
          <t>None</t>
        </is>
      </c>
      <c r="AC548" s="29" t="inlineStr"/>
      <c r="AD548" s="29" t="inlineStr">
        <is>
          <t>None</t>
        </is>
      </c>
      <c r="AE548" s="29" t="inlineStr">
        <is>
          <t>Not wired</t>
        </is>
      </c>
      <c r="AF548" s="29" t="inlineStr">
        <is>
          <t>None</t>
        </is>
      </c>
      <c r="AG548" s="29" t="inlineStr">
        <is>
          <t>Not started</t>
        </is>
      </c>
      <c r="AH548" s="29" t="inlineStr">
        <is>
          <t>No</t>
        </is>
      </c>
      <c r="AI548" s="29" t="inlineStr">
        <is>
          <t>No evidence found in source</t>
        </is>
      </c>
      <c r="AJ548" s="29" t="inlineStr">
        <is>
          <t>Not verified</t>
        </is>
      </c>
      <c r="AK548" s="29" t="inlineStr">
        <is>
          <t>EV-27-0014</t>
        </is>
      </c>
      <c r="AL548" s="29" t="inlineStr"/>
      <c r="AM548" s="29" t="inlineStr"/>
      <c r="AN548" s="29" t="inlineStr"/>
      <c r="AO548" s="29" t="inlineStr">
        <is>
          <t>8bc0dcb2a1da1b21368c5536aaeef829d587f316</t>
        </is>
      </c>
      <c r="AP548" s="29" t="inlineStr">
        <is>
          <t>High</t>
        </is>
      </c>
      <c r="AQ548" s="29" t="inlineStr">
        <is>
          <t>Not assessed</t>
        </is>
      </c>
      <c r="AR548" s="29" t="inlineStr">
        <is>
          <t>Not assessed</t>
        </is>
      </c>
      <c r="AS548" s="29" t="inlineStr">
        <is>
          <t>Fail</t>
        </is>
      </c>
      <c r="AT548" s="29" t="inlineStr">
        <is>
          <t>Not assessed</t>
        </is>
      </c>
      <c r="AU548" s="29" t="inlineStr">
        <is>
          <t>Not assessed</t>
        </is>
      </c>
      <c r="AV548" s="29" t="inlineStr">
        <is>
          <t>Not assessed</t>
        </is>
      </c>
      <c r="AW548" s="29" t="inlineStr">
        <is>
          <t>Not assessed</t>
        </is>
      </c>
      <c r="AX548" s="29" t="inlineStr">
        <is>
          <t>Not assessed</t>
        </is>
      </c>
      <c r="AY548" s="29" t="inlineStr">
        <is>
          <t>Not assessed</t>
        </is>
      </c>
      <c r="AZ548" s="29" t="inlineStr">
        <is>
          <t>Not assessed</t>
        </is>
      </c>
      <c r="BA548" s="29" t="inlineStr">
        <is>
          <t>Not assessed</t>
        </is>
      </c>
      <c r="BB548" s="29" t="inlineStr">
        <is>
          <t>Not assessed</t>
        </is>
      </c>
      <c r="BC548" s="29" t="inlineStr">
        <is>
          <t>Not assessed</t>
        </is>
      </c>
      <c r="BD548" s="29" t="inlineStr">
        <is>
          <t>Not assessed</t>
        </is>
      </c>
      <c r="BE548" s="29" t="inlineStr">
        <is>
          <t>Development required</t>
        </is>
      </c>
      <c r="BF548" s="29" t="inlineStr">
        <is>
          <t>Physical implementation is not complete against the stated requirement.; No evidence found in source</t>
        </is>
      </c>
      <c r="BG548" s="29" t="inlineStr"/>
      <c r="BH548" s="29" t="inlineStr"/>
      <c r="BI548" s="29" t="inlineStr"/>
      <c r="BJ548" s="29" t="inlineStr"/>
      <c r="BK548" s="29" t="inlineStr">
        <is>
          <t>Evidence reconciled against the reviewed source revision. No production approval is inferred from implementation or file presence.</t>
        </is>
      </c>
      <c r="BL548" s="29" t="inlineStr">
        <is>
          <t>2026-08-02</t>
        </is>
      </c>
    </row>
    <row r="549" ht="42" customHeight="1">
      <c r="A549" s="29" t="inlineStr">
        <is>
          <t>BLYP-27-015</t>
        </is>
      </c>
      <c r="B549" s="29" t="inlineStr"/>
      <c r="C549" s="29" t="inlineStr">
        <is>
          <t>Unified Inbox and messaging</t>
        </is>
      </c>
      <c r="D549" s="29" t="n">
        <v>27</v>
      </c>
      <c r="E549" s="29" t="n">
        <v>15</v>
      </c>
      <c r="F549" s="29" t="inlineStr">
        <is>
          <t>Feature</t>
        </is>
      </c>
      <c r="G549" s="29" t="inlineStr">
        <is>
          <t>Reporting</t>
        </is>
      </c>
      <c r="H549" s="29" t="inlineStr">
        <is>
          <t>Reporting</t>
        </is>
      </c>
      <c r="I549" s="29" t="inlineStr">
        <is>
          <t>/home/ubuntu/blyp_product_requirements.md :: Section 27 — Unified Inbox and messaging</t>
        </is>
      </c>
      <c r="J549" s="29" t="inlineStr">
        <is>
          <t>/home/ubuntu/BLYP_COMPLETE_FEATURE_LIST.md:693</t>
        </is>
      </c>
      <c r="K549" s="29" t="inlineStr">
        <is>
          <t>Required</t>
        </is>
      </c>
      <c r="L549" s="29" t="inlineStr">
        <is>
          <t>Applicable BLYP member</t>
        </is>
      </c>
      <c r="M549" s="29" t="inlineStr">
        <is>
          <t>BLYP mobile application and supporting production services</t>
        </is>
      </c>
      <c r="N549" s="29" t="inlineStr">
        <is>
          <t>Reporting</t>
        </is>
      </c>
      <c r="O549" s="29" t="inlineStr">
        <is>
          <t>Not explicitly defined in the product source; requires accountable product approval before production sign-off.</t>
        </is>
      </c>
      <c r="P549" s="29" t="inlineStr">
        <is>
          <t>None</t>
        </is>
      </c>
      <c r="Q549" s="29" t="inlineStr">
        <is>
          <t>Partial</t>
        </is>
      </c>
      <c r="R549" s="29" t="inlineStr"/>
      <c r="S549" s="29" t="inlineStr">
        <is>
          <t>Not found</t>
        </is>
      </c>
      <c r="T549" s="29" t="inlineStr">
        <is>
          <t>None</t>
        </is>
      </c>
      <c r="U549" s="29" t="inlineStr">
        <is>
          <t>None</t>
        </is>
      </c>
      <c r="V549" s="29" t="inlineStr">
        <is>
          <t>None</t>
        </is>
      </c>
      <c r="W549" s="29" t="inlineStr">
        <is>
          <t>None</t>
        </is>
      </c>
      <c r="X549" s="29" t="inlineStr">
        <is>
          <t>None</t>
        </is>
      </c>
      <c r="Y549" s="29" t="inlineStr">
        <is>
          <t>None</t>
        </is>
      </c>
      <c r="Z549" s="29" t="inlineStr">
        <is>
          <t>None</t>
        </is>
      </c>
      <c r="AA549" s="29" t="inlineStr">
        <is>
          <t>None</t>
        </is>
      </c>
      <c r="AB549" s="29" t="inlineStr">
        <is>
          <t>None</t>
        </is>
      </c>
      <c r="AC549" s="29" t="inlineStr"/>
      <c r="AD549" s="29" t="inlineStr">
        <is>
          <t>None</t>
        </is>
      </c>
      <c r="AE549" s="29" t="inlineStr">
        <is>
          <t>Not wired</t>
        </is>
      </c>
      <c r="AF549" s="29" t="inlineStr">
        <is>
          <t>None</t>
        </is>
      </c>
      <c r="AG549" s="29" t="inlineStr">
        <is>
          <t>Not started</t>
        </is>
      </c>
      <c r="AH549" s="29" t="inlineStr">
        <is>
          <t>No</t>
        </is>
      </c>
      <c r="AI549" s="29" t="inlineStr">
        <is>
          <t>No evidence found in source</t>
        </is>
      </c>
      <c r="AJ549" s="29" t="inlineStr">
        <is>
          <t>Not verified</t>
        </is>
      </c>
      <c r="AK549" s="29" t="inlineStr">
        <is>
          <t>EV-27-0015</t>
        </is>
      </c>
      <c r="AL549" s="29" t="inlineStr"/>
      <c r="AM549" s="29" t="inlineStr"/>
      <c r="AN549" s="29" t="inlineStr"/>
      <c r="AO549" s="29" t="inlineStr">
        <is>
          <t>8bc0dcb2a1da1b21368c5536aaeef829d587f316</t>
        </is>
      </c>
      <c r="AP549" s="29" t="inlineStr">
        <is>
          <t>High</t>
        </is>
      </c>
      <c r="AQ549" s="29" t="inlineStr">
        <is>
          <t>Not assessed</t>
        </is>
      </c>
      <c r="AR549" s="29" t="inlineStr">
        <is>
          <t>Not assessed</t>
        </is>
      </c>
      <c r="AS549" s="29" t="inlineStr">
        <is>
          <t>Fail</t>
        </is>
      </c>
      <c r="AT549" s="29" t="inlineStr">
        <is>
          <t>Not assessed</t>
        </is>
      </c>
      <c r="AU549" s="29" t="inlineStr">
        <is>
          <t>Not assessed</t>
        </is>
      </c>
      <c r="AV549" s="29" t="inlineStr">
        <is>
          <t>Not assessed</t>
        </is>
      </c>
      <c r="AW549" s="29" t="inlineStr">
        <is>
          <t>Not assessed</t>
        </is>
      </c>
      <c r="AX549" s="29" t="inlineStr">
        <is>
          <t>Not assessed</t>
        </is>
      </c>
      <c r="AY549" s="29" t="inlineStr">
        <is>
          <t>Not assessed</t>
        </is>
      </c>
      <c r="AZ549" s="29" t="inlineStr">
        <is>
          <t>Not assessed</t>
        </is>
      </c>
      <c r="BA549" s="29" t="inlineStr">
        <is>
          <t>Not assessed</t>
        </is>
      </c>
      <c r="BB549" s="29" t="inlineStr">
        <is>
          <t>Not assessed</t>
        </is>
      </c>
      <c r="BC549" s="29" t="inlineStr">
        <is>
          <t>Not assessed</t>
        </is>
      </c>
      <c r="BD549" s="29" t="inlineStr">
        <is>
          <t>Not assessed</t>
        </is>
      </c>
      <c r="BE549" s="29" t="inlineStr">
        <is>
          <t>Development required</t>
        </is>
      </c>
      <c r="BF549" s="29" t="inlineStr">
        <is>
          <t>Physical implementation is not complete against the stated requirement.; No evidence found in source</t>
        </is>
      </c>
      <c r="BG549" s="29" t="inlineStr"/>
      <c r="BH549" s="29" t="inlineStr"/>
      <c r="BI549" s="29" t="inlineStr"/>
      <c r="BJ549" s="29" t="inlineStr"/>
      <c r="BK549" s="29" t="inlineStr">
        <is>
          <t>Evidence reconciled against the reviewed source revision. No production approval is inferred from implementation or file presence.</t>
        </is>
      </c>
      <c r="BL549" s="29" t="inlineStr">
        <is>
          <t>2026-08-02</t>
        </is>
      </c>
    </row>
    <row r="550" ht="42" customHeight="1">
      <c r="A550" s="29" t="inlineStr">
        <is>
          <t>BLYP-27-016</t>
        </is>
      </c>
      <c r="B550" s="29" t="inlineStr"/>
      <c r="C550" s="29" t="inlineStr">
        <is>
          <t>Unified Inbox and messaging</t>
        </is>
      </c>
      <c r="D550" s="29" t="n">
        <v>27</v>
      </c>
      <c r="E550" s="29" t="n">
        <v>16</v>
      </c>
      <c r="F550" s="29" t="inlineStr">
        <is>
          <t>Feature</t>
        </is>
      </c>
      <c r="G550" s="29" t="inlineStr">
        <is>
          <t>Sent status</t>
        </is>
      </c>
      <c r="H550" s="29" t="inlineStr">
        <is>
          <t>Sent status</t>
        </is>
      </c>
      <c r="I550" s="29" t="inlineStr">
        <is>
          <t>/home/ubuntu/blyp_product_requirements.md :: Section 27 — Unified Inbox and messaging</t>
        </is>
      </c>
      <c r="J550" s="29" t="inlineStr">
        <is>
          <t>/home/ubuntu/BLYP_COMPLETE_FEATURE_LIST.md:694</t>
        </is>
      </c>
      <c r="K550" s="29" t="inlineStr">
        <is>
          <t>Required</t>
        </is>
      </c>
      <c r="L550" s="29" t="inlineStr">
        <is>
          <t>Applicable BLYP member</t>
        </is>
      </c>
      <c r="M550" s="29" t="inlineStr">
        <is>
          <t>BLYP mobile application and supporting production services</t>
        </is>
      </c>
      <c r="N550" s="29" t="inlineStr">
        <is>
          <t>Sent status</t>
        </is>
      </c>
      <c r="O550" s="29" t="inlineStr">
        <is>
          <t>Not explicitly defined in the product source; requires accountable product approval before production sign-off.</t>
        </is>
      </c>
      <c r="P550" s="29" t="inlineStr">
        <is>
          <t>None; Firestore (status)</t>
        </is>
      </c>
      <c r="Q550" s="29" t="inlineStr">
        <is>
          <t>Yes</t>
        </is>
      </c>
      <c r="R550" s="29" t="inlineStr"/>
      <c r="S550" s="29" t="inlineStr">
        <is>
          <t>Partial</t>
        </is>
      </c>
      <c r="T550" s="29" t="inlineStr">
        <is>
          <t>ChatConversationScreen.js</t>
        </is>
      </c>
      <c r="U550" s="29" t="inlineStr">
        <is>
          <t>ChatConversationScreen</t>
        </is>
      </c>
      <c r="V550" s="29" t="inlineStr">
        <is>
          <t>None</t>
        </is>
      </c>
      <c r="W550" s="29" t="inlineStr">
        <is>
          <t>None</t>
        </is>
      </c>
      <c r="X550" s="29" t="inlineStr">
        <is>
          <t>Firestore (status)</t>
        </is>
      </c>
      <c r="Y550" s="29" t="inlineStr">
        <is>
          <t>None</t>
        </is>
      </c>
      <c r="Z550" s="29" t="inlineStr">
        <is>
          <t>None</t>
        </is>
      </c>
      <c r="AA550" s="29" t="inlineStr">
        <is>
          <t>None</t>
        </is>
      </c>
      <c r="AB550" s="29" t="inlineStr">
        <is>
          <t>None</t>
        </is>
      </c>
      <c r="AC550" s="29" t="inlineStr"/>
      <c r="AD550" s="29" t="inlineStr">
        <is>
          <t>None</t>
        </is>
      </c>
      <c r="AE550" s="29" t="inlineStr">
        <is>
          <t>Internally reachable</t>
        </is>
      </c>
      <c r="AF550" s="29" t="inlineStr">
        <is>
          <t>ChatConversationScreen.js; None</t>
        </is>
      </c>
      <c r="AG550" s="29" t="inlineStr">
        <is>
          <t>Incomplete</t>
        </is>
      </c>
      <c r="AH550" s="29" t="inlineStr">
        <is>
          <t>No</t>
        </is>
      </c>
      <c r="AI550" s="29" t="inlineStr">
        <is>
          <t>Status tracking found</t>
        </is>
      </c>
      <c r="AJ550" s="29" t="inlineStr">
        <is>
          <t>Not verified</t>
        </is>
      </c>
      <c r="AK550" s="29" t="inlineStr">
        <is>
          <t>EV-27-0016</t>
        </is>
      </c>
      <c r="AL550" s="29" t="inlineStr"/>
      <c r="AM550" s="29" t="inlineStr"/>
      <c r="AN550" s="29" t="inlineStr"/>
      <c r="AO550" s="29" t="inlineStr">
        <is>
          <t>8bc0dcb2a1da1b21368c5536aaeef829d587f316</t>
        </is>
      </c>
      <c r="AP550" s="29" t="inlineStr">
        <is>
          <t>Medium</t>
        </is>
      </c>
      <c r="AQ550" s="29" t="inlineStr">
        <is>
          <t>Not assessed</t>
        </is>
      </c>
      <c r="AR550" s="29" t="inlineStr">
        <is>
          <t>Not assessed</t>
        </is>
      </c>
      <c r="AS550" s="29" t="inlineStr">
        <is>
          <t>Fail</t>
        </is>
      </c>
      <c r="AT550" s="29" t="inlineStr">
        <is>
          <t>Not assessed</t>
        </is>
      </c>
      <c r="AU550" s="29" t="inlineStr">
        <is>
          <t>Not assessed</t>
        </is>
      </c>
      <c r="AV550" s="29" t="inlineStr">
        <is>
          <t>Not assessed</t>
        </is>
      </c>
      <c r="AW550" s="29" t="inlineStr">
        <is>
          <t>Not assessed</t>
        </is>
      </c>
      <c r="AX550" s="29" t="inlineStr">
        <is>
          <t>Not assessed</t>
        </is>
      </c>
      <c r="AY550" s="29" t="inlineStr">
        <is>
          <t>Not assessed</t>
        </is>
      </c>
      <c r="AZ550" s="29" t="inlineStr">
        <is>
          <t>Not assessed</t>
        </is>
      </c>
      <c r="BA550" s="29" t="inlineStr">
        <is>
          <t>Not assessed</t>
        </is>
      </c>
      <c r="BB550" s="29" t="inlineStr">
        <is>
          <t>Not assessed</t>
        </is>
      </c>
      <c r="BC550" s="29" t="inlineStr">
        <is>
          <t>Not assessed</t>
        </is>
      </c>
      <c r="BD550" s="29" t="inlineStr">
        <is>
          <t>Not assessed</t>
        </is>
      </c>
      <c r="BE550" s="29" t="inlineStr">
        <is>
          <t>Development required</t>
        </is>
      </c>
      <c r="BF550" s="29" t="inlineStr">
        <is>
          <t>Physical implementation is not complete against the stated requirement.; Status tracking found</t>
        </is>
      </c>
      <c r="BG550" s="29" t="inlineStr"/>
      <c r="BH550" s="29" t="inlineStr"/>
      <c r="BI550" s="29" t="inlineStr"/>
      <c r="BJ550" s="29" t="inlineStr"/>
      <c r="BK550" s="29" t="inlineStr">
        <is>
          <t>Evidence reconciled against the reviewed source revision. No production approval is inferred from implementation or file presence.</t>
        </is>
      </c>
      <c r="BL550" s="29" t="inlineStr">
        <is>
          <t>2026-08-02</t>
        </is>
      </c>
    </row>
    <row r="551" ht="42" customHeight="1">
      <c r="A551" s="29" t="inlineStr">
        <is>
          <t>BLYP-27-017</t>
        </is>
      </c>
      <c r="B551" s="29" t="inlineStr"/>
      <c r="C551" s="29" t="inlineStr">
        <is>
          <t>Unified Inbox and messaging</t>
        </is>
      </c>
      <c r="D551" s="29" t="n">
        <v>27</v>
      </c>
      <c r="E551" s="29" t="n">
        <v>17</v>
      </c>
      <c r="F551" s="29" t="inlineStr">
        <is>
          <t>Feature</t>
        </is>
      </c>
      <c r="G551" s="29" t="inlineStr">
        <is>
          <t>Delivered status</t>
        </is>
      </c>
      <c r="H551" s="29" t="inlineStr">
        <is>
          <t>Delivered status</t>
        </is>
      </c>
      <c r="I551" s="29" t="inlineStr">
        <is>
          <t>/home/ubuntu/blyp_product_requirements.md :: Section 27 — Unified Inbox and messaging</t>
        </is>
      </c>
      <c r="J551" s="29" t="inlineStr">
        <is>
          <t>/home/ubuntu/BLYP_COMPLETE_FEATURE_LIST.md:695</t>
        </is>
      </c>
      <c r="K551" s="29" t="inlineStr">
        <is>
          <t>Required</t>
        </is>
      </c>
      <c r="L551" s="29" t="inlineStr">
        <is>
          <t>Applicable BLYP member</t>
        </is>
      </c>
      <c r="M551" s="29" t="inlineStr">
        <is>
          <t>BLYP mobile application and supporting production services</t>
        </is>
      </c>
      <c r="N551" s="29" t="inlineStr">
        <is>
          <t>Delivered status</t>
        </is>
      </c>
      <c r="O551" s="29" t="inlineStr">
        <is>
          <t>Not explicitly defined in the product source; requires accountable product approval before production sign-off.</t>
        </is>
      </c>
      <c r="P551" s="29" t="inlineStr">
        <is>
          <t>None; Firestore (status)</t>
        </is>
      </c>
      <c r="Q551" s="29" t="inlineStr">
        <is>
          <t>Yes</t>
        </is>
      </c>
      <c r="R551" s="29" t="inlineStr"/>
      <c r="S551" s="29" t="inlineStr">
        <is>
          <t>Partial</t>
        </is>
      </c>
      <c r="T551" s="29" t="inlineStr">
        <is>
          <t>ChatConversationScreen.js</t>
        </is>
      </c>
      <c r="U551" s="29" t="inlineStr">
        <is>
          <t>ChatConversationScreen</t>
        </is>
      </c>
      <c r="V551" s="29" t="inlineStr">
        <is>
          <t>None</t>
        </is>
      </c>
      <c r="W551" s="29" t="inlineStr">
        <is>
          <t>None</t>
        </is>
      </c>
      <c r="X551" s="29" t="inlineStr">
        <is>
          <t>Firestore (status)</t>
        </is>
      </c>
      <c r="Y551" s="29" t="inlineStr">
        <is>
          <t>None</t>
        </is>
      </c>
      <c r="Z551" s="29" t="inlineStr">
        <is>
          <t>None</t>
        </is>
      </c>
      <c r="AA551" s="29" t="inlineStr">
        <is>
          <t>None</t>
        </is>
      </c>
      <c r="AB551" s="29" t="inlineStr">
        <is>
          <t>None</t>
        </is>
      </c>
      <c r="AC551" s="29" t="inlineStr"/>
      <c r="AD551" s="29" t="inlineStr">
        <is>
          <t>None</t>
        </is>
      </c>
      <c r="AE551" s="29" t="inlineStr">
        <is>
          <t>Internally reachable</t>
        </is>
      </c>
      <c r="AF551" s="29" t="inlineStr">
        <is>
          <t>ChatConversationScreen.js; None</t>
        </is>
      </c>
      <c r="AG551" s="29" t="inlineStr">
        <is>
          <t>Incomplete</t>
        </is>
      </c>
      <c r="AH551" s="29" t="inlineStr">
        <is>
          <t>No</t>
        </is>
      </c>
      <c r="AI551" s="29" t="inlineStr">
        <is>
          <t>Status tracking found</t>
        </is>
      </c>
      <c r="AJ551" s="29" t="inlineStr">
        <is>
          <t>Not verified</t>
        </is>
      </c>
      <c r="AK551" s="29" t="inlineStr">
        <is>
          <t>EV-27-0017</t>
        </is>
      </c>
      <c r="AL551" s="29" t="inlineStr"/>
      <c r="AM551" s="29" t="inlineStr"/>
      <c r="AN551" s="29" t="inlineStr"/>
      <c r="AO551" s="29" t="inlineStr">
        <is>
          <t>8bc0dcb2a1da1b21368c5536aaeef829d587f316</t>
        </is>
      </c>
      <c r="AP551" s="29" t="inlineStr">
        <is>
          <t>Medium</t>
        </is>
      </c>
      <c r="AQ551" s="29" t="inlineStr">
        <is>
          <t>Not assessed</t>
        </is>
      </c>
      <c r="AR551" s="29" t="inlineStr">
        <is>
          <t>Not assessed</t>
        </is>
      </c>
      <c r="AS551" s="29" t="inlineStr">
        <is>
          <t>Fail</t>
        </is>
      </c>
      <c r="AT551" s="29" t="inlineStr">
        <is>
          <t>Not assessed</t>
        </is>
      </c>
      <c r="AU551" s="29" t="inlineStr">
        <is>
          <t>Not assessed</t>
        </is>
      </c>
      <c r="AV551" s="29" t="inlineStr">
        <is>
          <t>Not assessed</t>
        </is>
      </c>
      <c r="AW551" s="29" t="inlineStr">
        <is>
          <t>Not assessed</t>
        </is>
      </c>
      <c r="AX551" s="29" t="inlineStr">
        <is>
          <t>Not assessed</t>
        </is>
      </c>
      <c r="AY551" s="29" t="inlineStr">
        <is>
          <t>Not assessed</t>
        </is>
      </c>
      <c r="AZ551" s="29" t="inlineStr">
        <is>
          <t>Not assessed</t>
        </is>
      </c>
      <c r="BA551" s="29" t="inlineStr">
        <is>
          <t>Not assessed</t>
        </is>
      </c>
      <c r="BB551" s="29" t="inlineStr">
        <is>
          <t>Not assessed</t>
        </is>
      </c>
      <c r="BC551" s="29" t="inlineStr">
        <is>
          <t>Not assessed</t>
        </is>
      </c>
      <c r="BD551" s="29" t="inlineStr">
        <is>
          <t>Not assessed</t>
        </is>
      </c>
      <c r="BE551" s="29" t="inlineStr">
        <is>
          <t>Development required</t>
        </is>
      </c>
      <c r="BF551" s="29" t="inlineStr">
        <is>
          <t>Physical implementation is not complete against the stated requirement.; Status tracking found</t>
        </is>
      </c>
      <c r="BG551" s="29" t="inlineStr"/>
      <c r="BH551" s="29" t="inlineStr"/>
      <c r="BI551" s="29" t="inlineStr"/>
      <c r="BJ551" s="29" t="inlineStr"/>
      <c r="BK551" s="29" t="inlineStr">
        <is>
          <t>Evidence reconciled against the reviewed source revision. No production approval is inferred from implementation or file presence.</t>
        </is>
      </c>
      <c r="BL551" s="29" t="inlineStr">
        <is>
          <t>2026-08-02</t>
        </is>
      </c>
    </row>
    <row r="552" ht="42" customHeight="1">
      <c r="A552" s="29" t="inlineStr">
        <is>
          <t>BLYP-27-018</t>
        </is>
      </c>
      <c r="B552" s="29" t="inlineStr"/>
      <c r="C552" s="29" t="inlineStr">
        <is>
          <t>Unified Inbox and messaging</t>
        </is>
      </c>
      <c r="D552" s="29" t="n">
        <v>27</v>
      </c>
      <c r="E552" s="29" t="n">
        <v>18</v>
      </c>
      <c r="F552" s="29" t="inlineStr">
        <is>
          <t>Feature</t>
        </is>
      </c>
      <c r="G552" s="29" t="inlineStr">
        <is>
          <t>Read status</t>
        </is>
      </c>
      <c r="H552" s="29" t="inlineStr">
        <is>
          <t>Read status</t>
        </is>
      </c>
      <c r="I552" s="29" t="inlineStr">
        <is>
          <t>/home/ubuntu/blyp_product_requirements.md :: Section 27 — Unified Inbox and messaging</t>
        </is>
      </c>
      <c r="J552" s="29" t="inlineStr">
        <is>
          <t>/home/ubuntu/BLYP_COMPLETE_FEATURE_LIST.md:696</t>
        </is>
      </c>
      <c r="K552" s="29" t="inlineStr">
        <is>
          <t>Required</t>
        </is>
      </c>
      <c r="L552" s="29" t="inlineStr">
        <is>
          <t>Applicable BLYP member</t>
        </is>
      </c>
      <c r="M552" s="29" t="inlineStr">
        <is>
          <t>BLYP mobile application and supporting production services</t>
        </is>
      </c>
      <c r="N552" s="29" t="inlineStr">
        <is>
          <t>Read status</t>
        </is>
      </c>
      <c r="O552" s="29" t="inlineStr">
        <is>
          <t>Not explicitly defined in the product source; requires accountable product approval before production sign-off.</t>
        </is>
      </c>
      <c r="P552" s="29" t="inlineStr">
        <is>
          <t>None; Firestore (status)</t>
        </is>
      </c>
      <c r="Q552" s="29" t="inlineStr">
        <is>
          <t>Yes</t>
        </is>
      </c>
      <c r="R552" s="29" t="inlineStr"/>
      <c r="S552" s="29" t="inlineStr">
        <is>
          <t>Partial</t>
        </is>
      </c>
      <c r="T552" s="29" t="inlineStr">
        <is>
          <t>ChatConversationScreen.js</t>
        </is>
      </c>
      <c r="U552" s="29" t="inlineStr">
        <is>
          <t>ChatConversationScreen</t>
        </is>
      </c>
      <c r="V552" s="29" t="inlineStr">
        <is>
          <t>None</t>
        </is>
      </c>
      <c r="W552" s="29" t="inlineStr">
        <is>
          <t>None</t>
        </is>
      </c>
      <c r="X552" s="29" t="inlineStr">
        <is>
          <t>Firestore (status)</t>
        </is>
      </c>
      <c r="Y552" s="29" t="inlineStr">
        <is>
          <t>None</t>
        </is>
      </c>
      <c r="Z552" s="29" t="inlineStr">
        <is>
          <t>None</t>
        </is>
      </c>
      <c r="AA552" s="29" t="inlineStr">
        <is>
          <t>None</t>
        </is>
      </c>
      <c r="AB552" s="29" t="inlineStr">
        <is>
          <t>None</t>
        </is>
      </c>
      <c r="AC552" s="29" t="inlineStr"/>
      <c r="AD552" s="29" t="inlineStr">
        <is>
          <t>None</t>
        </is>
      </c>
      <c r="AE552" s="29" t="inlineStr">
        <is>
          <t>Internally reachable</t>
        </is>
      </c>
      <c r="AF552" s="29" t="inlineStr">
        <is>
          <t>ChatConversationScreen.js; None</t>
        </is>
      </c>
      <c r="AG552" s="29" t="inlineStr">
        <is>
          <t>Incomplete</t>
        </is>
      </c>
      <c r="AH552" s="29" t="inlineStr">
        <is>
          <t>No</t>
        </is>
      </c>
      <c r="AI552" s="29" t="inlineStr">
        <is>
          <t>Status tracking found</t>
        </is>
      </c>
      <c r="AJ552" s="29" t="inlineStr">
        <is>
          <t>Not verified</t>
        </is>
      </c>
      <c r="AK552" s="29" t="inlineStr">
        <is>
          <t>EV-27-0018</t>
        </is>
      </c>
      <c r="AL552" s="29" t="inlineStr"/>
      <c r="AM552" s="29" t="inlineStr"/>
      <c r="AN552" s="29" t="inlineStr"/>
      <c r="AO552" s="29" t="inlineStr">
        <is>
          <t>8bc0dcb2a1da1b21368c5536aaeef829d587f316</t>
        </is>
      </c>
      <c r="AP552" s="29" t="inlineStr">
        <is>
          <t>Medium</t>
        </is>
      </c>
      <c r="AQ552" s="29" t="inlineStr">
        <is>
          <t>Not assessed</t>
        </is>
      </c>
      <c r="AR552" s="29" t="inlineStr">
        <is>
          <t>Not assessed</t>
        </is>
      </c>
      <c r="AS552" s="29" t="inlineStr">
        <is>
          <t>Fail</t>
        </is>
      </c>
      <c r="AT552" s="29" t="inlineStr">
        <is>
          <t>Not assessed</t>
        </is>
      </c>
      <c r="AU552" s="29" t="inlineStr">
        <is>
          <t>Not assessed</t>
        </is>
      </c>
      <c r="AV552" s="29" t="inlineStr">
        <is>
          <t>Not assessed</t>
        </is>
      </c>
      <c r="AW552" s="29" t="inlineStr">
        <is>
          <t>Not assessed</t>
        </is>
      </c>
      <c r="AX552" s="29" t="inlineStr">
        <is>
          <t>Not assessed</t>
        </is>
      </c>
      <c r="AY552" s="29" t="inlineStr">
        <is>
          <t>Not assessed</t>
        </is>
      </c>
      <c r="AZ552" s="29" t="inlineStr">
        <is>
          <t>Not assessed</t>
        </is>
      </c>
      <c r="BA552" s="29" t="inlineStr">
        <is>
          <t>Not assessed</t>
        </is>
      </c>
      <c r="BB552" s="29" t="inlineStr">
        <is>
          <t>Not assessed</t>
        </is>
      </c>
      <c r="BC552" s="29" t="inlineStr">
        <is>
          <t>Not assessed</t>
        </is>
      </c>
      <c r="BD552" s="29" t="inlineStr">
        <is>
          <t>Not assessed</t>
        </is>
      </c>
      <c r="BE552" s="29" t="inlineStr">
        <is>
          <t>Development required</t>
        </is>
      </c>
      <c r="BF552" s="29" t="inlineStr">
        <is>
          <t>Physical implementation is not complete against the stated requirement.; Status tracking found</t>
        </is>
      </c>
      <c r="BG552" s="29" t="inlineStr"/>
      <c r="BH552" s="29" t="inlineStr"/>
      <c r="BI552" s="29" t="inlineStr"/>
      <c r="BJ552" s="29" t="inlineStr"/>
      <c r="BK552" s="29" t="inlineStr">
        <is>
          <t>Evidence reconciled against the reviewed source revision. No production approval is inferred from implementation or file presence.</t>
        </is>
      </c>
      <c r="BL552" s="29" t="inlineStr">
        <is>
          <t>2026-08-02</t>
        </is>
      </c>
    </row>
    <row r="553" ht="42" customHeight="1">
      <c r="A553" s="29" t="inlineStr">
        <is>
          <t>BLYP-27-019</t>
        </is>
      </c>
      <c r="B553" s="29" t="inlineStr"/>
      <c r="C553" s="29" t="inlineStr">
        <is>
          <t>Unified Inbox and messaging</t>
        </is>
      </c>
      <c r="D553" s="29" t="n">
        <v>27</v>
      </c>
      <c r="E553" s="29" t="n">
        <v>19</v>
      </c>
      <c r="F553" s="29" t="inlineStr">
        <is>
          <t>Feature</t>
        </is>
      </c>
      <c r="G553" s="29" t="inlineStr">
        <is>
          <t>Real-time message threads</t>
        </is>
      </c>
      <c r="H553" s="29" t="inlineStr">
        <is>
          <t>Real-time message threads</t>
        </is>
      </c>
      <c r="I553" s="29" t="inlineStr">
        <is>
          <t>/home/ubuntu/blyp_product_requirements.md :: Section 27 — Unified Inbox and messaging</t>
        </is>
      </c>
      <c r="J553" s="29" t="inlineStr">
        <is>
          <t>/home/ubuntu/BLYP_COMPLETE_FEATURE_LIST.md:697</t>
        </is>
      </c>
      <c r="K553" s="29" t="inlineStr">
        <is>
          <t>Required</t>
        </is>
      </c>
      <c r="L553" s="29" t="inlineStr">
        <is>
          <t>Applicable BLYP member</t>
        </is>
      </c>
      <c r="M553" s="29" t="inlineStr">
        <is>
          <t>BLYP mobile application and supporting production services</t>
        </is>
      </c>
      <c r="N553" s="29" t="inlineStr">
        <is>
          <t>Real-time message threads</t>
        </is>
      </c>
      <c r="O553" s="29" t="inlineStr">
        <is>
          <t>Not explicitly defined in the product source; requires accountable product approval before production sign-off.</t>
        </is>
      </c>
      <c r="P553" s="29" t="inlineStr">
        <is>
          <t>None; Firestore (onSnapshot)</t>
        </is>
      </c>
      <c r="Q553" s="29" t="inlineStr">
        <is>
          <t>Yes</t>
        </is>
      </c>
      <c r="R553" s="29" t="inlineStr"/>
      <c r="S553" s="29" t="inlineStr">
        <is>
          <t>Partial</t>
        </is>
      </c>
      <c r="T553" s="29" t="inlineStr">
        <is>
          <t>ChatConversationScreen.js</t>
        </is>
      </c>
      <c r="U553" s="29" t="inlineStr">
        <is>
          <t>ChatConversationScreen</t>
        </is>
      </c>
      <c r="V553" s="29" t="inlineStr">
        <is>
          <t>None</t>
        </is>
      </c>
      <c r="W553" s="29" t="inlineStr">
        <is>
          <t>None</t>
        </is>
      </c>
      <c r="X553" s="29" t="inlineStr">
        <is>
          <t>Firestore (onSnapshot)</t>
        </is>
      </c>
      <c r="Y553" s="29" t="inlineStr">
        <is>
          <t>None</t>
        </is>
      </c>
      <c r="Z553" s="29" t="inlineStr">
        <is>
          <t>None</t>
        </is>
      </c>
      <c r="AA553" s="29" t="inlineStr">
        <is>
          <t>None</t>
        </is>
      </c>
      <c r="AB553" s="29" t="inlineStr">
        <is>
          <t>None</t>
        </is>
      </c>
      <c r="AC553" s="29" t="inlineStr"/>
      <c r="AD553" s="29" t="inlineStr">
        <is>
          <t>None</t>
        </is>
      </c>
      <c r="AE553" s="29" t="inlineStr">
        <is>
          <t>Internally reachable</t>
        </is>
      </c>
      <c r="AF553" s="29" t="inlineStr">
        <is>
          <t>ChatConversationScreen.js; None</t>
        </is>
      </c>
      <c r="AG553" s="29" t="inlineStr">
        <is>
          <t>Incomplete</t>
        </is>
      </c>
      <c r="AH553" s="29" t="inlineStr">
        <is>
          <t>No</t>
        </is>
      </c>
      <c r="AI553" s="29" t="inlineStr">
        <is>
          <t>Real-time updates found</t>
        </is>
      </c>
      <c r="AJ553" s="29" t="inlineStr">
        <is>
          <t>Not verified</t>
        </is>
      </c>
      <c r="AK553" s="29" t="inlineStr">
        <is>
          <t>EV-27-0019</t>
        </is>
      </c>
      <c r="AL553" s="29" t="inlineStr"/>
      <c r="AM553" s="29" t="inlineStr"/>
      <c r="AN553" s="29" t="inlineStr"/>
      <c r="AO553" s="29" t="inlineStr">
        <is>
          <t>8bc0dcb2a1da1b21368c5536aaeef829d587f316</t>
        </is>
      </c>
      <c r="AP553" s="29" t="inlineStr">
        <is>
          <t>Medium</t>
        </is>
      </c>
      <c r="AQ553" s="29" t="inlineStr">
        <is>
          <t>Not assessed</t>
        </is>
      </c>
      <c r="AR553" s="29" t="inlineStr">
        <is>
          <t>Not assessed</t>
        </is>
      </c>
      <c r="AS553" s="29" t="inlineStr">
        <is>
          <t>Fail</t>
        </is>
      </c>
      <c r="AT553" s="29" t="inlineStr">
        <is>
          <t>Not assessed</t>
        </is>
      </c>
      <c r="AU553" s="29" t="inlineStr">
        <is>
          <t>Not assessed</t>
        </is>
      </c>
      <c r="AV553" s="29" t="inlineStr">
        <is>
          <t>Not assessed</t>
        </is>
      </c>
      <c r="AW553" s="29" t="inlineStr">
        <is>
          <t>Not assessed</t>
        </is>
      </c>
      <c r="AX553" s="29" t="inlineStr">
        <is>
          <t>Not assessed</t>
        </is>
      </c>
      <c r="AY553" s="29" t="inlineStr">
        <is>
          <t>Not assessed</t>
        </is>
      </c>
      <c r="AZ553" s="29" t="inlineStr">
        <is>
          <t>Not assessed</t>
        </is>
      </c>
      <c r="BA553" s="29" t="inlineStr">
        <is>
          <t>Not assessed</t>
        </is>
      </c>
      <c r="BB553" s="29" t="inlineStr">
        <is>
          <t>Not assessed</t>
        </is>
      </c>
      <c r="BC553" s="29" t="inlineStr">
        <is>
          <t>Not assessed</t>
        </is>
      </c>
      <c r="BD553" s="29" t="inlineStr">
        <is>
          <t>Not assessed</t>
        </is>
      </c>
      <c r="BE553" s="29" t="inlineStr">
        <is>
          <t>Development required</t>
        </is>
      </c>
      <c r="BF553" s="29" t="inlineStr">
        <is>
          <t>Physical implementation is not complete against the stated requirement.; Real-time updates found</t>
        </is>
      </c>
      <c r="BG553" s="29" t="inlineStr"/>
      <c r="BH553" s="29" t="inlineStr"/>
      <c r="BI553" s="29" t="inlineStr"/>
      <c r="BJ553" s="29" t="inlineStr"/>
      <c r="BK553" s="29" t="inlineStr">
        <is>
          <t>Evidence reconciled against the reviewed source revision. No production approval is inferred from implementation or file presence.</t>
        </is>
      </c>
      <c r="BL553" s="29" t="inlineStr">
        <is>
          <t>2026-08-02</t>
        </is>
      </c>
    </row>
    <row r="554" ht="42" customHeight="1">
      <c r="A554" s="29" t="inlineStr">
        <is>
          <t>BLYP-27-020</t>
        </is>
      </c>
      <c r="B554" s="29" t="inlineStr"/>
      <c r="C554" s="29" t="inlineStr">
        <is>
          <t>Unified Inbox and messaging</t>
        </is>
      </c>
      <c r="D554" s="29" t="n">
        <v>27</v>
      </c>
      <c r="E554" s="29" t="n">
        <v>20</v>
      </c>
      <c r="F554" s="29" t="inlineStr">
        <is>
          <t>Feature</t>
        </is>
      </c>
      <c r="G554" s="29" t="inlineStr">
        <is>
          <t>Typing indicator hooks</t>
        </is>
      </c>
      <c r="H554" s="29" t="inlineStr">
        <is>
          <t>Typing indicator hooks</t>
        </is>
      </c>
      <c r="I554" s="29" t="inlineStr">
        <is>
          <t>/home/ubuntu/blyp_product_requirements.md :: Section 27 — Unified Inbox and messaging</t>
        </is>
      </c>
      <c r="J554" s="29" t="inlineStr">
        <is>
          <t>/home/ubuntu/BLYP_COMPLETE_FEATURE_LIST.md:698</t>
        </is>
      </c>
      <c r="K554" s="29" t="inlineStr">
        <is>
          <t>Required</t>
        </is>
      </c>
      <c r="L554" s="29" t="inlineStr">
        <is>
          <t>Applicable BLYP member</t>
        </is>
      </c>
      <c r="M554" s="29" t="inlineStr">
        <is>
          <t>BLYP mobile application and supporting production services</t>
        </is>
      </c>
      <c r="N554" s="29" t="inlineStr">
        <is>
          <t>Typing indicator hooks</t>
        </is>
      </c>
      <c r="O554" s="29" t="inlineStr">
        <is>
          <t>Not explicitly defined in the product source; requires accountable product approval before production sign-off.</t>
        </is>
      </c>
      <c r="P554" s="29" t="inlineStr">
        <is>
          <t>None</t>
        </is>
      </c>
      <c r="Q554" s="29" t="inlineStr">
        <is>
          <t>Scaffold only</t>
        </is>
      </c>
      <c r="R554" s="29" t="inlineStr"/>
      <c r="S554" s="29" t="inlineStr">
        <is>
          <t>Not found</t>
        </is>
      </c>
      <c r="T554" s="29" t="inlineStr">
        <is>
          <t>None</t>
        </is>
      </c>
      <c r="U554" s="29" t="inlineStr">
        <is>
          <t>None</t>
        </is>
      </c>
      <c r="V554" s="29" t="inlineStr">
        <is>
          <t>None</t>
        </is>
      </c>
      <c r="W554" s="29" t="inlineStr">
        <is>
          <t>None</t>
        </is>
      </c>
      <c r="X554" s="29" t="inlineStr">
        <is>
          <t>None</t>
        </is>
      </c>
      <c r="Y554" s="29" t="inlineStr">
        <is>
          <t>None</t>
        </is>
      </c>
      <c r="Z554" s="29" t="inlineStr">
        <is>
          <t>None</t>
        </is>
      </c>
      <c r="AA554" s="29" t="inlineStr">
        <is>
          <t>None</t>
        </is>
      </c>
      <c r="AB554" s="29" t="inlineStr">
        <is>
          <t>None</t>
        </is>
      </c>
      <c r="AC554" s="29" t="inlineStr"/>
      <c r="AD554" s="29" t="inlineStr">
        <is>
          <t>None</t>
        </is>
      </c>
      <c r="AE554" s="29" t="inlineStr">
        <is>
          <t>Not wired</t>
        </is>
      </c>
      <c r="AF554" s="29" t="inlineStr">
        <is>
          <t>None</t>
        </is>
      </c>
      <c r="AG554" s="29" t="inlineStr">
        <is>
          <t>Not started</t>
        </is>
      </c>
      <c r="AH554" s="29" t="inlineStr">
        <is>
          <t>No</t>
        </is>
      </c>
      <c r="AI554" s="29" t="inlineStr">
        <is>
          <t>No evidence found in source</t>
        </is>
      </c>
      <c r="AJ554" s="29" t="inlineStr">
        <is>
          <t>Not verified</t>
        </is>
      </c>
      <c r="AK554" s="29" t="inlineStr">
        <is>
          <t>EV-27-0020</t>
        </is>
      </c>
      <c r="AL554" s="29" t="inlineStr"/>
      <c r="AM554" s="29" t="inlineStr"/>
      <c r="AN554" s="29" t="inlineStr"/>
      <c r="AO554" s="29" t="inlineStr">
        <is>
          <t>8bc0dcb2a1da1b21368c5536aaeef829d587f316</t>
        </is>
      </c>
      <c r="AP554" s="29" t="inlineStr">
        <is>
          <t>High</t>
        </is>
      </c>
      <c r="AQ554" s="29" t="inlineStr">
        <is>
          <t>Not assessed</t>
        </is>
      </c>
      <c r="AR554" s="29" t="inlineStr">
        <is>
          <t>Not assessed</t>
        </is>
      </c>
      <c r="AS554" s="29" t="inlineStr">
        <is>
          <t>Fail</t>
        </is>
      </c>
      <c r="AT554" s="29" t="inlineStr">
        <is>
          <t>Not assessed</t>
        </is>
      </c>
      <c r="AU554" s="29" t="inlineStr">
        <is>
          <t>Not assessed</t>
        </is>
      </c>
      <c r="AV554" s="29" t="inlineStr">
        <is>
          <t>Not assessed</t>
        </is>
      </c>
      <c r="AW554" s="29" t="inlineStr">
        <is>
          <t>Not assessed</t>
        </is>
      </c>
      <c r="AX554" s="29" t="inlineStr">
        <is>
          <t>Not assessed</t>
        </is>
      </c>
      <c r="AY554" s="29" t="inlineStr">
        <is>
          <t>Not assessed</t>
        </is>
      </c>
      <c r="AZ554" s="29" t="inlineStr">
        <is>
          <t>Not assessed</t>
        </is>
      </c>
      <c r="BA554" s="29" t="inlineStr">
        <is>
          <t>Not assessed</t>
        </is>
      </c>
      <c r="BB554" s="29" t="inlineStr">
        <is>
          <t>Not assessed</t>
        </is>
      </c>
      <c r="BC554" s="29" t="inlineStr">
        <is>
          <t>Not assessed</t>
        </is>
      </c>
      <c r="BD554" s="29" t="inlineStr">
        <is>
          <t>Not assessed</t>
        </is>
      </c>
      <c r="BE554" s="29" t="inlineStr">
        <is>
          <t>Development required</t>
        </is>
      </c>
      <c r="BF554" s="29" t="inlineStr">
        <is>
          <t>Physical implementation is not complete against the stated requirement.; No evidence found in source</t>
        </is>
      </c>
      <c r="BG554" s="29" t="inlineStr"/>
      <c r="BH554" s="29" t="inlineStr"/>
      <c r="BI554" s="29" t="inlineStr"/>
      <c r="BJ554" s="29" t="inlineStr"/>
      <c r="BK554" s="29" t="inlineStr">
        <is>
          <t>Evidence reconciled against the reviewed source revision. No production approval is inferred from implementation or file presence.</t>
        </is>
      </c>
      <c r="BL554" s="29" t="inlineStr">
        <is>
          <t>2026-08-02</t>
        </is>
      </c>
    </row>
    <row r="555" ht="42" customHeight="1">
      <c r="A555" s="29" t="inlineStr">
        <is>
          <t>BLYP-27-021</t>
        </is>
      </c>
      <c r="B555" s="29" t="inlineStr"/>
      <c r="C555" s="29" t="inlineStr">
        <is>
          <t>Unified Inbox and messaging</t>
        </is>
      </c>
      <c r="D555" s="29" t="n">
        <v>27</v>
      </c>
      <c r="E555" s="29" t="n">
        <v>21</v>
      </c>
      <c r="F555" s="29" t="inlineStr">
        <is>
          <t>Feature</t>
        </is>
      </c>
      <c r="G555" s="29" t="inlineStr">
        <is>
          <t>Presence hooks</t>
        </is>
      </c>
      <c r="H555" s="29" t="inlineStr">
        <is>
          <t>Presence hooks</t>
        </is>
      </c>
      <c r="I555" s="29" t="inlineStr">
        <is>
          <t>/home/ubuntu/blyp_product_requirements.md :: Section 27 — Unified Inbox and messaging</t>
        </is>
      </c>
      <c r="J555" s="29" t="inlineStr">
        <is>
          <t>/home/ubuntu/BLYP_COMPLETE_FEATURE_LIST.md:699</t>
        </is>
      </c>
      <c r="K555" s="29" t="inlineStr">
        <is>
          <t>Required</t>
        </is>
      </c>
      <c r="L555" s="29" t="inlineStr">
        <is>
          <t>Applicable BLYP member</t>
        </is>
      </c>
      <c r="M555" s="29" t="inlineStr">
        <is>
          <t>BLYP mobile application and supporting production services</t>
        </is>
      </c>
      <c r="N555" s="29" t="inlineStr">
        <is>
          <t>Presence hooks</t>
        </is>
      </c>
      <c r="O555" s="29" t="inlineStr">
        <is>
          <t>Not explicitly defined in the product source; requires accountable product approval before production sign-off.</t>
        </is>
      </c>
      <c r="P555" s="29" t="inlineStr">
        <is>
          <t>None</t>
        </is>
      </c>
      <c r="Q555" s="29" t="inlineStr">
        <is>
          <t>Scaffold only</t>
        </is>
      </c>
      <c r="R555" s="29" t="inlineStr"/>
      <c r="S555" s="29" t="inlineStr">
        <is>
          <t>Not found</t>
        </is>
      </c>
      <c r="T555" s="29" t="inlineStr">
        <is>
          <t>None</t>
        </is>
      </c>
      <c r="U555" s="29" t="inlineStr">
        <is>
          <t>None</t>
        </is>
      </c>
      <c r="V555" s="29" t="inlineStr">
        <is>
          <t>None</t>
        </is>
      </c>
      <c r="W555" s="29" t="inlineStr">
        <is>
          <t>None</t>
        </is>
      </c>
      <c r="X555" s="29" t="inlineStr">
        <is>
          <t>None</t>
        </is>
      </c>
      <c r="Y555" s="29" t="inlineStr">
        <is>
          <t>None</t>
        </is>
      </c>
      <c r="Z555" s="29" t="inlineStr">
        <is>
          <t>None</t>
        </is>
      </c>
      <c r="AA555" s="29" t="inlineStr">
        <is>
          <t>None</t>
        </is>
      </c>
      <c r="AB555" s="29" t="inlineStr">
        <is>
          <t>None</t>
        </is>
      </c>
      <c r="AC555" s="29" t="inlineStr"/>
      <c r="AD555" s="29" t="inlineStr">
        <is>
          <t>None</t>
        </is>
      </c>
      <c r="AE555" s="29" t="inlineStr">
        <is>
          <t>Not wired</t>
        </is>
      </c>
      <c r="AF555" s="29" t="inlineStr">
        <is>
          <t>None</t>
        </is>
      </c>
      <c r="AG555" s="29" t="inlineStr">
        <is>
          <t>Not started</t>
        </is>
      </c>
      <c r="AH555" s="29" t="inlineStr">
        <is>
          <t>No</t>
        </is>
      </c>
      <c r="AI555" s="29" t="inlineStr">
        <is>
          <t>No evidence found in source</t>
        </is>
      </c>
      <c r="AJ555" s="29" t="inlineStr">
        <is>
          <t>Not verified</t>
        </is>
      </c>
      <c r="AK555" s="29" t="inlineStr">
        <is>
          <t>EV-27-0021</t>
        </is>
      </c>
      <c r="AL555" s="29" t="inlineStr"/>
      <c r="AM555" s="29" t="inlineStr"/>
      <c r="AN555" s="29" t="inlineStr"/>
      <c r="AO555" s="29" t="inlineStr">
        <is>
          <t>8bc0dcb2a1da1b21368c5536aaeef829d587f316</t>
        </is>
      </c>
      <c r="AP555" s="29" t="inlineStr">
        <is>
          <t>High</t>
        </is>
      </c>
      <c r="AQ555" s="29" t="inlineStr">
        <is>
          <t>Not assessed</t>
        </is>
      </c>
      <c r="AR555" s="29" t="inlineStr">
        <is>
          <t>Not assessed</t>
        </is>
      </c>
      <c r="AS555" s="29" t="inlineStr">
        <is>
          <t>Fail</t>
        </is>
      </c>
      <c r="AT555" s="29" t="inlineStr">
        <is>
          <t>Not assessed</t>
        </is>
      </c>
      <c r="AU555" s="29" t="inlineStr">
        <is>
          <t>Not assessed</t>
        </is>
      </c>
      <c r="AV555" s="29" t="inlineStr">
        <is>
          <t>Not assessed</t>
        </is>
      </c>
      <c r="AW555" s="29" t="inlineStr">
        <is>
          <t>Not assessed</t>
        </is>
      </c>
      <c r="AX555" s="29" t="inlineStr">
        <is>
          <t>Not assessed</t>
        </is>
      </c>
      <c r="AY555" s="29" t="inlineStr">
        <is>
          <t>Not assessed</t>
        </is>
      </c>
      <c r="AZ555" s="29" t="inlineStr">
        <is>
          <t>Not assessed</t>
        </is>
      </c>
      <c r="BA555" s="29" t="inlineStr">
        <is>
          <t>Not assessed</t>
        </is>
      </c>
      <c r="BB555" s="29" t="inlineStr">
        <is>
          <t>Not assessed</t>
        </is>
      </c>
      <c r="BC555" s="29" t="inlineStr">
        <is>
          <t>Not assessed</t>
        </is>
      </c>
      <c r="BD555" s="29" t="inlineStr">
        <is>
          <t>Not assessed</t>
        </is>
      </c>
      <c r="BE555" s="29" t="inlineStr">
        <is>
          <t>Development required</t>
        </is>
      </c>
      <c r="BF555" s="29" t="inlineStr">
        <is>
          <t>Physical implementation is not complete against the stated requirement.; No evidence found in source</t>
        </is>
      </c>
      <c r="BG555" s="29" t="inlineStr"/>
      <c r="BH555" s="29" t="inlineStr"/>
      <c r="BI555" s="29" t="inlineStr"/>
      <c r="BJ555" s="29" t="inlineStr"/>
      <c r="BK555" s="29" t="inlineStr">
        <is>
          <t>Evidence reconciled against the reviewed source revision. No production approval is inferred from implementation or file presence.</t>
        </is>
      </c>
      <c r="BL555" s="29" t="inlineStr">
        <is>
          <t>2026-08-02</t>
        </is>
      </c>
    </row>
    <row r="556" ht="42" customHeight="1">
      <c r="A556" s="29" t="inlineStr">
        <is>
          <t>BLYP-27-022</t>
        </is>
      </c>
      <c r="B556" s="29" t="inlineStr"/>
      <c r="C556" s="29" t="inlineStr">
        <is>
          <t>Unified Inbox and messaging</t>
        </is>
      </c>
      <c r="D556" s="29" t="n">
        <v>27</v>
      </c>
      <c r="E556" s="29" t="n">
        <v>22</v>
      </c>
      <c r="F556" s="29" t="inlineStr">
        <is>
          <t>Feature</t>
        </is>
      </c>
      <c r="G556" s="29" t="inlineStr">
        <is>
          <t>Separate Dating-conversation boundary</t>
        </is>
      </c>
      <c r="H556" s="29" t="inlineStr">
        <is>
          <t>Separate Dating-conversation boundary</t>
        </is>
      </c>
      <c r="I556" s="29" t="inlineStr">
        <is>
          <t>/home/ubuntu/blyp_product_requirements.md :: Section 27 — Unified Inbox and messaging</t>
        </is>
      </c>
      <c r="J556" s="29" t="inlineStr">
        <is>
          <t>/home/ubuntu/BLYP_COMPLETE_FEATURE_LIST.md:700</t>
        </is>
      </c>
      <c r="K556" s="29" t="inlineStr">
        <is>
          <t>Required</t>
        </is>
      </c>
      <c r="L556" s="29" t="inlineStr">
        <is>
          <t>Applicable BLYP member</t>
        </is>
      </c>
      <c r="M556" s="29" t="inlineStr">
        <is>
          <t>BLYP mobile application and supporting production services</t>
        </is>
      </c>
      <c r="N556" s="29" t="inlineStr">
        <is>
          <t>Separate Dating-conversation boundary</t>
        </is>
      </c>
      <c r="O556" s="29" t="inlineStr">
        <is>
          <t>Not explicitly defined in the product source; requires accountable product approval before production sign-off.</t>
        </is>
      </c>
      <c r="P556" s="29" t="inlineStr">
        <is>
          <t>None</t>
        </is>
      </c>
      <c r="Q556" s="29" t="inlineStr">
        <is>
          <t>No evidence</t>
        </is>
      </c>
      <c r="R556" s="29" t="inlineStr"/>
      <c r="S556" s="29" t="inlineStr">
        <is>
          <t>Not found</t>
        </is>
      </c>
      <c r="T556" s="29" t="inlineStr">
        <is>
          <t>None</t>
        </is>
      </c>
      <c r="U556" s="29" t="inlineStr">
        <is>
          <t>None</t>
        </is>
      </c>
      <c r="V556" s="29" t="inlineStr">
        <is>
          <t>None</t>
        </is>
      </c>
      <c r="W556" s="29" t="inlineStr">
        <is>
          <t>None</t>
        </is>
      </c>
      <c r="X556" s="29" t="inlineStr">
        <is>
          <t>None</t>
        </is>
      </c>
      <c r="Y556" s="29" t="inlineStr">
        <is>
          <t>None</t>
        </is>
      </c>
      <c r="Z556" s="29" t="inlineStr">
        <is>
          <t>None</t>
        </is>
      </c>
      <c r="AA556" s="29" t="inlineStr">
        <is>
          <t>None</t>
        </is>
      </c>
      <c r="AB556" s="29" t="inlineStr">
        <is>
          <t>None</t>
        </is>
      </c>
      <c r="AC556" s="29" t="inlineStr"/>
      <c r="AD556" s="29" t="inlineStr">
        <is>
          <t>None</t>
        </is>
      </c>
      <c r="AE556" s="29" t="inlineStr">
        <is>
          <t>Not wired</t>
        </is>
      </c>
      <c r="AF556" s="29" t="inlineStr">
        <is>
          <t>None</t>
        </is>
      </c>
      <c r="AG556" s="29" t="inlineStr">
        <is>
          <t>Not started</t>
        </is>
      </c>
      <c r="AH556" s="29" t="inlineStr">
        <is>
          <t>No</t>
        </is>
      </c>
      <c r="AI556" s="29" t="inlineStr">
        <is>
          <t>No evidence found in source</t>
        </is>
      </c>
      <c r="AJ556" s="29" t="inlineStr">
        <is>
          <t>Not verified</t>
        </is>
      </c>
      <c r="AK556" s="29" t="inlineStr">
        <is>
          <t>EV-27-0022</t>
        </is>
      </c>
      <c r="AL556" s="29" t="inlineStr"/>
      <c r="AM556" s="29" t="inlineStr"/>
      <c r="AN556" s="29" t="inlineStr"/>
      <c r="AO556" s="29" t="inlineStr">
        <is>
          <t>8bc0dcb2a1da1b21368c5536aaeef829d587f316</t>
        </is>
      </c>
      <c r="AP556" s="29" t="inlineStr">
        <is>
          <t>High</t>
        </is>
      </c>
      <c r="AQ556" s="29" t="inlineStr">
        <is>
          <t>Not assessed</t>
        </is>
      </c>
      <c r="AR556" s="29" t="inlineStr">
        <is>
          <t>Not assessed</t>
        </is>
      </c>
      <c r="AS556" s="29" t="inlineStr">
        <is>
          <t>Fail</t>
        </is>
      </c>
      <c r="AT556" s="29" t="inlineStr">
        <is>
          <t>Not assessed</t>
        </is>
      </c>
      <c r="AU556" s="29" t="inlineStr">
        <is>
          <t>Not assessed</t>
        </is>
      </c>
      <c r="AV556" s="29" t="inlineStr">
        <is>
          <t>Not assessed</t>
        </is>
      </c>
      <c r="AW556" s="29" t="inlineStr">
        <is>
          <t>Not assessed</t>
        </is>
      </c>
      <c r="AX556" s="29" t="inlineStr">
        <is>
          <t>Not assessed</t>
        </is>
      </c>
      <c r="AY556" s="29" t="inlineStr">
        <is>
          <t>Not assessed</t>
        </is>
      </c>
      <c r="AZ556" s="29" t="inlineStr">
        <is>
          <t>Not assessed</t>
        </is>
      </c>
      <c r="BA556" s="29" t="inlineStr">
        <is>
          <t>Not assessed</t>
        </is>
      </c>
      <c r="BB556" s="29" t="inlineStr">
        <is>
          <t>Not assessed</t>
        </is>
      </c>
      <c r="BC556" s="29" t="inlineStr">
        <is>
          <t>Not assessed</t>
        </is>
      </c>
      <c r="BD556" s="29" t="inlineStr">
        <is>
          <t>Not assessed</t>
        </is>
      </c>
      <c r="BE556" s="29" t="inlineStr">
        <is>
          <t>Development required</t>
        </is>
      </c>
      <c r="BF556" s="29" t="inlineStr">
        <is>
          <t>Physical implementation is not complete against the stated requirement.; No evidence found in source</t>
        </is>
      </c>
      <c r="BG556" s="29" t="inlineStr"/>
      <c r="BH556" s="29" t="inlineStr"/>
      <c r="BI556" s="29" t="inlineStr"/>
      <c r="BJ556" s="29" t="inlineStr"/>
      <c r="BK556" s="29" t="inlineStr">
        <is>
          <t>Evidence reconciled against the reviewed source revision. No production approval is inferred from implementation or file presence.</t>
        </is>
      </c>
      <c r="BL556" s="29" t="inlineStr">
        <is>
          <t>2026-08-02</t>
        </is>
      </c>
    </row>
    <row r="557" ht="42" customHeight="1">
      <c r="A557" s="29" t="inlineStr">
        <is>
          <t>BLYP-27-023</t>
        </is>
      </c>
      <c r="B557" s="29" t="inlineStr"/>
      <c r="C557" s="29" t="inlineStr">
        <is>
          <t>Unified Inbox and messaging</t>
        </is>
      </c>
      <c r="D557" s="29" t="n">
        <v>27</v>
      </c>
      <c r="E557" s="29" t="n">
        <v>23</v>
      </c>
      <c r="F557" s="29" t="inlineStr">
        <is>
          <t>Feature</t>
        </is>
      </c>
      <c r="G557" s="29" t="inlineStr">
        <is>
          <t>Unknown accounts routed to requests</t>
        </is>
      </c>
      <c r="H557" s="29" t="inlineStr">
        <is>
          <t>Unknown accounts routed to requests</t>
        </is>
      </c>
      <c r="I557" s="29" t="inlineStr">
        <is>
          <t>/home/ubuntu/blyp_product_requirements.md :: Section 27 — Unified Inbox and messaging</t>
        </is>
      </c>
      <c r="J557" s="29" t="inlineStr">
        <is>
          <t>/home/ubuntu/BLYP_COMPLETE_FEATURE_LIST.md:701</t>
        </is>
      </c>
      <c r="K557" s="29" t="inlineStr">
        <is>
          <t>Required</t>
        </is>
      </c>
      <c r="L557" s="29" t="inlineStr">
        <is>
          <t>Applicable BLYP member</t>
        </is>
      </c>
      <c r="M557" s="29" t="inlineStr">
        <is>
          <t>BLYP mobile application and supporting production services</t>
        </is>
      </c>
      <c r="N557" s="29" t="inlineStr">
        <is>
          <t>Unknown accounts routed to requests</t>
        </is>
      </c>
      <c r="O557" s="29" t="inlineStr">
        <is>
          <t>Not explicitly defined in the product source; requires accountable product approval before production sign-off.</t>
        </is>
      </c>
      <c r="P557" s="29" t="inlineStr">
        <is>
          <t>None</t>
        </is>
      </c>
      <c r="Q557" s="29" t="inlineStr">
        <is>
          <t>No evidence</t>
        </is>
      </c>
      <c r="R557" s="29" t="inlineStr"/>
      <c r="S557" s="29" t="inlineStr">
        <is>
          <t>Not found</t>
        </is>
      </c>
      <c r="T557" s="29" t="inlineStr">
        <is>
          <t>None</t>
        </is>
      </c>
      <c r="U557" s="29" t="inlineStr">
        <is>
          <t>None</t>
        </is>
      </c>
      <c r="V557" s="29" t="inlineStr">
        <is>
          <t>None</t>
        </is>
      </c>
      <c r="W557" s="29" t="inlineStr">
        <is>
          <t>None</t>
        </is>
      </c>
      <c r="X557" s="29" t="inlineStr">
        <is>
          <t>None</t>
        </is>
      </c>
      <c r="Y557" s="29" t="inlineStr">
        <is>
          <t>None</t>
        </is>
      </c>
      <c r="Z557" s="29" t="inlineStr">
        <is>
          <t>None</t>
        </is>
      </c>
      <c r="AA557" s="29" t="inlineStr">
        <is>
          <t>None</t>
        </is>
      </c>
      <c r="AB557" s="29" t="inlineStr">
        <is>
          <t>None</t>
        </is>
      </c>
      <c r="AC557" s="29" t="inlineStr"/>
      <c r="AD557" s="29" t="inlineStr">
        <is>
          <t>None</t>
        </is>
      </c>
      <c r="AE557" s="29" t="inlineStr">
        <is>
          <t>Not wired</t>
        </is>
      </c>
      <c r="AF557" s="29" t="inlineStr">
        <is>
          <t>None</t>
        </is>
      </c>
      <c r="AG557" s="29" t="inlineStr">
        <is>
          <t>Not started</t>
        </is>
      </c>
      <c r="AH557" s="29" t="inlineStr">
        <is>
          <t>No</t>
        </is>
      </c>
      <c r="AI557" s="29" t="inlineStr">
        <is>
          <t>No evidence found in source</t>
        </is>
      </c>
      <c r="AJ557" s="29" t="inlineStr">
        <is>
          <t>Not verified</t>
        </is>
      </c>
      <c r="AK557" s="29" t="inlineStr">
        <is>
          <t>EV-27-0023</t>
        </is>
      </c>
      <c r="AL557" s="29" t="inlineStr"/>
      <c r="AM557" s="29" t="inlineStr"/>
      <c r="AN557" s="29" t="inlineStr"/>
      <c r="AO557" s="29" t="inlineStr">
        <is>
          <t>8bc0dcb2a1da1b21368c5536aaeef829d587f316</t>
        </is>
      </c>
      <c r="AP557" s="29" t="inlineStr">
        <is>
          <t>High</t>
        </is>
      </c>
      <c r="AQ557" s="29" t="inlineStr">
        <is>
          <t>Not assessed</t>
        </is>
      </c>
      <c r="AR557" s="29" t="inlineStr">
        <is>
          <t>Not assessed</t>
        </is>
      </c>
      <c r="AS557" s="29" t="inlineStr">
        <is>
          <t>Fail</t>
        </is>
      </c>
      <c r="AT557" s="29" t="inlineStr">
        <is>
          <t>Not assessed</t>
        </is>
      </c>
      <c r="AU557" s="29" t="inlineStr">
        <is>
          <t>Not assessed</t>
        </is>
      </c>
      <c r="AV557" s="29" t="inlineStr">
        <is>
          <t>Not assessed</t>
        </is>
      </c>
      <c r="AW557" s="29" t="inlineStr">
        <is>
          <t>Not assessed</t>
        </is>
      </c>
      <c r="AX557" s="29" t="inlineStr">
        <is>
          <t>Not assessed</t>
        </is>
      </c>
      <c r="AY557" s="29" t="inlineStr">
        <is>
          <t>Not assessed</t>
        </is>
      </c>
      <c r="AZ557" s="29" t="inlineStr">
        <is>
          <t>Not assessed</t>
        </is>
      </c>
      <c r="BA557" s="29" t="inlineStr">
        <is>
          <t>Not assessed</t>
        </is>
      </c>
      <c r="BB557" s="29" t="inlineStr">
        <is>
          <t>Not assessed</t>
        </is>
      </c>
      <c r="BC557" s="29" t="inlineStr">
        <is>
          <t>Not assessed</t>
        </is>
      </c>
      <c r="BD557" s="29" t="inlineStr">
        <is>
          <t>Not assessed</t>
        </is>
      </c>
      <c r="BE557" s="29" t="inlineStr">
        <is>
          <t>Development required</t>
        </is>
      </c>
      <c r="BF557" s="29" t="inlineStr">
        <is>
          <t>Physical implementation is not complete against the stated requirement.; No evidence found in source</t>
        </is>
      </c>
      <c r="BG557" s="29" t="inlineStr"/>
      <c r="BH557" s="29" t="inlineStr"/>
      <c r="BI557" s="29" t="inlineStr"/>
      <c r="BJ557" s="29" t="inlineStr"/>
      <c r="BK557" s="29" t="inlineStr">
        <is>
          <t>Evidence reconciled against the reviewed source revision. No production approval is inferred from implementation or file presence.</t>
        </is>
      </c>
      <c r="BL557" s="29" t="inlineStr">
        <is>
          <t>2026-08-02</t>
        </is>
      </c>
    </row>
    <row r="558" ht="42" customHeight="1">
      <c r="A558" s="29" t="inlineStr">
        <is>
          <t>BLYP-27-024</t>
        </is>
      </c>
      <c r="B558" s="29" t="inlineStr"/>
      <c r="C558" s="29" t="inlineStr">
        <is>
          <t>Unified Inbox and messaging</t>
        </is>
      </c>
      <c r="D558" s="29" t="n">
        <v>27</v>
      </c>
      <c r="E558" s="29" t="n">
        <v>24</v>
      </c>
      <c r="F558" s="29" t="inlineStr">
        <is>
          <t>Feature</t>
        </is>
      </c>
      <c r="G558" s="29" t="inlineStr">
        <is>
          <t>Control who may contact the member</t>
        </is>
      </c>
      <c r="H558" s="29" t="inlineStr">
        <is>
          <t>Control who may contact the member</t>
        </is>
      </c>
      <c r="I558" s="29" t="inlineStr">
        <is>
          <t>/home/ubuntu/blyp_product_requirements.md :: Section 27 — Unified Inbox and messaging</t>
        </is>
      </c>
      <c r="J558" s="29" t="inlineStr">
        <is>
          <t>/home/ubuntu/BLYP_COMPLETE_FEATURE_LIST.md:702</t>
        </is>
      </c>
      <c r="K558" s="29" t="inlineStr">
        <is>
          <t>Required</t>
        </is>
      </c>
      <c r="L558" s="29" t="inlineStr">
        <is>
          <t>Applicable BLYP member</t>
        </is>
      </c>
      <c r="M558" s="29" t="inlineStr">
        <is>
          <t>BLYP mobile application and supporting production services</t>
        </is>
      </c>
      <c r="N558" s="29" t="inlineStr">
        <is>
          <t>Control who may contact the member</t>
        </is>
      </c>
      <c r="O558" s="29" t="inlineStr">
        <is>
          <t>Not explicitly defined in the product source; requires accountable product approval before production sign-off.</t>
        </is>
      </c>
      <c r="P558" s="29" t="inlineStr">
        <is>
          <t>None</t>
        </is>
      </c>
      <c r="Q558" s="29" t="inlineStr">
        <is>
          <t>Partial</t>
        </is>
      </c>
      <c r="R558" s="29" t="inlineStr"/>
      <c r="S558" s="29" t="inlineStr">
        <is>
          <t>Not found</t>
        </is>
      </c>
      <c r="T558" s="29" t="inlineStr">
        <is>
          <t>None</t>
        </is>
      </c>
      <c r="U558" s="29" t="inlineStr">
        <is>
          <t>None</t>
        </is>
      </c>
      <c r="V558" s="29" t="inlineStr">
        <is>
          <t>None</t>
        </is>
      </c>
      <c r="W558" s="29" t="inlineStr">
        <is>
          <t>None</t>
        </is>
      </c>
      <c r="X558" s="29" t="inlineStr">
        <is>
          <t>None</t>
        </is>
      </c>
      <c r="Y558" s="29" t="inlineStr">
        <is>
          <t>None</t>
        </is>
      </c>
      <c r="Z558" s="29" t="inlineStr">
        <is>
          <t>None</t>
        </is>
      </c>
      <c r="AA558" s="29" t="inlineStr">
        <is>
          <t>None</t>
        </is>
      </c>
      <c r="AB558" s="29" t="inlineStr">
        <is>
          <t>None</t>
        </is>
      </c>
      <c r="AC558" s="29" t="inlineStr"/>
      <c r="AD558" s="29" t="inlineStr">
        <is>
          <t>None</t>
        </is>
      </c>
      <c r="AE558" s="29" t="inlineStr">
        <is>
          <t>Not wired</t>
        </is>
      </c>
      <c r="AF558" s="29" t="inlineStr">
        <is>
          <t>None</t>
        </is>
      </c>
      <c r="AG558" s="29" t="inlineStr">
        <is>
          <t>Not started</t>
        </is>
      </c>
      <c r="AH558" s="29" t="inlineStr">
        <is>
          <t>No</t>
        </is>
      </c>
      <c r="AI558" s="29" t="inlineStr">
        <is>
          <t>No evidence found in source</t>
        </is>
      </c>
      <c r="AJ558" s="29" t="inlineStr">
        <is>
          <t>Not verified</t>
        </is>
      </c>
      <c r="AK558" s="29" t="inlineStr">
        <is>
          <t>EV-27-0024</t>
        </is>
      </c>
      <c r="AL558" s="29" t="inlineStr"/>
      <c r="AM558" s="29" t="inlineStr"/>
      <c r="AN558" s="29" t="inlineStr"/>
      <c r="AO558" s="29" t="inlineStr">
        <is>
          <t>8bc0dcb2a1da1b21368c5536aaeef829d587f316</t>
        </is>
      </c>
      <c r="AP558" s="29" t="inlineStr">
        <is>
          <t>High</t>
        </is>
      </c>
      <c r="AQ558" s="29" t="inlineStr">
        <is>
          <t>Not assessed</t>
        </is>
      </c>
      <c r="AR558" s="29" t="inlineStr">
        <is>
          <t>Not assessed</t>
        </is>
      </c>
      <c r="AS558" s="29" t="inlineStr">
        <is>
          <t>Fail</t>
        </is>
      </c>
      <c r="AT558" s="29" t="inlineStr">
        <is>
          <t>Not assessed</t>
        </is>
      </c>
      <c r="AU558" s="29" t="inlineStr">
        <is>
          <t>Not assessed</t>
        </is>
      </c>
      <c r="AV558" s="29" t="inlineStr">
        <is>
          <t>Not assessed</t>
        </is>
      </c>
      <c r="AW558" s="29" t="inlineStr">
        <is>
          <t>Not assessed</t>
        </is>
      </c>
      <c r="AX558" s="29" t="inlineStr">
        <is>
          <t>Not assessed</t>
        </is>
      </c>
      <c r="AY558" s="29" t="inlineStr">
        <is>
          <t>Not assessed</t>
        </is>
      </c>
      <c r="AZ558" s="29" t="inlineStr">
        <is>
          <t>Not assessed</t>
        </is>
      </c>
      <c r="BA558" s="29" t="inlineStr">
        <is>
          <t>Not assessed</t>
        </is>
      </c>
      <c r="BB558" s="29" t="inlineStr">
        <is>
          <t>Not assessed</t>
        </is>
      </c>
      <c r="BC558" s="29" t="inlineStr">
        <is>
          <t>Not assessed</t>
        </is>
      </c>
      <c r="BD558" s="29" t="inlineStr">
        <is>
          <t>Not assessed</t>
        </is>
      </c>
      <c r="BE558" s="29" t="inlineStr">
        <is>
          <t>Development required</t>
        </is>
      </c>
      <c r="BF558" s="29" t="inlineStr">
        <is>
          <t>Physical implementation is not complete against the stated requirement.; No evidence found in source</t>
        </is>
      </c>
      <c r="BG558" s="29" t="inlineStr"/>
      <c r="BH558" s="29" t="inlineStr"/>
      <c r="BI558" s="29" t="inlineStr"/>
      <c r="BJ558" s="29" t="inlineStr"/>
      <c r="BK558" s="29" t="inlineStr">
        <is>
          <t>Evidence reconciled against the reviewed source revision. No production approval is inferred from implementation or file presence.</t>
        </is>
      </c>
      <c r="BL558" s="29" t="inlineStr">
        <is>
          <t>2026-08-02</t>
        </is>
      </c>
    </row>
    <row r="559" ht="42" customHeight="1">
      <c r="A559" s="29" t="inlineStr">
        <is>
          <t>BLYP-27-025</t>
        </is>
      </c>
      <c r="B559" s="29" t="inlineStr"/>
      <c r="C559" s="29" t="inlineStr">
        <is>
          <t>Unified Inbox and messaging</t>
        </is>
      </c>
      <c r="D559" s="29" t="n">
        <v>27</v>
      </c>
      <c r="E559" s="29" t="n">
        <v>25</v>
      </c>
      <c r="F559" s="29" t="inlineStr">
        <is>
          <t>Rule</t>
        </is>
      </c>
      <c r="G559" s="29" t="inlineStr">
        <is>
          <t>Private messages excluded from advertising</t>
        </is>
      </c>
      <c r="H559" s="29" t="inlineStr">
        <is>
          <t>Private messages excluded from advertising</t>
        </is>
      </c>
      <c r="I559" s="29" t="inlineStr">
        <is>
          <t>/home/ubuntu/blyp_product_requirements.md :: Section 27 — Unified Inbox and messaging</t>
        </is>
      </c>
      <c r="J559" s="29" t="inlineStr">
        <is>
          <t>/home/ubuntu/BLYP_COMPLETE_FEATURE_LIST.md:703</t>
        </is>
      </c>
      <c r="K559" s="29" t="inlineStr">
        <is>
          <t>Required</t>
        </is>
      </c>
      <c r="L559" s="29" t="inlineStr">
        <is>
          <t>Applicable BLYP member</t>
        </is>
      </c>
      <c r="M559" s="29" t="inlineStr">
        <is>
          <t>BLYP mobile application and supporting production services</t>
        </is>
      </c>
      <c r="N559" s="29" t="inlineStr">
        <is>
          <t>Private messages excluded from advertising</t>
        </is>
      </c>
      <c r="O559" s="29" t="inlineStr">
        <is>
          <t>Not explicitly defined in the product source; requires accountable product approval before production sign-off.</t>
        </is>
      </c>
      <c r="P559" s="29" t="inlineStr">
        <is>
          <t>None</t>
        </is>
      </c>
      <c r="Q559" s="29" t="inlineStr">
        <is>
          <t>Needs verification</t>
        </is>
      </c>
      <c r="R559" s="29" t="inlineStr"/>
      <c r="S559" s="29" t="inlineStr">
        <is>
          <t>Not found</t>
        </is>
      </c>
      <c r="T559" s="29" t="inlineStr">
        <is>
          <t>None</t>
        </is>
      </c>
      <c r="U559" s="29" t="inlineStr">
        <is>
          <t>None</t>
        </is>
      </c>
      <c r="V559" s="29" t="inlineStr">
        <is>
          <t>None</t>
        </is>
      </c>
      <c r="W559" s="29" t="inlineStr">
        <is>
          <t>None</t>
        </is>
      </c>
      <c r="X559" s="29" t="inlineStr">
        <is>
          <t>None</t>
        </is>
      </c>
      <c r="Y559" s="29" t="inlineStr">
        <is>
          <t>None</t>
        </is>
      </c>
      <c r="Z559" s="29" t="inlineStr">
        <is>
          <t>None</t>
        </is>
      </c>
      <c r="AA559" s="29" t="inlineStr">
        <is>
          <t>None</t>
        </is>
      </c>
      <c r="AB559" s="29" t="inlineStr">
        <is>
          <t>None</t>
        </is>
      </c>
      <c r="AC559" s="29" t="inlineStr"/>
      <c r="AD559" s="29" t="inlineStr">
        <is>
          <t>None</t>
        </is>
      </c>
      <c r="AE559" s="29" t="inlineStr">
        <is>
          <t>Not wired</t>
        </is>
      </c>
      <c r="AF559" s="29" t="inlineStr">
        <is>
          <t>None</t>
        </is>
      </c>
      <c r="AG559" s="29" t="inlineStr">
        <is>
          <t>Not started</t>
        </is>
      </c>
      <c r="AH559" s="29" t="inlineStr">
        <is>
          <t>No</t>
        </is>
      </c>
      <c r="AI559" s="29" t="inlineStr">
        <is>
          <t>No evidence found in source</t>
        </is>
      </c>
      <c r="AJ559" s="29" t="inlineStr">
        <is>
          <t>Not verified</t>
        </is>
      </c>
      <c r="AK559" s="29" t="inlineStr">
        <is>
          <t>EV-27-0025</t>
        </is>
      </c>
      <c r="AL559" s="29" t="inlineStr"/>
      <c r="AM559" s="29" t="inlineStr"/>
      <c r="AN559" s="29" t="inlineStr"/>
      <c r="AO559" s="29" t="inlineStr">
        <is>
          <t>8bc0dcb2a1da1b21368c5536aaeef829d587f316</t>
        </is>
      </c>
      <c r="AP559" s="29" t="inlineStr">
        <is>
          <t>High</t>
        </is>
      </c>
      <c r="AQ559" s="29" t="inlineStr">
        <is>
          <t>Not assessed</t>
        </is>
      </c>
      <c r="AR559" s="29" t="inlineStr">
        <is>
          <t>Not assessed</t>
        </is>
      </c>
      <c r="AS559" s="29" t="inlineStr">
        <is>
          <t>Fail</t>
        </is>
      </c>
      <c r="AT559" s="29" t="inlineStr">
        <is>
          <t>Not assessed</t>
        </is>
      </c>
      <c r="AU559" s="29" t="inlineStr">
        <is>
          <t>Not assessed</t>
        </is>
      </c>
      <c r="AV559" s="29" t="inlineStr">
        <is>
          <t>Not assessed</t>
        </is>
      </c>
      <c r="AW559" s="29" t="inlineStr">
        <is>
          <t>Not assessed</t>
        </is>
      </c>
      <c r="AX559" s="29" t="inlineStr">
        <is>
          <t>Not assessed</t>
        </is>
      </c>
      <c r="AY559" s="29" t="inlineStr">
        <is>
          <t>Not assessed</t>
        </is>
      </c>
      <c r="AZ559" s="29" t="inlineStr">
        <is>
          <t>Not assessed</t>
        </is>
      </c>
      <c r="BA559" s="29" t="inlineStr">
        <is>
          <t>Not assessed</t>
        </is>
      </c>
      <c r="BB559" s="29" t="inlineStr">
        <is>
          <t>Not assessed</t>
        </is>
      </c>
      <c r="BC559" s="29" t="inlineStr">
        <is>
          <t>Not assessed</t>
        </is>
      </c>
      <c r="BD559" s="29" t="inlineStr">
        <is>
          <t>Not assessed</t>
        </is>
      </c>
      <c r="BE559" s="29" t="inlineStr">
        <is>
          <t>Development required</t>
        </is>
      </c>
      <c r="BF559" s="29" t="inlineStr">
        <is>
          <t>Physical implementation is not complete against the stated requirement.; No evidence found in source</t>
        </is>
      </c>
      <c r="BG559" s="29" t="inlineStr"/>
      <c r="BH559" s="29" t="inlineStr"/>
      <c r="BI559" s="29" t="inlineStr"/>
      <c r="BJ559" s="29" t="inlineStr"/>
      <c r="BK559" s="29" t="inlineStr">
        <is>
          <t>Evidence reconciled against the reviewed source revision. No production approval is inferred from implementation or file presence.</t>
        </is>
      </c>
      <c r="BL559" s="29" t="inlineStr">
        <is>
          <t>2026-08-02</t>
        </is>
      </c>
    </row>
    <row r="560" ht="42" customHeight="1">
      <c r="A560" s="29" t="inlineStr">
        <is>
          <t>BLYP-27-026</t>
        </is>
      </c>
      <c r="B560" s="29" t="inlineStr"/>
      <c r="C560" s="29" t="inlineStr">
        <is>
          <t>Unified Inbox and messaging</t>
        </is>
      </c>
      <c r="D560" s="29" t="n">
        <v>27</v>
      </c>
      <c r="E560" s="29" t="n">
        <v>26</v>
      </c>
      <c r="F560" s="29" t="inlineStr">
        <is>
          <t>Rule</t>
        </is>
      </c>
      <c r="G560" s="29" t="inlineStr">
        <is>
          <t>Private messages excluded from routine AI training</t>
        </is>
      </c>
      <c r="H560" s="29" t="inlineStr">
        <is>
          <t>Private messages excluded from routine AI training</t>
        </is>
      </c>
      <c r="I560" s="29" t="inlineStr">
        <is>
          <t>/home/ubuntu/blyp_product_requirements.md :: Section 27 — Unified Inbox and messaging</t>
        </is>
      </c>
      <c r="J560" s="29" t="inlineStr">
        <is>
          <t>/home/ubuntu/BLYP_COMPLETE_FEATURE_LIST.md:704</t>
        </is>
      </c>
      <c r="K560" s="29" t="inlineStr">
        <is>
          <t>Required</t>
        </is>
      </c>
      <c r="L560" s="29" t="inlineStr">
        <is>
          <t>Applicable BLYP member</t>
        </is>
      </c>
      <c r="M560" s="29" t="inlineStr">
        <is>
          <t>BLYP mobile application and supporting production services</t>
        </is>
      </c>
      <c r="N560" s="29" t="inlineStr">
        <is>
          <t>Private messages excluded from routine AI training</t>
        </is>
      </c>
      <c r="O560" s="29" t="inlineStr">
        <is>
          <t>Not explicitly defined in the product source; requires accountable product approval before production sign-off.</t>
        </is>
      </c>
      <c r="P560" s="29" t="inlineStr">
        <is>
          <t>None</t>
        </is>
      </c>
      <c r="Q560" s="29" t="inlineStr">
        <is>
          <t>Needs verification</t>
        </is>
      </c>
      <c r="R560" s="29" t="inlineStr"/>
      <c r="S560" s="29" t="inlineStr">
        <is>
          <t>Not found</t>
        </is>
      </c>
      <c r="T560" s="29" t="inlineStr">
        <is>
          <t>None</t>
        </is>
      </c>
      <c r="U560" s="29" t="inlineStr">
        <is>
          <t>None</t>
        </is>
      </c>
      <c r="V560" s="29" t="inlineStr">
        <is>
          <t>None</t>
        </is>
      </c>
      <c r="W560" s="29" t="inlineStr">
        <is>
          <t>None</t>
        </is>
      </c>
      <c r="X560" s="29" t="inlineStr">
        <is>
          <t>None</t>
        </is>
      </c>
      <c r="Y560" s="29" t="inlineStr">
        <is>
          <t>None</t>
        </is>
      </c>
      <c r="Z560" s="29" t="inlineStr">
        <is>
          <t>None</t>
        </is>
      </c>
      <c r="AA560" s="29" t="inlineStr">
        <is>
          <t>None</t>
        </is>
      </c>
      <c r="AB560" s="29" t="inlineStr">
        <is>
          <t>None</t>
        </is>
      </c>
      <c r="AC560" s="29" t="inlineStr"/>
      <c r="AD560" s="29" t="inlineStr">
        <is>
          <t>None</t>
        </is>
      </c>
      <c r="AE560" s="29" t="inlineStr">
        <is>
          <t>Not wired</t>
        </is>
      </c>
      <c r="AF560" s="29" t="inlineStr">
        <is>
          <t>None</t>
        </is>
      </c>
      <c r="AG560" s="29" t="inlineStr">
        <is>
          <t>Not started</t>
        </is>
      </c>
      <c r="AH560" s="29" t="inlineStr">
        <is>
          <t>No</t>
        </is>
      </c>
      <c r="AI560" s="29" t="inlineStr">
        <is>
          <t>No evidence found in source</t>
        </is>
      </c>
      <c r="AJ560" s="29" t="inlineStr">
        <is>
          <t>Not verified</t>
        </is>
      </c>
      <c r="AK560" s="29" t="inlineStr">
        <is>
          <t>EV-27-0026</t>
        </is>
      </c>
      <c r="AL560" s="29" t="inlineStr"/>
      <c r="AM560" s="29" t="inlineStr"/>
      <c r="AN560" s="29" t="inlineStr"/>
      <c r="AO560" s="29" t="inlineStr">
        <is>
          <t>8bc0dcb2a1da1b21368c5536aaeef829d587f316</t>
        </is>
      </c>
      <c r="AP560" s="29" t="inlineStr">
        <is>
          <t>High</t>
        </is>
      </c>
      <c r="AQ560" s="29" t="inlineStr">
        <is>
          <t>Not assessed</t>
        </is>
      </c>
      <c r="AR560" s="29" t="inlineStr">
        <is>
          <t>Not assessed</t>
        </is>
      </c>
      <c r="AS560" s="29" t="inlineStr">
        <is>
          <t>Fail</t>
        </is>
      </c>
      <c r="AT560" s="29" t="inlineStr">
        <is>
          <t>Not assessed</t>
        </is>
      </c>
      <c r="AU560" s="29" t="inlineStr">
        <is>
          <t>Not assessed</t>
        </is>
      </c>
      <c r="AV560" s="29" t="inlineStr">
        <is>
          <t>Not assessed</t>
        </is>
      </c>
      <c r="AW560" s="29" t="inlineStr">
        <is>
          <t>Not assessed</t>
        </is>
      </c>
      <c r="AX560" s="29" t="inlineStr">
        <is>
          <t>Not assessed</t>
        </is>
      </c>
      <c r="AY560" s="29" t="inlineStr">
        <is>
          <t>Not assessed</t>
        </is>
      </c>
      <c r="AZ560" s="29" t="inlineStr">
        <is>
          <t>Not assessed</t>
        </is>
      </c>
      <c r="BA560" s="29" t="inlineStr">
        <is>
          <t>Not assessed</t>
        </is>
      </c>
      <c r="BB560" s="29" t="inlineStr">
        <is>
          <t>Not assessed</t>
        </is>
      </c>
      <c r="BC560" s="29" t="inlineStr">
        <is>
          <t>Not assessed</t>
        </is>
      </c>
      <c r="BD560" s="29" t="inlineStr">
        <is>
          <t>Not assessed</t>
        </is>
      </c>
      <c r="BE560" s="29" t="inlineStr">
        <is>
          <t>Development required</t>
        </is>
      </c>
      <c r="BF560" s="29" t="inlineStr">
        <is>
          <t>Physical implementation is not complete against the stated requirement.; No evidence found in source</t>
        </is>
      </c>
      <c r="BG560" s="29" t="inlineStr"/>
      <c r="BH560" s="29" t="inlineStr"/>
      <c r="BI560" s="29" t="inlineStr"/>
      <c r="BJ560" s="29" t="inlineStr"/>
      <c r="BK560" s="29" t="inlineStr">
        <is>
          <t>Evidence reconciled against the reviewed source revision. No production approval is inferred from implementation or file presence.</t>
        </is>
      </c>
      <c r="BL560" s="29" t="inlineStr">
        <is>
          <t>2026-08-02</t>
        </is>
      </c>
    </row>
    <row r="561" ht="42" customHeight="1">
      <c r="A561" s="29" t="inlineStr">
        <is>
          <t>BLYP-28-001</t>
        </is>
      </c>
      <c r="B561" s="29" t="inlineStr"/>
      <c r="C561" s="29" t="inlineStr">
        <is>
          <t>Invites and community growth</t>
        </is>
      </c>
      <c r="D561" s="29" t="n">
        <v>28</v>
      </c>
      <c r="E561" s="29" t="n">
        <v>1</v>
      </c>
      <c r="F561" s="29" t="inlineStr">
        <is>
          <t>Feature</t>
        </is>
      </c>
      <c r="G561" s="29" t="inlineStr">
        <is>
          <t>System share sheet</t>
        </is>
      </c>
      <c r="H561" s="29" t="inlineStr">
        <is>
          <t>System share sheet</t>
        </is>
      </c>
      <c r="I561" s="29" t="inlineStr">
        <is>
          <t>/home/ubuntu/blyp_product_requirements.md :: Section 28 — Invites and community growth</t>
        </is>
      </c>
      <c r="J561" s="29" t="inlineStr">
        <is>
          <t>/home/ubuntu/BLYP_COMPLETE_FEATURE_LIST.md:710</t>
        </is>
      </c>
      <c r="K561" s="29" t="inlineStr">
        <is>
          <t>Required</t>
        </is>
      </c>
      <c r="L561" s="29" t="inlineStr">
        <is>
          <t>Applicable BLYP member</t>
        </is>
      </c>
      <c r="M561" s="29" t="inlineStr">
        <is>
          <t>BLYP mobile application and supporting production services</t>
        </is>
      </c>
      <c r="N561" s="29" t="inlineStr">
        <is>
          <t>System share sheet</t>
        </is>
      </c>
      <c r="O561" s="29" t="inlineStr">
        <is>
          <t>Not explicitly defined in the product source; requires accountable product approval before production sign-off.</t>
        </is>
      </c>
      <c r="P561" s="29" t="inlineStr">
        <is>
          <t>Operating-system share sheet; No special sharing permission required in reviewed Expo configuration</t>
        </is>
      </c>
      <c r="Q561" s="29" t="inlineStr">
        <is>
          <t>Yes</t>
        </is>
      </c>
      <c r="R561" s="29" t="inlineStr"/>
      <c r="S561" s="29" t="inlineStr">
        <is>
          <t>End-to-end present</t>
        </is>
      </c>
      <c r="T561" s="29" t="inlineStr">
        <is>
          <t>Media viewer share action</t>
        </is>
      </c>
      <c r="U561" s="29" t="inlineStr">
        <is>
          <t>src/screens/MediaViewerScreen.js</t>
        </is>
      </c>
      <c r="V561" s="29" t="inlineStr">
        <is>
          <t>React Native Share API</t>
        </is>
      </c>
      <c r="W561" s="29" t="inlineStr"/>
      <c r="X561" s="29" t="inlineStr"/>
      <c r="Y561" s="29" t="inlineStr"/>
      <c r="Z561" s="29" t="inlineStr">
        <is>
          <t>Operating-system share sheet</t>
        </is>
      </c>
      <c r="AA561" s="29" t="inlineStr">
        <is>
          <t>No special sharing permission required in reviewed Expo configuration</t>
        </is>
      </c>
      <c r="AB561" s="29" t="inlineStr">
        <is>
          <t>Expo mobile application</t>
        </is>
      </c>
      <c r="AC561" s="29" t="inlineStr"/>
      <c r="AD561" s="29" t="inlineStr">
        <is>
          <t>The user presses share on a media post; the app constructs message and URL metadata and invokes the operating-system share sheet.</t>
        </is>
      </c>
      <c r="AE561" s="29" t="inlineStr">
        <is>
          <t>User reachable</t>
        </is>
      </c>
      <c r="AF561" s="29" t="inlineStr">
        <is>
          <t>Media viewer share action; The user presses share on a media post; the app constructs message and URL metadata and invokes the operating-system share sheet.</t>
        </is>
      </c>
      <c r="AG561" s="29" t="inlineStr">
        <is>
          <t>Complete against stated requirement</t>
        </is>
      </c>
      <c r="AH561" s="29" t="inlineStr">
        <is>
          <t>Yes</t>
        </is>
      </c>
      <c r="AI561" s="29" t="inlineStr">
        <is>
          <t>Source traced only; no final-binary physical-device observation, cancellation/error acceptance test or platform-specific metadata validation.</t>
        </is>
      </c>
      <c r="AJ561" s="29" t="inlineStr">
        <is>
          <t>Source traced</t>
        </is>
      </c>
      <c r="AK561" s="29" t="inlineStr">
        <is>
          <t>EV-28-0001</t>
        </is>
      </c>
      <c r="AL561" s="29" t="inlineStr"/>
      <c r="AM561" s="29" t="inlineStr"/>
      <c r="AN561" s="29" t="inlineStr"/>
      <c r="AO561" s="29" t="inlineStr">
        <is>
          <t>8bc0dcb2a1da1b21368c5536aaeef829d587f316</t>
        </is>
      </c>
      <c r="AP561" s="29" t="inlineStr">
        <is>
          <t>High</t>
        </is>
      </c>
      <c r="AQ561" s="29" t="inlineStr">
        <is>
          <t>Not assessed</t>
        </is>
      </c>
      <c r="AR561" s="29" t="inlineStr">
        <is>
          <t>Not assessed</t>
        </is>
      </c>
      <c r="AS561" s="29" t="inlineStr">
        <is>
          <t>Not assessed</t>
        </is>
      </c>
      <c r="AT561" s="29" t="inlineStr">
        <is>
          <t>Not assessed</t>
        </is>
      </c>
      <c r="AU561" s="29" t="inlineStr">
        <is>
          <t>Not assessed</t>
        </is>
      </c>
      <c r="AV561" s="29" t="inlineStr">
        <is>
          <t>Not assessed</t>
        </is>
      </c>
      <c r="AW561" s="29" t="inlineStr">
        <is>
          <t>Not assessed</t>
        </is>
      </c>
      <c r="AX561" s="29" t="inlineStr">
        <is>
          <t>Not assessed</t>
        </is>
      </c>
      <c r="AY561" s="29" t="inlineStr">
        <is>
          <t>Not assessed</t>
        </is>
      </c>
      <c r="AZ561" s="29" t="inlineStr">
        <is>
          <t>Not assessed</t>
        </is>
      </c>
      <c r="BA561" s="29" t="inlineStr">
        <is>
          <t>Not assessed</t>
        </is>
      </c>
      <c r="BB561" s="29" t="inlineStr">
        <is>
          <t>Not assessed</t>
        </is>
      </c>
      <c r="BC561" s="29" t="inlineStr">
        <is>
          <t>Not assessed</t>
        </is>
      </c>
      <c r="BD561" s="29" t="inlineStr">
        <is>
          <t>Not assessed</t>
        </is>
      </c>
      <c r="BE561" s="29" t="inlineStr">
        <is>
          <t>Ready for production validation</t>
        </is>
      </c>
      <c r="BF561" s="29" t="inlineStr">
        <is>
          <t>Final Android and iOS release-candidate behaviour has not been observed.; Applicable production gates and acceptance checks have not been completed on an approved release candidate.</t>
        </is>
      </c>
      <c r="BG561" s="29" t="inlineStr">
        <is>
          <t>Run share, cancel and target-app tests on supported physical devices using the final production binary.</t>
        </is>
      </c>
      <c r="BH561" s="29" t="inlineStr"/>
      <c r="BI561" s="29" t="inlineStr"/>
      <c r="BJ561" s="29" t="inlineStr"/>
      <c r="BK561" s="29" t="inlineStr">
        <is>
          <t>Evidence reconciled against the reviewed source revision. No production approval is inferred from implementation or file presence.</t>
        </is>
      </c>
      <c r="BL561" s="29" t="inlineStr">
        <is>
          <t>2026-08-02</t>
        </is>
      </c>
    </row>
    <row r="562" ht="42" customHeight="1">
      <c r="A562" s="29" t="inlineStr">
        <is>
          <t>BLYP-28-002</t>
        </is>
      </c>
      <c r="B562" s="29" t="inlineStr"/>
      <c r="C562" s="29" t="inlineStr">
        <is>
          <t>Invites and community growth</t>
        </is>
      </c>
      <c r="D562" s="29" t="n">
        <v>28</v>
      </c>
      <c r="E562" s="29" t="n">
        <v>2</v>
      </c>
      <c r="F562" s="29" t="inlineStr">
        <is>
          <t>Feature</t>
        </is>
      </c>
      <c r="G562" s="29" t="inlineStr">
        <is>
          <t>Share metadata</t>
        </is>
      </c>
      <c r="H562" s="29" t="inlineStr">
        <is>
          <t>Share metadata</t>
        </is>
      </c>
      <c r="I562" s="29" t="inlineStr">
        <is>
          <t>/home/ubuntu/blyp_product_requirements.md :: Section 28 — Invites and community growth</t>
        </is>
      </c>
      <c r="J562" s="29" t="inlineStr">
        <is>
          <t>/home/ubuntu/BLYP_COMPLETE_FEATURE_LIST.md:711</t>
        </is>
      </c>
      <c r="K562" s="29" t="inlineStr">
        <is>
          <t>Required</t>
        </is>
      </c>
      <c r="L562" s="29" t="inlineStr">
        <is>
          <t>Applicable BLYP member</t>
        </is>
      </c>
      <c r="M562" s="29" t="inlineStr">
        <is>
          <t>BLYP mobile application and supporting production services</t>
        </is>
      </c>
      <c r="N562" s="29" t="inlineStr">
        <is>
          <t>Share metadata</t>
        </is>
      </c>
      <c r="O562" s="29" t="inlineStr">
        <is>
          <t>Not explicitly defined in the product source; requires accountable product approval before production sign-off.</t>
        </is>
      </c>
      <c r="P562" s="29" t="inlineStr"/>
      <c r="Q562" s="29" t="inlineStr">
        <is>
          <t>Yes</t>
        </is>
      </c>
      <c r="R562" s="29" t="inlineStr"/>
      <c r="S562" s="29" t="inlineStr">
        <is>
          <t>Partial</t>
        </is>
      </c>
      <c r="T562" s="29" t="inlineStr"/>
      <c r="U562" s="29" t="inlineStr">
        <is>
          <t>src/screens/MediaViewerScreen.js</t>
        </is>
      </c>
      <c r="V562" s="29" t="inlineStr">
        <is>
          <t>React Native Share API</t>
        </is>
      </c>
      <c r="W562" s="29" t="inlineStr"/>
      <c r="X562" s="29" t="inlineStr"/>
      <c r="Y562" s="29" t="inlineStr"/>
      <c r="Z562" s="29" t="inlineStr"/>
      <c r="AA562" s="29" t="inlineStr"/>
      <c r="AB562" s="29" t="inlineStr"/>
      <c r="AC562" s="29" t="inlineStr"/>
      <c r="AD562" s="29" t="inlineStr">
        <is>
          <t>The media viewer creates a text message and attaches one available image, video or media URL.</t>
        </is>
      </c>
      <c r="AE562" s="29" t="inlineStr">
        <is>
          <t>User reachable</t>
        </is>
      </c>
      <c r="AF562" s="29" t="inlineStr">
        <is>
          <t>The media viewer creates a text message and attaches one available image, video or media URL.</t>
        </is>
      </c>
      <c r="AG562" s="29" t="inlineStr">
        <is>
          <t>Incomplete</t>
        </is>
      </c>
      <c r="AH562" s="29" t="inlineStr">
        <is>
          <t>No</t>
        </is>
      </c>
      <c r="AI562" s="29" t="inlineStr">
        <is>
          <t>No canonical Blyp content URL, Open Graph/App Link metadata, content identifier, fallback web route or destination-specific preview was found.</t>
        </is>
      </c>
      <c r="AJ562" s="29" t="inlineStr">
        <is>
          <t>Source traced</t>
        </is>
      </c>
      <c r="AK562" s="29" t="inlineStr">
        <is>
          <t>EV-28-0001</t>
        </is>
      </c>
      <c r="AL562" s="29" t="inlineStr"/>
      <c r="AM562" s="29" t="inlineStr"/>
      <c r="AN562" s="29" t="inlineStr"/>
      <c r="AO562" s="29" t="inlineStr">
        <is>
          <t>8bc0dcb2a1da1b21368c5536aaeef829d587f316</t>
        </is>
      </c>
      <c r="AP562" s="29" t="inlineStr">
        <is>
          <t>High</t>
        </is>
      </c>
      <c r="AQ562" s="29" t="inlineStr">
        <is>
          <t>Not assessed</t>
        </is>
      </c>
      <c r="AR562" s="29" t="inlineStr">
        <is>
          <t>Not assessed</t>
        </is>
      </c>
      <c r="AS562" s="29" t="inlineStr">
        <is>
          <t>Fail</t>
        </is>
      </c>
      <c r="AT562" s="29" t="inlineStr">
        <is>
          <t>Not assessed</t>
        </is>
      </c>
      <c r="AU562" s="29" t="inlineStr">
        <is>
          <t>Not assessed</t>
        </is>
      </c>
      <c r="AV562" s="29" t="inlineStr">
        <is>
          <t>Not assessed</t>
        </is>
      </c>
      <c r="AW562" s="29" t="inlineStr">
        <is>
          <t>Not assessed</t>
        </is>
      </c>
      <c r="AX562" s="29" t="inlineStr">
        <is>
          <t>Not assessed</t>
        </is>
      </c>
      <c r="AY562" s="29" t="inlineStr">
        <is>
          <t>Not assessed</t>
        </is>
      </c>
      <c r="AZ562" s="29" t="inlineStr">
        <is>
          <t>Not assessed</t>
        </is>
      </c>
      <c r="BA562" s="29" t="inlineStr">
        <is>
          <t>Not assessed</t>
        </is>
      </c>
      <c r="BB562" s="29" t="inlineStr">
        <is>
          <t>Not assessed</t>
        </is>
      </c>
      <c r="BC562" s="29" t="inlineStr">
        <is>
          <t>Not assessed</t>
        </is>
      </c>
      <c r="BD562" s="29" t="inlineStr">
        <is>
          <t>Not assessed</t>
        </is>
      </c>
      <c r="BE562" s="29" t="inlineStr">
        <is>
          <t>Development required</t>
        </is>
      </c>
      <c r="BF562" s="29" t="inlineStr">
        <is>
          <t>No verified end-to-end implementation or release-candidate evidence.; Physical implementation is not complete against the stated requirement.; No canonical Blyp content URL, Open Graph/App Link metadata, content identifier, fallback web route or destination-specific preview was found.</t>
        </is>
      </c>
      <c r="BG562" s="29" t="inlineStr">
        <is>
          <t>Confirm product acceptance criteria, trace any implementation outside the reviewed repository, and verify the final production build and configuration.</t>
        </is>
      </c>
      <c r="BH562" s="29" t="inlineStr"/>
      <c r="BI562" s="29" t="inlineStr"/>
      <c r="BJ562" s="29" t="inlineStr"/>
      <c r="BK562" s="29" t="inlineStr">
        <is>
          <t>Evidence reconciled against the reviewed source revision. No production approval is inferred from implementation or file presence.</t>
        </is>
      </c>
      <c r="BL562" s="29" t="inlineStr">
        <is>
          <t>2026-08-02</t>
        </is>
      </c>
    </row>
    <row r="563" ht="42" customHeight="1">
      <c r="A563" s="29" t="inlineStr">
        <is>
          <t>BLYP-28-003</t>
        </is>
      </c>
      <c r="B563" s="29" t="inlineStr"/>
      <c r="C563" s="29" t="inlineStr">
        <is>
          <t>Invites and community growth</t>
        </is>
      </c>
      <c r="D563" s="29" t="n">
        <v>28</v>
      </c>
      <c r="E563" s="29" t="n">
        <v>3</v>
      </c>
      <c r="F563" s="29" t="inlineStr">
        <is>
          <t>Feature</t>
        </is>
      </c>
      <c r="G563" s="29" t="inlineStr">
        <is>
          <t>Deep-link hooks</t>
        </is>
      </c>
      <c r="H563" s="29" t="inlineStr">
        <is>
          <t>Deep-link hooks</t>
        </is>
      </c>
      <c r="I563" s="29" t="inlineStr">
        <is>
          <t>/home/ubuntu/blyp_product_requirements.md :: Section 28 — Invites and community growth</t>
        </is>
      </c>
      <c r="J563" s="29" t="inlineStr">
        <is>
          <t>/home/ubuntu/BLYP_COMPLETE_FEATURE_LIST.md:712</t>
        </is>
      </c>
      <c r="K563" s="29" t="inlineStr">
        <is>
          <t>Required</t>
        </is>
      </c>
      <c r="L563" s="29" t="inlineStr">
        <is>
          <t>Applicable BLYP member</t>
        </is>
      </c>
      <c r="M563" s="29" t="inlineStr">
        <is>
          <t>BLYP mobile application and supporting production services</t>
        </is>
      </c>
      <c r="N563" s="29" t="inlineStr">
        <is>
          <t>Deep-link hooks</t>
        </is>
      </c>
      <c r="O563" s="29" t="inlineStr">
        <is>
          <t>Not explicitly defined in the product source; requires accountable product approval before production sign-off.</t>
        </is>
      </c>
      <c r="P563" s="29" t="inlineStr">
        <is>
          <t>Expo scheme: blyp</t>
        </is>
      </c>
      <c r="Q563" s="29" t="inlineStr">
        <is>
          <t>Scaffold only</t>
        </is>
      </c>
      <c r="R563" s="29" t="inlineStr"/>
      <c r="S563" s="29" t="inlineStr">
        <is>
          <t>Scaffold only</t>
        </is>
      </c>
      <c r="T563" s="29" t="inlineStr"/>
      <c r="U563" s="29" t="inlineStr"/>
      <c r="V563" s="29" t="inlineStr"/>
      <c r="W563" s="29" t="inlineStr"/>
      <c r="X563" s="29" t="inlineStr"/>
      <c r="Y563" s="29" t="inlineStr"/>
      <c r="Z563" s="29" t="inlineStr"/>
      <c r="AA563" s="29" t="inlineStr">
        <is>
          <t>Expo scheme: blyp</t>
        </is>
      </c>
      <c r="AB563" s="29" t="inlineStr">
        <is>
          <t>Expo mobile application</t>
        </is>
      </c>
      <c r="AC563" s="29" t="inlineStr"/>
      <c r="AD563" s="29" t="inlineStr">
        <is>
          <t>The application package declares a custom URL scheme, but no route parser, destination resolver or deferred post-auth return path was found.</t>
        </is>
      </c>
      <c r="AE563" s="29" t="inlineStr">
        <is>
          <t>Not wired</t>
        </is>
      </c>
      <c r="AF563" s="29" t="inlineStr">
        <is>
          <t>The application package declares a custom URL scheme, but no route parser, destination resolver or deferred post-auth return path was found.</t>
        </is>
      </c>
      <c r="AG563" s="29" t="inlineStr">
        <is>
          <t>Incomplete</t>
        </is>
      </c>
      <c r="AH563" s="29" t="inlineStr">
        <is>
          <t>No</t>
        </is>
      </c>
      <c r="AI563" s="29" t="inlineStr">
        <is>
          <t>No universal/app links, navigation mapping, install fallback, deferred deep link, authorization check or destination-return test.</t>
        </is>
      </c>
      <c r="AJ563" s="29" t="inlineStr">
        <is>
          <t>Source traced</t>
        </is>
      </c>
      <c r="AK563" s="29" t="inlineStr">
        <is>
          <t>EV-28-0002</t>
        </is>
      </c>
      <c r="AL563" s="29" t="inlineStr"/>
      <c r="AM563" s="29" t="inlineStr"/>
      <c r="AN563" s="29" t="inlineStr"/>
      <c r="AO563" s="29" t="inlineStr">
        <is>
          <t>8bc0dcb2a1da1b21368c5536aaeef829d587f316</t>
        </is>
      </c>
      <c r="AP563" s="29" t="inlineStr">
        <is>
          <t>Medium</t>
        </is>
      </c>
      <c r="AQ563" s="29" t="inlineStr">
        <is>
          <t>Not assessed</t>
        </is>
      </c>
      <c r="AR563" s="29" t="inlineStr">
        <is>
          <t>Not assessed</t>
        </is>
      </c>
      <c r="AS563" s="29" t="inlineStr">
        <is>
          <t>Fail</t>
        </is>
      </c>
      <c r="AT563" s="29" t="inlineStr">
        <is>
          <t>Not assessed</t>
        </is>
      </c>
      <c r="AU563" s="29" t="inlineStr">
        <is>
          <t>Not assessed</t>
        </is>
      </c>
      <c r="AV563" s="29" t="inlineStr">
        <is>
          <t>Not assessed</t>
        </is>
      </c>
      <c r="AW563" s="29" t="inlineStr">
        <is>
          <t>Not assessed</t>
        </is>
      </c>
      <c r="AX563" s="29" t="inlineStr">
        <is>
          <t>Not assessed</t>
        </is>
      </c>
      <c r="AY563" s="29" t="inlineStr">
        <is>
          <t>Not assessed</t>
        </is>
      </c>
      <c r="AZ563" s="29" t="inlineStr">
        <is>
          <t>Not assessed</t>
        </is>
      </c>
      <c r="BA563" s="29" t="inlineStr">
        <is>
          <t>Not assessed</t>
        </is>
      </c>
      <c r="BB563" s="29" t="inlineStr">
        <is>
          <t>Not assessed</t>
        </is>
      </c>
      <c r="BC563" s="29" t="inlineStr">
        <is>
          <t>Not assessed</t>
        </is>
      </c>
      <c r="BD563" s="29" t="inlineStr">
        <is>
          <t>Not assessed</t>
        </is>
      </c>
      <c r="BE563" s="29" t="inlineStr">
        <is>
          <t>Development required</t>
        </is>
      </c>
      <c r="BF563" s="29" t="inlineStr">
        <is>
          <t>No verified end-to-end implementation or release-candidate evidence.; Physical implementation is not complete against the stated requirement.; No universal/app links, navigation mapping, install fallback, deferred deep link, authorization check or destination-return test.</t>
        </is>
      </c>
      <c r="BG563" s="29" t="inlineStr">
        <is>
          <t>Confirm product acceptance criteria, trace any implementation outside the reviewed repository, and verify the final production build and configuration.</t>
        </is>
      </c>
      <c r="BH563" s="29" t="inlineStr"/>
      <c r="BI563" s="29" t="inlineStr"/>
      <c r="BJ563" s="29" t="inlineStr"/>
      <c r="BK563" s="29" t="inlineStr">
        <is>
          <t>Evidence reconciled against the reviewed source revision. No production approval is inferred from implementation or file presence.</t>
        </is>
      </c>
      <c r="BL563" s="29" t="inlineStr">
        <is>
          <t>2026-08-02</t>
        </is>
      </c>
    </row>
    <row r="564" ht="42" customHeight="1">
      <c r="A564" s="29" t="inlineStr">
        <is>
          <t>BLYP-28-004</t>
        </is>
      </c>
      <c r="B564" s="29" t="inlineStr"/>
      <c r="C564" s="29" t="inlineStr">
        <is>
          <t>Invites and community growth</t>
        </is>
      </c>
      <c r="D564" s="29" t="n">
        <v>28</v>
      </c>
      <c r="E564" s="29" t="n">
        <v>4</v>
      </c>
      <c r="F564" s="29" t="inlineStr">
        <is>
          <t>Feature</t>
        </is>
      </c>
      <c r="G564" s="29" t="inlineStr">
        <is>
          <t>Invite link to a profile</t>
        </is>
      </c>
      <c r="H564" s="29" t="inlineStr">
        <is>
          <t>Invite link to a profile</t>
        </is>
      </c>
      <c r="I564" s="29" t="inlineStr">
        <is>
          <t>/home/ubuntu/blyp_product_requirements.md :: Section 28 — Invites and community growth</t>
        </is>
      </c>
      <c r="J564" s="29" t="inlineStr">
        <is>
          <t>/home/ubuntu/BLYP_COMPLETE_FEATURE_LIST.md:713</t>
        </is>
      </c>
      <c r="K564" s="29" t="inlineStr">
        <is>
          <t>Required</t>
        </is>
      </c>
      <c r="L564" s="29" t="inlineStr">
        <is>
          <t>Applicable BLYP member</t>
        </is>
      </c>
      <c r="M564" s="29" t="inlineStr">
        <is>
          <t>BLYP mobile application and supporting production services</t>
        </is>
      </c>
      <c r="N564" s="29" t="inlineStr">
        <is>
          <t>Invite link to a profile</t>
        </is>
      </c>
      <c r="O564" s="29" t="inlineStr">
        <is>
          <t>Not explicitly defined in the product source; requires accountable product approval before production sign-off.</t>
        </is>
      </c>
      <c r="P564" s="29" t="inlineStr"/>
      <c r="Q564" s="29" t="inlineStr">
        <is>
          <t>No evidence</t>
        </is>
      </c>
      <c r="R564" s="29" t="inlineStr"/>
      <c r="S564" s="29" t="inlineStr">
        <is>
          <t>Not found</t>
        </is>
      </c>
      <c r="T564" s="29" t="inlineStr"/>
      <c r="U564" s="29" t="inlineStr"/>
      <c r="V564" s="29" t="inlineStr"/>
      <c r="W564" s="29" t="inlineStr"/>
      <c r="X564" s="29" t="inlineStr"/>
      <c r="Y564" s="29" t="inlineStr"/>
      <c r="Z564" s="29" t="inlineStr"/>
      <c r="AA564" s="29" t="inlineStr"/>
      <c r="AB564" s="29" t="inlineStr"/>
      <c r="AC564" s="29" t="inlineStr"/>
      <c r="AD564" s="29" t="inlineStr"/>
      <c r="AE564" s="29" t="inlineStr">
        <is>
          <t>Unknown</t>
        </is>
      </c>
      <c r="AF564" s="29" t="inlineStr"/>
      <c r="AG564" s="29" t="inlineStr">
        <is>
          <t>Not started</t>
        </is>
      </c>
      <c r="AH564" s="29" t="inlineStr">
        <is>
          <t>No</t>
        </is>
      </c>
      <c r="AI564" s="29" t="inlineStr">
        <is>
          <t>No implementation matching “Invite link to a profile” was found in the reviewed source snapshot; absence has not been verified against a deployed runtime.</t>
        </is>
      </c>
      <c r="AJ564" s="29" t="inlineStr">
        <is>
          <t>Not verified</t>
        </is>
      </c>
      <c r="AK564" s="29" t="inlineStr"/>
      <c r="AL564" s="29" t="inlineStr"/>
      <c r="AM564" s="29" t="inlineStr"/>
      <c r="AN564" s="29" t="inlineStr"/>
      <c r="AO564" s="29" t="inlineStr">
        <is>
          <t>8bc0dcb2a1da1b21368c5536aaeef829d587f316</t>
        </is>
      </c>
      <c r="AP564" s="29" t="inlineStr">
        <is>
          <t>Low</t>
        </is>
      </c>
      <c r="AQ564" s="29" t="inlineStr">
        <is>
          <t>Not assessed</t>
        </is>
      </c>
      <c r="AR564" s="29" t="inlineStr">
        <is>
          <t>Not assessed</t>
        </is>
      </c>
      <c r="AS564" s="29" t="inlineStr">
        <is>
          <t>Fail</t>
        </is>
      </c>
      <c r="AT564" s="29" t="inlineStr">
        <is>
          <t>Not assessed</t>
        </is>
      </c>
      <c r="AU564" s="29" t="inlineStr">
        <is>
          <t>Not assessed</t>
        </is>
      </c>
      <c r="AV564" s="29" t="inlineStr">
        <is>
          <t>Not assessed</t>
        </is>
      </c>
      <c r="AW564" s="29" t="inlineStr">
        <is>
          <t>Not assessed</t>
        </is>
      </c>
      <c r="AX564" s="29" t="inlineStr">
        <is>
          <t>Not assessed</t>
        </is>
      </c>
      <c r="AY564" s="29" t="inlineStr">
        <is>
          <t>Not assessed</t>
        </is>
      </c>
      <c r="AZ564" s="29" t="inlineStr">
        <is>
          <t>Not assessed</t>
        </is>
      </c>
      <c r="BA564" s="29" t="inlineStr">
        <is>
          <t>Not assessed</t>
        </is>
      </c>
      <c r="BB564" s="29" t="inlineStr">
        <is>
          <t>Not assessed</t>
        </is>
      </c>
      <c r="BC564" s="29" t="inlineStr">
        <is>
          <t>Not assessed</t>
        </is>
      </c>
      <c r="BD564" s="29" t="inlineStr">
        <is>
          <t>Not assessed</t>
        </is>
      </c>
      <c r="BE564" s="29" t="inlineStr">
        <is>
          <t>Development required</t>
        </is>
      </c>
      <c r="BF564" s="29" t="inlineStr">
        <is>
          <t>No verified end-to-end implementation or release-candidate evidence.; Physical implementation is not complete against the stated requirement.; No implementation matching “Invite link to a profile” was found in the reviewed source snapshot; absence has not been verified against a deployed runtime.</t>
        </is>
      </c>
      <c r="BG564" s="29" t="inlineStr">
        <is>
          <t>Confirm product acceptance criteria, trace any implementation outside the reviewed repository, and verify the final production build and configuration.</t>
        </is>
      </c>
      <c r="BH564" s="29" t="inlineStr"/>
      <c r="BI564" s="29" t="inlineStr"/>
      <c r="BJ564" s="29" t="inlineStr"/>
      <c r="BK564" s="29" t="inlineStr">
        <is>
          <t>Evidence reconciled against the reviewed source revision. No production approval is inferred from implementation or file presence.</t>
        </is>
      </c>
      <c r="BL564" s="29" t="inlineStr">
        <is>
          <t>2026-08-02</t>
        </is>
      </c>
    </row>
    <row r="565" ht="42" customHeight="1">
      <c r="A565" s="29" t="inlineStr">
        <is>
          <t>BLYP-28-005</t>
        </is>
      </c>
      <c r="B565" s="29" t="inlineStr"/>
      <c r="C565" s="29" t="inlineStr">
        <is>
          <t>Invites and community growth</t>
        </is>
      </c>
      <c r="D565" s="29" t="n">
        <v>28</v>
      </c>
      <c r="E565" s="29" t="n">
        <v>5</v>
      </c>
      <c r="F565" s="29" t="inlineStr">
        <is>
          <t>Feature</t>
        </is>
      </c>
      <c r="G565" s="29" t="inlineStr">
        <is>
          <t>Invite link to a Team</t>
        </is>
      </c>
      <c r="H565" s="29" t="inlineStr">
        <is>
          <t>Invite link to a Team</t>
        </is>
      </c>
      <c r="I565" s="29" t="inlineStr">
        <is>
          <t>/home/ubuntu/blyp_product_requirements.md :: Section 28 — Invites and community growth</t>
        </is>
      </c>
      <c r="J565" s="29" t="inlineStr">
        <is>
          <t>/home/ubuntu/BLYP_COMPLETE_FEATURE_LIST.md:714</t>
        </is>
      </c>
      <c r="K565" s="29" t="inlineStr">
        <is>
          <t>Required</t>
        </is>
      </c>
      <c r="L565" s="29" t="inlineStr">
        <is>
          <t>Applicable BLYP member</t>
        </is>
      </c>
      <c r="M565" s="29" t="inlineStr">
        <is>
          <t>BLYP mobile application and supporting production services</t>
        </is>
      </c>
      <c r="N565" s="29" t="inlineStr">
        <is>
          <t>Invite link to a Team</t>
        </is>
      </c>
      <c r="O565" s="29" t="inlineStr">
        <is>
          <t>Not explicitly defined in the product source; requires accountable product approval before production sign-off.</t>
        </is>
      </c>
      <c r="P565" s="29" t="inlineStr"/>
      <c r="Q565" s="29" t="inlineStr">
        <is>
          <t>No evidence</t>
        </is>
      </c>
      <c r="R565" s="29" t="inlineStr"/>
      <c r="S565" s="29" t="inlineStr">
        <is>
          <t>Not found</t>
        </is>
      </c>
      <c r="T565" s="29" t="inlineStr"/>
      <c r="U565" s="29" t="inlineStr"/>
      <c r="V565" s="29" t="inlineStr"/>
      <c r="W565" s="29" t="inlineStr"/>
      <c r="X565" s="29" t="inlineStr"/>
      <c r="Y565" s="29" t="inlineStr"/>
      <c r="Z565" s="29" t="inlineStr"/>
      <c r="AA565" s="29" t="inlineStr"/>
      <c r="AB565" s="29" t="inlineStr"/>
      <c r="AC565" s="29" t="inlineStr"/>
      <c r="AD565" s="29" t="inlineStr"/>
      <c r="AE565" s="29" t="inlineStr">
        <is>
          <t>Unknown</t>
        </is>
      </c>
      <c r="AF565" s="29" t="inlineStr"/>
      <c r="AG565" s="29" t="inlineStr">
        <is>
          <t>Not started</t>
        </is>
      </c>
      <c r="AH565" s="29" t="inlineStr">
        <is>
          <t>No</t>
        </is>
      </c>
      <c r="AI565" s="29" t="inlineStr">
        <is>
          <t>No implementation matching “Invite link to a Team” was found in the reviewed source snapshot; absence has not been verified against a deployed runtime.</t>
        </is>
      </c>
      <c r="AJ565" s="29" t="inlineStr">
        <is>
          <t>Not verified</t>
        </is>
      </c>
      <c r="AK565" s="29" t="inlineStr"/>
      <c r="AL565" s="29" t="inlineStr"/>
      <c r="AM565" s="29" t="inlineStr"/>
      <c r="AN565" s="29" t="inlineStr"/>
      <c r="AO565" s="29" t="inlineStr">
        <is>
          <t>8bc0dcb2a1da1b21368c5536aaeef829d587f316</t>
        </is>
      </c>
      <c r="AP565" s="29" t="inlineStr">
        <is>
          <t>Low</t>
        </is>
      </c>
      <c r="AQ565" s="29" t="inlineStr">
        <is>
          <t>Not assessed</t>
        </is>
      </c>
      <c r="AR565" s="29" t="inlineStr">
        <is>
          <t>Not assessed</t>
        </is>
      </c>
      <c r="AS565" s="29" t="inlineStr">
        <is>
          <t>Fail</t>
        </is>
      </c>
      <c r="AT565" s="29" t="inlineStr">
        <is>
          <t>Not assessed</t>
        </is>
      </c>
      <c r="AU565" s="29" t="inlineStr">
        <is>
          <t>Not assessed</t>
        </is>
      </c>
      <c r="AV565" s="29" t="inlineStr">
        <is>
          <t>Not assessed</t>
        </is>
      </c>
      <c r="AW565" s="29" t="inlineStr">
        <is>
          <t>Not assessed</t>
        </is>
      </c>
      <c r="AX565" s="29" t="inlineStr">
        <is>
          <t>Not assessed</t>
        </is>
      </c>
      <c r="AY565" s="29" t="inlineStr">
        <is>
          <t>Not assessed</t>
        </is>
      </c>
      <c r="AZ565" s="29" t="inlineStr">
        <is>
          <t>Not assessed</t>
        </is>
      </c>
      <c r="BA565" s="29" t="inlineStr">
        <is>
          <t>Not assessed</t>
        </is>
      </c>
      <c r="BB565" s="29" t="inlineStr">
        <is>
          <t>Not assessed</t>
        </is>
      </c>
      <c r="BC565" s="29" t="inlineStr">
        <is>
          <t>Not assessed</t>
        </is>
      </c>
      <c r="BD565" s="29" t="inlineStr">
        <is>
          <t>Not assessed</t>
        </is>
      </c>
      <c r="BE565" s="29" t="inlineStr">
        <is>
          <t>Development required</t>
        </is>
      </c>
      <c r="BF565" s="29" t="inlineStr">
        <is>
          <t>No verified end-to-end implementation or release-candidate evidence.; Physical implementation is not complete against the stated requirement.; No implementation matching “Invite link to a Team” was found in the reviewed source snapshot; absence has not been verified against a deployed runtime.</t>
        </is>
      </c>
      <c r="BG565" s="29" t="inlineStr">
        <is>
          <t>Confirm product acceptance criteria, trace any implementation outside the reviewed repository, and verify the final production build and configuration.</t>
        </is>
      </c>
      <c r="BH565" s="29" t="inlineStr"/>
      <c r="BI565" s="29" t="inlineStr"/>
      <c r="BJ565" s="29" t="inlineStr"/>
      <c r="BK565" s="29" t="inlineStr">
        <is>
          <t>Evidence reconciled against the reviewed source revision. No production approval is inferred from implementation or file presence.</t>
        </is>
      </c>
      <c r="BL565" s="29" t="inlineStr">
        <is>
          <t>2026-08-02</t>
        </is>
      </c>
    </row>
    <row r="566" ht="42" customHeight="1">
      <c r="A566" s="29" t="inlineStr">
        <is>
          <t>BLYP-28-006</t>
        </is>
      </c>
      <c r="B566" s="29" t="inlineStr"/>
      <c r="C566" s="29" t="inlineStr">
        <is>
          <t>Invites and community growth</t>
        </is>
      </c>
      <c r="D566" s="29" t="n">
        <v>28</v>
      </c>
      <c r="E566" s="29" t="n">
        <v>6</v>
      </c>
      <c r="F566" s="29" t="inlineStr">
        <is>
          <t>Feature</t>
        </is>
      </c>
      <c r="G566" s="29" t="inlineStr">
        <is>
          <t>Invite link to an Interest</t>
        </is>
      </c>
      <c r="H566" s="29" t="inlineStr">
        <is>
          <t>Invite link to an Interest</t>
        </is>
      </c>
      <c r="I566" s="29" t="inlineStr">
        <is>
          <t>/home/ubuntu/blyp_product_requirements.md :: Section 28 — Invites and community growth</t>
        </is>
      </c>
      <c r="J566" s="29" t="inlineStr">
        <is>
          <t>/home/ubuntu/BLYP_COMPLETE_FEATURE_LIST.md:715</t>
        </is>
      </c>
      <c r="K566" s="29" t="inlineStr">
        <is>
          <t>Required</t>
        </is>
      </c>
      <c r="L566" s="29" t="inlineStr">
        <is>
          <t>Applicable BLYP member</t>
        </is>
      </c>
      <c r="M566" s="29" t="inlineStr">
        <is>
          <t>BLYP mobile application and supporting production services</t>
        </is>
      </c>
      <c r="N566" s="29" t="inlineStr">
        <is>
          <t>Invite link to an Interest</t>
        </is>
      </c>
      <c r="O566" s="29" t="inlineStr">
        <is>
          <t>Not explicitly defined in the product source; requires accountable product approval before production sign-off.</t>
        </is>
      </c>
      <c r="P566" s="29" t="inlineStr"/>
      <c r="Q566" s="29" t="inlineStr">
        <is>
          <t>No evidence</t>
        </is>
      </c>
      <c r="R566" s="29" t="inlineStr"/>
      <c r="S566" s="29" t="inlineStr">
        <is>
          <t>Not found</t>
        </is>
      </c>
      <c r="T566" s="29" t="inlineStr"/>
      <c r="U566" s="29" t="inlineStr"/>
      <c r="V566" s="29" t="inlineStr"/>
      <c r="W566" s="29" t="inlineStr"/>
      <c r="X566" s="29" t="inlineStr"/>
      <c r="Y566" s="29" t="inlineStr"/>
      <c r="Z566" s="29" t="inlineStr"/>
      <c r="AA566" s="29" t="inlineStr"/>
      <c r="AB566" s="29" t="inlineStr"/>
      <c r="AC566" s="29" t="inlineStr"/>
      <c r="AD566" s="29" t="inlineStr"/>
      <c r="AE566" s="29" t="inlineStr">
        <is>
          <t>Unknown</t>
        </is>
      </c>
      <c r="AF566" s="29" t="inlineStr"/>
      <c r="AG566" s="29" t="inlineStr">
        <is>
          <t>Not started</t>
        </is>
      </c>
      <c r="AH566" s="29" t="inlineStr">
        <is>
          <t>No</t>
        </is>
      </c>
      <c r="AI566" s="29" t="inlineStr">
        <is>
          <t>No implementation matching “Invite link to an Interest” was found in the reviewed source snapshot; absence has not been verified against a deployed runtime.</t>
        </is>
      </c>
      <c r="AJ566" s="29" t="inlineStr">
        <is>
          <t>Not verified</t>
        </is>
      </c>
      <c r="AK566" s="29" t="inlineStr"/>
      <c r="AL566" s="29" t="inlineStr"/>
      <c r="AM566" s="29" t="inlineStr"/>
      <c r="AN566" s="29" t="inlineStr"/>
      <c r="AO566" s="29" t="inlineStr">
        <is>
          <t>8bc0dcb2a1da1b21368c5536aaeef829d587f316</t>
        </is>
      </c>
      <c r="AP566" s="29" t="inlineStr">
        <is>
          <t>Low</t>
        </is>
      </c>
      <c r="AQ566" s="29" t="inlineStr">
        <is>
          <t>Not assessed</t>
        </is>
      </c>
      <c r="AR566" s="29" t="inlineStr">
        <is>
          <t>Not assessed</t>
        </is>
      </c>
      <c r="AS566" s="29" t="inlineStr">
        <is>
          <t>Fail</t>
        </is>
      </c>
      <c r="AT566" s="29" t="inlineStr">
        <is>
          <t>Not assessed</t>
        </is>
      </c>
      <c r="AU566" s="29" t="inlineStr">
        <is>
          <t>Not assessed</t>
        </is>
      </c>
      <c r="AV566" s="29" t="inlineStr">
        <is>
          <t>Not assessed</t>
        </is>
      </c>
      <c r="AW566" s="29" t="inlineStr">
        <is>
          <t>Not assessed</t>
        </is>
      </c>
      <c r="AX566" s="29" t="inlineStr">
        <is>
          <t>Not assessed</t>
        </is>
      </c>
      <c r="AY566" s="29" t="inlineStr">
        <is>
          <t>Not assessed</t>
        </is>
      </c>
      <c r="AZ566" s="29" t="inlineStr">
        <is>
          <t>Not assessed</t>
        </is>
      </c>
      <c r="BA566" s="29" t="inlineStr">
        <is>
          <t>Not assessed</t>
        </is>
      </c>
      <c r="BB566" s="29" t="inlineStr">
        <is>
          <t>Not assessed</t>
        </is>
      </c>
      <c r="BC566" s="29" t="inlineStr">
        <is>
          <t>Not assessed</t>
        </is>
      </c>
      <c r="BD566" s="29" t="inlineStr">
        <is>
          <t>Not assessed</t>
        </is>
      </c>
      <c r="BE566" s="29" t="inlineStr">
        <is>
          <t>Development required</t>
        </is>
      </c>
      <c r="BF566" s="29" t="inlineStr">
        <is>
          <t>No verified end-to-end implementation or release-candidate evidence.; Physical implementation is not complete against the stated requirement.; No implementation matching “Invite link to an Interest” was found in the reviewed source snapshot; absence has not been verified against a deployed runtime.</t>
        </is>
      </c>
      <c r="BG566" s="29" t="inlineStr">
        <is>
          <t>Confirm product acceptance criteria, trace any implementation outside the reviewed repository, and verify the final production build and configuration.</t>
        </is>
      </c>
      <c r="BH566" s="29" t="inlineStr"/>
      <c r="BI566" s="29" t="inlineStr"/>
      <c r="BJ566" s="29" t="inlineStr"/>
      <c r="BK566" s="29" t="inlineStr">
        <is>
          <t>Evidence reconciled against the reviewed source revision. No production approval is inferred from implementation or file presence.</t>
        </is>
      </c>
      <c r="BL566" s="29" t="inlineStr">
        <is>
          <t>2026-08-02</t>
        </is>
      </c>
    </row>
    <row r="567" ht="42" customHeight="1">
      <c r="A567" s="29" t="inlineStr">
        <is>
          <t>BLYP-28-007</t>
        </is>
      </c>
      <c r="B567" s="29" t="inlineStr"/>
      <c r="C567" s="29" t="inlineStr">
        <is>
          <t>Invites and community growth</t>
        </is>
      </c>
      <c r="D567" s="29" t="n">
        <v>28</v>
      </c>
      <c r="E567" s="29" t="n">
        <v>7</v>
      </c>
      <c r="F567" s="29" t="inlineStr">
        <is>
          <t>Feature</t>
        </is>
      </c>
      <c r="G567" s="29" t="inlineStr">
        <is>
          <t>Invite link to an event</t>
        </is>
      </c>
      <c r="H567" s="29" t="inlineStr">
        <is>
          <t>Invite link to an event</t>
        </is>
      </c>
      <c r="I567" s="29" t="inlineStr">
        <is>
          <t>/home/ubuntu/blyp_product_requirements.md :: Section 28 — Invites and community growth</t>
        </is>
      </c>
      <c r="J567" s="29" t="inlineStr">
        <is>
          <t>/home/ubuntu/BLYP_COMPLETE_FEATURE_LIST.md:716</t>
        </is>
      </c>
      <c r="K567" s="29" t="inlineStr">
        <is>
          <t>Required</t>
        </is>
      </c>
      <c r="L567" s="29" t="inlineStr">
        <is>
          <t>Applicable BLYP member</t>
        </is>
      </c>
      <c r="M567" s="29" t="inlineStr">
        <is>
          <t>BLYP mobile application and supporting production services</t>
        </is>
      </c>
      <c r="N567" s="29" t="inlineStr">
        <is>
          <t>Invite link to an event</t>
        </is>
      </c>
      <c r="O567" s="29" t="inlineStr">
        <is>
          <t>Not explicitly defined in the product source; requires accountable product approval before production sign-off.</t>
        </is>
      </c>
      <c r="P567" s="29" t="inlineStr"/>
      <c r="Q567" s="29" t="inlineStr">
        <is>
          <t>No evidence</t>
        </is>
      </c>
      <c r="R567" s="29" t="inlineStr"/>
      <c r="S567" s="29" t="inlineStr">
        <is>
          <t>Not found</t>
        </is>
      </c>
      <c r="T567" s="29" t="inlineStr"/>
      <c r="U567" s="29" t="inlineStr"/>
      <c r="V567" s="29" t="inlineStr"/>
      <c r="W567" s="29" t="inlineStr"/>
      <c r="X567" s="29" t="inlineStr"/>
      <c r="Y567" s="29" t="inlineStr"/>
      <c r="Z567" s="29" t="inlineStr"/>
      <c r="AA567" s="29" t="inlineStr"/>
      <c r="AB567" s="29" t="inlineStr"/>
      <c r="AC567" s="29" t="inlineStr"/>
      <c r="AD567" s="29" t="inlineStr"/>
      <c r="AE567" s="29" t="inlineStr">
        <is>
          <t>Unknown</t>
        </is>
      </c>
      <c r="AF567" s="29" t="inlineStr"/>
      <c r="AG567" s="29" t="inlineStr">
        <is>
          <t>Not started</t>
        </is>
      </c>
      <c r="AH567" s="29" t="inlineStr">
        <is>
          <t>No</t>
        </is>
      </c>
      <c r="AI567" s="29" t="inlineStr">
        <is>
          <t>No implementation matching “Invite link to an event” was found in the reviewed source snapshot; absence has not been verified against a deployed runtime.</t>
        </is>
      </c>
      <c r="AJ567" s="29" t="inlineStr">
        <is>
          <t>Not verified</t>
        </is>
      </c>
      <c r="AK567" s="29" t="inlineStr"/>
      <c r="AL567" s="29" t="inlineStr"/>
      <c r="AM567" s="29" t="inlineStr"/>
      <c r="AN567" s="29" t="inlineStr"/>
      <c r="AO567" s="29" t="inlineStr">
        <is>
          <t>8bc0dcb2a1da1b21368c5536aaeef829d587f316</t>
        </is>
      </c>
      <c r="AP567" s="29" t="inlineStr">
        <is>
          <t>Low</t>
        </is>
      </c>
      <c r="AQ567" s="29" t="inlineStr">
        <is>
          <t>Not assessed</t>
        </is>
      </c>
      <c r="AR567" s="29" t="inlineStr">
        <is>
          <t>Not assessed</t>
        </is>
      </c>
      <c r="AS567" s="29" t="inlineStr">
        <is>
          <t>Fail</t>
        </is>
      </c>
      <c r="AT567" s="29" t="inlineStr">
        <is>
          <t>Not assessed</t>
        </is>
      </c>
      <c r="AU567" s="29" t="inlineStr">
        <is>
          <t>Not assessed</t>
        </is>
      </c>
      <c r="AV567" s="29" t="inlineStr">
        <is>
          <t>Not assessed</t>
        </is>
      </c>
      <c r="AW567" s="29" t="inlineStr">
        <is>
          <t>Not assessed</t>
        </is>
      </c>
      <c r="AX567" s="29" t="inlineStr">
        <is>
          <t>Not assessed</t>
        </is>
      </c>
      <c r="AY567" s="29" t="inlineStr">
        <is>
          <t>Not assessed</t>
        </is>
      </c>
      <c r="AZ567" s="29" t="inlineStr">
        <is>
          <t>Not assessed</t>
        </is>
      </c>
      <c r="BA567" s="29" t="inlineStr">
        <is>
          <t>Not assessed</t>
        </is>
      </c>
      <c r="BB567" s="29" t="inlineStr">
        <is>
          <t>Not assessed</t>
        </is>
      </c>
      <c r="BC567" s="29" t="inlineStr">
        <is>
          <t>Not assessed</t>
        </is>
      </c>
      <c r="BD567" s="29" t="inlineStr">
        <is>
          <t>Not assessed</t>
        </is>
      </c>
      <c r="BE567" s="29" t="inlineStr">
        <is>
          <t>Development required</t>
        </is>
      </c>
      <c r="BF567" s="29" t="inlineStr">
        <is>
          <t>No verified end-to-end implementation or release-candidate evidence.; Physical implementation is not complete against the stated requirement.; No implementation matching “Invite link to an event” was found in the reviewed source snapshot; absence has not been verified against a deployed runtime.</t>
        </is>
      </c>
      <c r="BG567" s="29" t="inlineStr">
        <is>
          <t>Confirm product acceptance criteria, trace any implementation outside the reviewed repository, and verify the final production build and configuration.</t>
        </is>
      </c>
      <c r="BH567" s="29" t="inlineStr"/>
      <c r="BI567" s="29" t="inlineStr"/>
      <c r="BJ567" s="29" t="inlineStr"/>
      <c r="BK567" s="29" t="inlineStr">
        <is>
          <t>Evidence reconciled against the reviewed source revision. No production approval is inferred from implementation or file presence.</t>
        </is>
      </c>
      <c r="BL567" s="29" t="inlineStr">
        <is>
          <t>2026-08-02</t>
        </is>
      </c>
    </row>
    <row r="568" ht="42" customHeight="1">
      <c r="A568" s="29" t="inlineStr">
        <is>
          <t>BLYP-28-008</t>
        </is>
      </c>
      <c r="B568" s="29" t="inlineStr"/>
      <c r="C568" s="29" t="inlineStr">
        <is>
          <t>Invites and community growth</t>
        </is>
      </c>
      <c r="D568" s="29" t="n">
        <v>28</v>
      </c>
      <c r="E568" s="29" t="n">
        <v>8</v>
      </c>
      <c r="F568" s="29" t="inlineStr">
        <is>
          <t>Feature</t>
        </is>
      </c>
      <c r="G568" s="29" t="inlineStr">
        <is>
          <t>Invite link to a Battle</t>
        </is>
      </c>
      <c r="H568" s="29" t="inlineStr">
        <is>
          <t>Invite link to a Battle</t>
        </is>
      </c>
      <c r="I568" s="29" t="inlineStr">
        <is>
          <t>/home/ubuntu/blyp_product_requirements.md :: Section 28 — Invites and community growth</t>
        </is>
      </c>
      <c r="J568" s="29" t="inlineStr">
        <is>
          <t>/home/ubuntu/BLYP_COMPLETE_FEATURE_LIST.md:717</t>
        </is>
      </c>
      <c r="K568" s="29" t="inlineStr">
        <is>
          <t>Required</t>
        </is>
      </c>
      <c r="L568" s="29" t="inlineStr">
        <is>
          <t>Applicable BLYP member</t>
        </is>
      </c>
      <c r="M568" s="29" t="inlineStr">
        <is>
          <t>BLYP mobile application and supporting production services</t>
        </is>
      </c>
      <c r="N568" s="29" t="inlineStr">
        <is>
          <t>Invite link to a Battle</t>
        </is>
      </c>
      <c r="O568" s="29" t="inlineStr">
        <is>
          <t>Not explicitly defined in the product source; requires accountable product approval before production sign-off.</t>
        </is>
      </c>
      <c r="P568" s="29" t="inlineStr">
        <is>
          <t>Firestore gameRooms and posts collections</t>
        </is>
      </c>
      <c r="Q568" s="29" t="inlineStr">
        <is>
          <t>No evidence</t>
        </is>
      </c>
      <c r="R568" s="29" t="inlineStr"/>
      <c r="S568" s="29" t="inlineStr">
        <is>
          <t>Scaffold only</t>
        </is>
      </c>
      <c r="T568" s="29" t="inlineStr"/>
      <c r="U568" s="29" t="inlineStr">
        <is>
          <t>src/screens/GameRoomScreen.js</t>
        </is>
      </c>
      <c r="V568" s="29" t="inlineStr">
        <is>
          <t>src/services/GameService.js</t>
        </is>
      </c>
      <c r="W568" s="29" t="inlineStr"/>
      <c r="X568" s="29" t="inlineStr">
        <is>
          <t>Firestore gameRooms and posts collections</t>
        </is>
      </c>
      <c r="Y568" s="29" t="inlineStr"/>
      <c r="Z568" s="29" t="inlineStr"/>
      <c r="AA568" s="29" t="inlineStr"/>
      <c r="AB568" s="29" t="inlineStr">
        <is>
          <t>Expo mobile application</t>
        </is>
      </c>
      <c r="AC568" s="29" t="inlineStr"/>
      <c r="AD568" s="29" t="inlineStr">
        <is>
          <t>A game host can press an invite button; public room creation may create a feed post and gameRooms can store invitedUsers. No external battle link is produced.</t>
        </is>
      </c>
      <c r="AE568" s="29" t="inlineStr">
        <is>
          <t>User reachable</t>
        </is>
      </c>
      <c r="AF568" s="29" t="inlineStr">
        <is>
          <t>A game host can press an invite button; public room creation may create a feed post and gameRooms can store invitedUsers. No external battle link is produced.</t>
        </is>
      </c>
      <c r="AG568" s="29" t="inlineStr">
        <is>
          <t>Incomplete</t>
        </is>
      </c>
      <c r="AH568" s="29" t="inlineStr">
        <is>
          <t>No</t>
        </is>
      </c>
      <c r="AI568" s="29" t="inlineStr">
        <is>
          <t>The visible invite handler is an alert only; no signed link, recipient flow, join authorization, expiry, revocation or return destination exists.</t>
        </is>
      </c>
      <c r="AJ568" s="29" t="inlineStr">
        <is>
          <t>Source traced</t>
        </is>
      </c>
      <c r="AK568" s="29" t="inlineStr">
        <is>
          <t>EV-28-0003;EV-28-0004</t>
        </is>
      </c>
      <c r="AL568" s="29" t="inlineStr"/>
      <c r="AM568" s="29" t="inlineStr"/>
      <c r="AN568" s="29" t="inlineStr"/>
      <c r="AO568" s="29" t="inlineStr">
        <is>
          <t>8bc0dcb2a1da1b21368c5536aaeef829d587f316</t>
        </is>
      </c>
      <c r="AP568" s="29" t="inlineStr">
        <is>
          <t>High</t>
        </is>
      </c>
      <c r="AQ568" s="29" t="inlineStr">
        <is>
          <t>Not assessed</t>
        </is>
      </c>
      <c r="AR568" s="29" t="inlineStr">
        <is>
          <t>Not assessed</t>
        </is>
      </c>
      <c r="AS568" s="29" t="inlineStr">
        <is>
          <t>Fail</t>
        </is>
      </c>
      <c r="AT568" s="29" t="inlineStr">
        <is>
          <t>Not assessed</t>
        </is>
      </c>
      <c r="AU568" s="29" t="inlineStr">
        <is>
          <t>Not assessed</t>
        </is>
      </c>
      <c r="AV568" s="29" t="inlineStr">
        <is>
          <t>Not assessed</t>
        </is>
      </c>
      <c r="AW568" s="29" t="inlineStr">
        <is>
          <t>Not assessed</t>
        </is>
      </c>
      <c r="AX568" s="29" t="inlineStr">
        <is>
          <t>Not assessed</t>
        </is>
      </c>
      <c r="AY568" s="29" t="inlineStr">
        <is>
          <t>Not assessed</t>
        </is>
      </c>
      <c r="AZ568" s="29" t="inlineStr">
        <is>
          <t>Not assessed</t>
        </is>
      </c>
      <c r="BA568" s="29" t="inlineStr">
        <is>
          <t>Not assessed</t>
        </is>
      </c>
      <c r="BB568" s="29" t="inlineStr">
        <is>
          <t>Not assessed</t>
        </is>
      </c>
      <c r="BC568" s="29" t="inlineStr">
        <is>
          <t>Not assessed</t>
        </is>
      </c>
      <c r="BD568" s="29" t="inlineStr">
        <is>
          <t>Not assessed</t>
        </is>
      </c>
      <c r="BE568" s="29" t="inlineStr">
        <is>
          <t>Development required</t>
        </is>
      </c>
      <c r="BF568" s="29" t="inlineStr">
        <is>
          <t>No verified end-to-end implementation or release-candidate evidence.; Physical implementation is not complete against the stated requirement.; The visible invite handler is an alert only; no signed link, recipient flow, join authorization, expiry, revocation or return destination exists.</t>
        </is>
      </c>
      <c r="BG568" s="29" t="inlineStr">
        <is>
          <t>Confirm product acceptance criteria, trace any implementation outside the reviewed repository, and verify the final production build and configuration.</t>
        </is>
      </c>
      <c r="BH568" s="29" t="inlineStr"/>
      <c r="BI568" s="29" t="inlineStr"/>
      <c r="BJ568" s="29" t="inlineStr"/>
      <c r="BK568" s="29" t="inlineStr">
        <is>
          <t>Evidence reconciled against the reviewed source revision. No production approval is inferred from implementation or file presence.</t>
        </is>
      </c>
      <c r="BL568" s="29" t="inlineStr">
        <is>
          <t>2026-08-02</t>
        </is>
      </c>
    </row>
    <row r="569" ht="42" customHeight="1">
      <c r="A569" s="29" t="inlineStr">
        <is>
          <t>BLYP-28-009</t>
        </is>
      </c>
      <c r="B569" s="29" t="inlineStr"/>
      <c r="C569" s="29" t="inlineStr">
        <is>
          <t>Invites and community growth</t>
        </is>
      </c>
      <c r="D569" s="29" t="n">
        <v>28</v>
      </c>
      <c r="E569" s="29" t="n">
        <v>9</v>
      </c>
      <c r="F569" s="29" t="inlineStr">
        <is>
          <t>Feature</t>
        </is>
      </c>
      <c r="G569" s="29" t="inlineStr">
        <is>
          <t>Invite link to a communal room</t>
        </is>
      </c>
      <c r="H569" s="29" t="inlineStr">
        <is>
          <t>Invite link to a communal room</t>
        </is>
      </c>
      <c r="I569" s="29" t="inlineStr">
        <is>
          <t>/home/ubuntu/blyp_product_requirements.md :: Section 28 — Invites and community growth</t>
        </is>
      </c>
      <c r="J569" s="29" t="inlineStr">
        <is>
          <t>/home/ubuntu/BLYP_COMPLETE_FEATURE_LIST.md:718</t>
        </is>
      </c>
      <c r="K569" s="29" t="inlineStr">
        <is>
          <t>Required</t>
        </is>
      </c>
      <c r="L569" s="29" t="inlineStr">
        <is>
          <t>Applicable BLYP member</t>
        </is>
      </c>
      <c r="M569" s="29" t="inlineStr">
        <is>
          <t>BLYP mobile application and supporting production services</t>
        </is>
      </c>
      <c r="N569" s="29" t="inlineStr">
        <is>
          <t>Invite link to a communal room</t>
        </is>
      </c>
      <c r="O569" s="29" t="inlineStr">
        <is>
          <t>Not explicitly defined in the product source; requires accountable product approval before production sign-off.</t>
        </is>
      </c>
      <c r="P569" s="29" t="inlineStr"/>
      <c r="Q569" s="29" t="inlineStr">
        <is>
          <t>No evidence</t>
        </is>
      </c>
      <c r="R569" s="29" t="inlineStr"/>
      <c r="S569" s="29" t="inlineStr">
        <is>
          <t>Not found</t>
        </is>
      </c>
      <c r="T569" s="29" t="inlineStr"/>
      <c r="U569" s="29" t="inlineStr"/>
      <c r="V569" s="29" t="inlineStr"/>
      <c r="W569" s="29" t="inlineStr"/>
      <c r="X569" s="29" t="inlineStr"/>
      <c r="Y569" s="29" t="inlineStr"/>
      <c r="Z569" s="29" t="inlineStr"/>
      <c r="AA569" s="29" t="inlineStr"/>
      <c r="AB569" s="29" t="inlineStr"/>
      <c r="AC569" s="29" t="inlineStr"/>
      <c r="AD569" s="29" t="inlineStr"/>
      <c r="AE569" s="29" t="inlineStr">
        <is>
          <t>Unknown</t>
        </is>
      </c>
      <c r="AF569" s="29" t="inlineStr"/>
      <c r="AG569" s="29" t="inlineStr">
        <is>
          <t>Not started</t>
        </is>
      </c>
      <c r="AH569" s="29" t="inlineStr">
        <is>
          <t>No</t>
        </is>
      </c>
      <c r="AI569" s="29" t="inlineStr">
        <is>
          <t>No implementation matching “Invite link to a communal room” was found in the reviewed source snapshot; absence has not been verified against a deployed runtime.</t>
        </is>
      </c>
      <c r="AJ569" s="29" t="inlineStr">
        <is>
          <t>Not verified</t>
        </is>
      </c>
      <c r="AK569" s="29" t="inlineStr"/>
      <c r="AL569" s="29" t="inlineStr"/>
      <c r="AM569" s="29" t="inlineStr"/>
      <c r="AN569" s="29" t="inlineStr"/>
      <c r="AO569" s="29" t="inlineStr">
        <is>
          <t>8bc0dcb2a1da1b21368c5536aaeef829d587f316</t>
        </is>
      </c>
      <c r="AP569" s="29" t="inlineStr">
        <is>
          <t>Low</t>
        </is>
      </c>
      <c r="AQ569" s="29" t="inlineStr">
        <is>
          <t>Not assessed</t>
        </is>
      </c>
      <c r="AR569" s="29" t="inlineStr">
        <is>
          <t>Not assessed</t>
        </is>
      </c>
      <c r="AS569" s="29" t="inlineStr">
        <is>
          <t>Fail</t>
        </is>
      </c>
      <c r="AT569" s="29" t="inlineStr">
        <is>
          <t>Not assessed</t>
        </is>
      </c>
      <c r="AU569" s="29" t="inlineStr">
        <is>
          <t>Not assessed</t>
        </is>
      </c>
      <c r="AV569" s="29" t="inlineStr">
        <is>
          <t>Not assessed</t>
        </is>
      </c>
      <c r="AW569" s="29" t="inlineStr">
        <is>
          <t>Not assessed</t>
        </is>
      </c>
      <c r="AX569" s="29" t="inlineStr">
        <is>
          <t>Not assessed</t>
        </is>
      </c>
      <c r="AY569" s="29" t="inlineStr">
        <is>
          <t>Not assessed</t>
        </is>
      </c>
      <c r="AZ569" s="29" t="inlineStr">
        <is>
          <t>Not assessed</t>
        </is>
      </c>
      <c r="BA569" s="29" t="inlineStr">
        <is>
          <t>Not assessed</t>
        </is>
      </c>
      <c r="BB569" s="29" t="inlineStr">
        <is>
          <t>Not assessed</t>
        </is>
      </c>
      <c r="BC569" s="29" t="inlineStr">
        <is>
          <t>Not assessed</t>
        </is>
      </c>
      <c r="BD569" s="29" t="inlineStr">
        <is>
          <t>Not assessed</t>
        </is>
      </c>
      <c r="BE569" s="29" t="inlineStr">
        <is>
          <t>Development required</t>
        </is>
      </c>
      <c r="BF569" s="29" t="inlineStr">
        <is>
          <t>No verified end-to-end implementation or release-candidate evidence.; Physical implementation is not complete against the stated requirement.; No implementation matching “Invite link to a communal room” was found in the reviewed source snapshot; absence has not been verified against a deployed runtime.</t>
        </is>
      </c>
      <c r="BG569" s="29" t="inlineStr">
        <is>
          <t>Confirm product acceptance criteria, trace any implementation outside the reviewed repository, and verify the final production build and configuration.</t>
        </is>
      </c>
      <c r="BH569" s="29" t="inlineStr"/>
      <c r="BI569" s="29" t="inlineStr"/>
      <c r="BJ569" s="29" t="inlineStr"/>
      <c r="BK569" s="29" t="inlineStr">
        <is>
          <t>Evidence reconciled against the reviewed source revision. No production approval is inferred from implementation or file presence.</t>
        </is>
      </c>
      <c r="BL569" s="29" t="inlineStr">
        <is>
          <t>2026-08-02</t>
        </is>
      </c>
    </row>
    <row r="570" ht="42" customHeight="1">
      <c r="A570" s="29" t="inlineStr">
        <is>
          <t>BLYP-28-010</t>
        </is>
      </c>
      <c r="B570" s="29" t="inlineStr"/>
      <c r="C570" s="29" t="inlineStr">
        <is>
          <t>Invites and community growth</t>
        </is>
      </c>
      <c r="D570" s="29" t="n">
        <v>28</v>
      </c>
      <c r="E570" s="29" t="n">
        <v>10</v>
      </c>
      <c r="F570" s="29" t="inlineStr">
        <is>
          <t>Feature</t>
        </is>
      </c>
      <c r="G570" s="29" t="inlineStr">
        <is>
          <t>Return recipient to the intended destination after joining</t>
        </is>
      </c>
      <c r="H570" s="29" t="inlineStr">
        <is>
          <t>Return recipient to the intended destination after joining</t>
        </is>
      </c>
      <c r="I570" s="29" t="inlineStr">
        <is>
          <t>/home/ubuntu/blyp_product_requirements.md :: Section 28 — Invites and community growth</t>
        </is>
      </c>
      <c r="J570" s="29" t="inlineStr">
        <is>
          <t>/home/ubuntu/BLYP_COMPLETE_FEATURE_LIST.md:719</t>
        </is>
      </c>
      <c r="K570" s="29" t="inlineStr">
        <is>
          <t>Required</t>
        </is>
      </c>
      <c r="L570" s="29" t="inlineStr">
        <is>
          <t>Applicable BLYP member</t>
        </is>
      </c>
      <c r="M570" s="29" t="inlineStr">
        <is>
          <t>BLYP mobile application and supporting production services</t>
        </is>
      </c>
      <c r="N570" s="29" t="inlineStr">
        <is>
          <t>Return recipient to the intended destination after joining</t>
        </is>
      </c>
      <c r="O570" s="29" t="inlineStr">
        <is>
          <t>Not explicitly defined in the product source; requires accountable product approval before production sign-off.</t>
        </is>
      </c>
      <c r="P570" s="29" t="inlineStr"/>
      <c r="Q570" s="29" t="inlineStr">
        <is>
          <t>No evidence</t>
        </is>
      </c>
      <c r="R570" s="29" t="inlineStr"/>
      <c r="S570" s="29" t="inlineStr">
        <is>
          <t>Not found</t>
        </is>
      </c>
      <c r="T570" s="29" t="inlineStr"/>
      <c r="U570" s="29" t="inlineStr"/>
      <c r="V570" s="29" t="inlineStr"/>
      <c r="W570" s="29" t="inlineStr"/>
      <c r="X570" s="29" t="inlineStr"/>
      <c r="Y570" s="29" t="inlineStr"/>
      <c r="Z570" s="29" t="inlineStr"/>
      <c r="AA570" s="29" t="inlineStr"/>
      <c r="AB570" s="29" t="inlineStr"/>
      <c r="AC570" s="29" t="inlineStr"/>
      <c r="AD570" s="29" t="inlineStr"/>
      <c r="AE570" s="29" t="inlineStr">
        <is>
          <t>Unknown</t>
        </is>
      </c>
      <c r="AF570" s="29" t="inlineStr"/>
      <c r="AG570" s="29" t="inlineStr">
        <is>
          <t>Not started</t>
        </is>
      </c>
      <c r="AH570" s="29" t="inlineStr">
        <is>
          <t>No</t>
        </is>
      </c>
      <c r="AI570" s="29" t="inlineStr">
        <is>
          <t>No implementation matching “Return recipient to the intended destination after joining” was found in the reviewed source snapshot; absence has not been verified against a deployed runtime.</t>
        </is>
      </c>
      <c r="AJ570" s="29" t="inlineStr">
        <is>
          <t>Not verified</t>
        </is>
      </c>
      <c r="AK570" s="29" t="inlineStr"/>
      <c r="AL570" s="29" t="inlineStr"/>
      <c r="AM570" s="29" t="inlineStr"/>
      <c r="AN570" s="29" t="inlineStr"/>
      <c r="AO570" s="29" t="inlineStr">
        <is>
          <t>8bc0dcb2a1da1b21368c5536aaeef829d587f316</t>
        </is>
      </c>
      <c r="AP570" s="29" t="inlineStr">
        <is>
          <t>Low</t>
        </is>
      </c>
      <c r="AQ570" s="29" t="inlineStr">
        <is>
          <t>Not assessed</t>
        </is>
      </c>
      <c r="AR570" s="29" t="inlineStr">
        <is>
          <t>Not assessed</t>
        </is>
      </c>
      <c r="AS570" s="29" t="inlineStr">
        <is>
          <t>Fail</t>
        </is>
      </c>
      <c r="AT570" s="29" t="inlineStr">
        <is>
          <t>Not assessed</t>
        </is>
      </c>
      <c r="AU570" s="29" t="inlineStr">
        <is>
          <t>Not assessed</t>
        </is>
      </c>
      <c r="AV570" s="29" t="inlineStr">
        <is>
          <t>Not assessed</t>
        </is>
      </c>
      <c r="AW570" s="29" t="inlineStr">
        <is>
          <t>Not assessed</t>
        </is>
      </c>
      <c r="AX570" s="29" t="inlineStr">
        <is>
          <t>Not assessed</t>
        </is>
      </c>
      <c r="AY570" s="29" t="inlineStr">
        <is>
          <t>Not assessed</t>
        </is>
      </c>
      <c r="AZ570" s="29" t="inlineStr">
        <is>
          <t>Not assessed</t>
        </is>
      </c>
      <c r="BA570" s="29" t="inlineStr">
        <is>
          <t>Not assessed</t>
        </is>
      </c>
      <c r="BB570" s="29" t="inlineStr">
        <is>
          <t>Not assessed</t>
        </is>
      </c>
      <c r="BC570" s="29" t="inlineStr">
        <is>
          <t>Not assessed</t>
        </is>
      </c>
      <c r="BD570" s="29" t="inlineStr">
        <is>
          <t>Not assessed</t>
        </is>
      </c>
      <c r="BE570" s="29" t="inlineStr">
        <is>
          <t>Development required</t>
        </is>
      </c>
      <c r="BF570" s="29" t="inlineStr">
        <is>
          <t>No verified end-to-end implementation or release-candidate evidence.; Physical implementation is not complete against the stated requirement.; No implementation matching “Return recipient to the intended destination after joining” was found in the reviewed source snapshot; absence has not been verified against a deployed runtime.</t>
        </is>
      </c>
      <c r="BG570" s="29" t="inlineStr">
        <is>
          <t>Confirm product acceptance criteria, trace any implementation outside the reviewed repository, and verify the final production build and configuration.</t>
        </is>
      </c>
      <c r="BH570" s="29" t="inlineStr"/>
      <c r="BI570" s="29" t="inlineStr"/>
      <c r="BJ570" s="29" t="inlineStr"/>
      <c r="BK570" s="29" t="inlineStr">
        <is>
          <t>Evidence reconciled against the reviewed source revision. No production approval is inferred from implementation or file presence.</t>
        </is>
      </c>
      <c r="BL570" s="29" t="inlineStr">
        <is>
          <t>2026-08-02</t>
        </is>
      </c>
    </row>
    <row r="571" ht="42" customHeight="1">
      <c r="A571" s="29" t="inlineStr">
        <is>
          <t>BLYP-28-011</t>
        </is>
      </c>
      <c r="B571" s="29" t="inlineStr"/>
      <c r="C571" s="29" t="inlineStr">
        <is>
          <t>Invites and community growth</t>
        </is>
      </c>
      <c r="D571" s="29" t="n">
        <v>28</v>
      </c>
      <c r="E571" s="29" t="n">
        <v>11</v>
      </c>
      <c r="F571" s="29" t="inlineStr">
        <is>
          <t>Feature</t>
        </is>
      </c>
      <c r="G571" s="29" t="inlineStr">
        <is>
          <t>Founding Member recognition</t>
        </is>
      </c>
      <c r="H571" s="29" t="inlineStr">
        <is>
          <t>Founding Member recognition</t>
        </is>
      </c>
      <c r="I571" s="29" t="inlineStr">
        <is>
          <t>/home/ubuntu/blyp_product_requirements.md :: Section 28 — Invites and community growth</t>
        </is>
      </c>
      <c r="J571" s="29" t="inlineStr">
        <is>
          <t>/home/ubuntu/BLYP_COMPLETE_FEATURE_LIST.md:720</t>
        </is>
      </c>
      <c r="K571" s="29" t="inlineStr">
        <is>
          <t>Required</t>
        </is>
      </c>
      <c r="L571" s="29" t="inlineStr">
        <is>
          <t>Applicable BLYP member</t>
        </is>
      </c>
      <c r="M571" s="29" t="inlineStr">
        <is>
          <t>BLYP mobile application and supporting production services</t>
        </is>
      </c>
      <c r="N571" s="29" t="inlineStr">
        <is>
          <t>Founding Member recognition</t>
        </is>
      </c>
      <c r="O571" s="29" t="inlineStr">
        <is>
          <t>Not explicitly defined in the product source; requires accountable product approval before production sign-off.</t>
        </is>
      </c>
      <c r="P571" s="29" t="inlineStr"/>
      <c r="Q571" s="29" t="inlineStr">
        <is>
          <t>No evidence</t>
        </is>
      </c>
      <c r="R571" s="29" t="inlineStr"/>
      <c r="S571" s="29" t="inlineStr">
        <is>
          <t>Not found</t>
        </is>
      </c>
      <c r="T571" s="29" t="inlineStr"/>
      <c r="U571" s="29" t="inlineStr"/>
      <c r="V571" s="29" t="inlineStr"/>
      <c r="W571" s="29" t="inlineStr"/>
      <c r="X571" s="29" t="inlineStr"/>
      <c r="Y571" s="29" t="inlineStr"/>
      <c r="Z571" s="29" t="inlineStr"/>
      <c r="AA571" s="29" t="inlineStr"/>
      <c r="AB571" s="29" t="inlineStr"/>
      <c r="AC571" s="29" t="inlineStr"/>
      <c r="AD571" s="29" t="inlineStr"/>
      <c r="AE571" s="29" t="inlineStr">
        <is>
          <t>Unknown</t>
        </is>
      </c>
      <c r="AF571" s="29" t="inlineStr"/>
      <c r="AG571" s="29" t="inlineStr">
        <is>
          <t>Not started</t>
        </is>
      </c>
      <c r="AH571" s="29" t="inlineStr">
        <is>
          <t>No</t>
        </is>
      </c>
      <c r="AI571" s="29" t="inlineStr">
        <is>
          <t>No implementation matching “Founding Member recognition” was found in the reviewed source snapshot; absence has not been verified against a deployed runtime.</t>
        </is>
      </c>
      <c r="AJ571" s="29" t="inlineStr">
        <is>
          <t>Not verified</t>
        </is>
      </c>
      <c r="AK571" s="29" t="inlineStr"/>
      <c r="AL571" s="29" t="inlineStr"/>
      <c r="AM571" s="29" t="inlineStr"/>
      <c r="AN571" s="29" t="inlineStr"/>
      <c r="AO571" s="29" t="inlineStr">
        <is>
          <t>8bc0dcb2a1da1b21368c5536aaeef829d587f316</t>
        </is>
      </c>
      <c r="AP571" s="29" t="inlineStr">
        <is>
          <t>Low</t>
        </is>
      </c>
      <c r="AQ571" s="29" t="inlineStr">
        <is>
          <t>Not assessed</t>
        </is>
      </c>
      <c r="AR571" s="29" t="inlineStr">
        <is>
          <t>Not assessed</t>
        </is>
      </c>
      <c r="AS571" s="29" t="inlineStr">
        <is>
          <t>Fail</t>
        </is>
      </c>
      <c r="AT571" s="29" t="inlineStr">
        <is>
          <t>Not assessed</t>
        </is>
      </c>
      <c r="AU571" s="29" t="inlineStr">
        <is>
          <t>Not assessed</t>
        </is>
      </c>
      <c r="AV571" s="29" t="inlineStr">
        <is>
          <t>Not assessed</t>
        </is>
      </c>
      <c r="AW571" s="29" t="inlineStr">
        <is>
          <t>Not assessed</t>
        </is>
      </c>
      <c r="AX571" s="29" t="inlineStr">
        <is>
          <t>Not assessed</t>
        </is>
      </c>
      <c r="AY571" s="29" t="inlineStr">
        <is>
          <t>Not assessed</t>
        </is>
      </c>
      <c r="AZ571" s="29" t="inlineStr">
        <is>
          <t>Not assessed</t>
        </is>
      </c>
      <c r="BA571" s="29" t="inlineStr">
        <is>
          <t>Not assessed</t>
        </is>
      </c>
      <c r="BB571" s="29" t="inlineStr">
        <is>
          <t>Not assessed</t>
        </is>
      </c>
      <c r="BC571" s="29" t="inlineStr">
        <is>
          <t>Not assessed</t>
        </is>
      </c>
      <c r="BD571" s="29" t="inlineStr">
        <is>
          <t>Not assessed</t>
        </is>
      </c>
      <c r="BE571" s="29" t="inlineStr">
        <is>
          <t>Development required</t>
        </is>
      </c>
      <c r="BF571" s="29" t="inlineStr">
        <is>
          <t>No verified end-to-end implementation or release-candidate evidence.; Physical implementation is not complete against the stated requirement.; No implementation matching “Founding Member recognition” was found in the reviewed source snapshot; absence has not been verified against a deployed runtime.</t>
        </is>
      </c>
      <c r="BG571" s="29" t="inlineStr">
        <is>
          <t>Confirm product acceptance criteria, trace any implementation outside the reviewed repository, and verify the final production build and configuration.</t>
        </is>
      </c>
      <c r="BH571" s="29" t="inlineStr"/>
      <c r="BI571" s="29" t="inlineStr"/>
      <c r="BJ571" s="29" t="inlineStr"/>
      <c r="BK571" s="29" t="inlineStr">
        <is>
          <t>Evidence reconciled against the reviewed source revision. No production approval is inferred from implementation or file presence.</t>
        </is>
      </c>
      <c r="BL571" s="29" t="inlineStr">
        <is>
          <t>2026-08-02</t>
        </is>
      </c>
    </row>
    <row r="572" ht="42" customHeight="1">
      <c r="A572" s="29" t="inlineStr">
        <is>
          <t>BLYP-28-012</t>
        </is>
      </c>
      <c r="B572" s="29" t="inlineStr"/>
      <c r="C572" s="29" t="inlineStr">
        <is>
          <t>Invites and community growth</t>
        </is>
      </c>
      <c r="D572" s="29" t="n">
        <v>28</v>
      </c>
      <c r="E572" s="29" t="n">
        <v>12</v>
      </c>
      <c r="F572" s="29" t="inlineStr">
        <is>
          <t>Feature</t>
        </is>
      </c>
      <c r="G572" s="29" t="inlineStr">
        <is>
          <t>Referral rewards</t>
        </is>
      </c>
      <c r="H572" s="29" t="inlineStr">
        <is>
          <t>Referral rewards</t>
        </is>
      </c>
      <c r="I572" s="29" t="inlineStr">
        <is>
          <t>/home/ubuntu/blyp_product_requirements.md :: Section 28 — Invites and community growth</t>
        </is>
      </c>
      <c r="J572" s="29" t="inlineStr">
        <is>
          <t>/home/ubuntu/BLYP_COMPLETE_FEATURE_LIST.md:721</t>
        </is>
      </c>
      <c r="K572" s="29" t="inlineStr">
        <is>
          <t>Required</t>
        </is>
      </c>
      <c r="L572" s="29" t="inlineStr">
        <is>
          <t>Applicable BLYP member</t>
        </is>
      </c>
      <c r="M572" s="29" t="inlineStr">
        <is>
          <t>BLYP mobile application and supporting production services</t>
        </is>
      </c>
      <c r="N572" s="29" t="inlineStr">
        <is>
          <t>Referral rewards</t>
        </is>
      </c>
      <c r="O572" s="29" t="inlineStr">
        <is>
          <t>Not explicitly defined in the product source; requires accountable product approval before production sign-off.</t>
        </is>
      </c>
      <c r="P572" s="29" t="inlineStr"/>
      <c r="Q572" s="29" t="inlineStr">
        <is>
          <t>No evidence</t>
        </is>
      </c>
      <c r="R572" s="29" t="inlineStr"/>
      <c r="S572" s="29" t="inlineStr">
        <is>
          <t>Not found</t>
        </is>
      </c>
      <c r="T572" s="29" t="inlineStr"/>
      <c r="U572" s="29" t="inlineStr"/>
      <c r="V572" s="29" t="inlineStr"/>
      <c r="W572" s="29" t="inlineStr"/>
      <c r="X572" s="29" t="inlineStr"/>
      <c r="Y572" s="29" t="inlineStr"/>
      <c r="Z572" s="29" t="inlineStr"/>
      <c r="AA572" s="29" t="inlineStr"/>
      <c r="AB572" s="29" t="inlineStr"/>
      <c r="AC572" s="29" t="inlineStr"/>
      <c r="AD572" s="29" t="inlineStr"/>
      <c r="AE572" s="29" t="inlineStr">
        <is>
          <t>Unknown</t>
        </is>
      </c>
      <c r="AF572" s="29" t="inlineStr"/>
      <c r="AG572" s="29" t="inlineStr">
        <is>
          <t>Not started</t>
        </is>
      </c>
      <c r="AH572" s="29" t="inlineStr">
        <is>
          <t>No</t>
        </is>
      </c>
      <c r="AI572" s="29" t="inlineStr">
        <is>
          <t>No implementation matching “Referral rewards” was found in the reviewed source snapshot; absence has not been verified against a deployed runtime.</t>
        </is>
      </c>
      <c r="AJ572" s="29" t="inlineStr">
        <is>
          <t>Not verified</t>
        </is>
      </c>
      <c r="AK572" s="29" t="inlineStr"/>
      <c r="AL572" s="29" t="inlineStr"/>
      <c r="AM572" s="29" t="inlineStr"/>
      <c r="AN572" s="29" t="inlineStr"/>
      <c r="AO572" s="29" t="inlineStr">
        <is>
          <t>8bc0dcb2a1da1b21368c5536aaeef829d587f316</t>
        </is>
      </c>
      <c r="AP572" s="29" t="inlineStr">
        <is>
          <t>Low</t>
        </is>
      </c>
      <c r="AQ572" s="29" t="inlineStr">
        <is>
          <t>Not assessed</t>
        </is>
      </c>
      <c r="AR572" s="29" t="inlineStr">
        <is>
          <t>Not assessed</t>
        </is>
      </c>
      <c r="AS572" s="29" t="inlineStr">
        <is>
          <t>Fail</t>
        </is>
      </c>
      <c r="AT572" s="29" t="inlineStr">
        <is>
          <t>Not assessed</t>
        </is>
      </c>
      <c r="AU572" s="29" t="inlineStr">
        <is>
          <t>Not assessed</t>
        </is>
      </c>
      <c r="AV572" s="29" t="inlineStr">
        <is>
          <t>Not assessed</t>
        </is>
      </c>
      <c r="AW572" s="29" t="inlineStr">
        <is>
          <t>Not assessed</t>
        </is>
      </c>
      <c r="AX572" s="29" t="inlineStr">
        <is>
          <t>Not assessed</t>
        </is>
      </c>
      <c r="AY572" s="29" t="inlineStr">
        <is>
          <t>Not assessed</t>
        </is>
      </c>
      <c r="AZ572" s="29" t="inlineStr">
        <is>
          <t>Not assessed</t>
        </is>
      </c>
      <c r="BA572" s="29" t="inlineStr">
        <is>
          <t>Not assessed</t>
        </is>
      </c>
      <c r="BB572" s="29" t="inlineStr">
        <is>
          <t>Not assessed</t>
        </is>
      </c>
      <c r="BC572" s="29" t="inlineStr">
        <is>
          <t>Not assessed</t>
        </is>
      </c>
      <c r="BD572" s="29" t="inlineStr">
        <is>
          <t>Not assessed</t>
        </is>
      </c>
      <c r="BE572" s="29" t="inlineStr">
        <is>
          <t>Development required</t>
        </is>
      </c>
      <c r="BF572" s="29" t="inlineStr">
        <is>
          <t>No verified end-to-end implementation or release-candidate evidence.; Physical implementation is not complete against the stated requirement.; No implementation matching “Referral rewards” was found in the reviewed source snapshot; absence has not been verified against a deployed runtime.</t>
        </is>
      </c>
      <c r="BG572" s="29" t="inlineStr">
        <is>
          <t>Confirm product acceptance criteria, trace any implementation outside the reviewed repository, and verify the final production build and configuration.</t>
        </is>
      </c>
      <c r="BH572" s="29" t="inlineStr"/>
      <c r="BI572" s="29" t="inlineStr"/>
      <c r="BJ572" s="29" t="inlineStr"/>
      <c r="BK572" s="29" t="inlineStr">
        <is>
          <t>Evidence reconciled against the reviewed source revision. No production approval is inferred from implementation or file presence.</t>
        </is>
      </c>
      <c r="BL572" s="29" t="inlineStr">
        <is>
          <t>2026-08-02</t>
        </is>
      </c>
    </row>
    <row r="573" ht="42" customHeight="1">
      <c r="A573" s="29" t="inlineStr">
        <is>
          <t>BLYP-28-013</t>
        </is>
      </c>
      <c r="B573" s="29" t="inlineStr"/>
      <c r="C573" s="29" t="inlineStr">
        <is>
          <t>Invites and community growth</t>
        </is>
      </c>
      <c r="D573" s="29" t="n">
        <v>28</v>
      </c>
      <c r="E573" s="29" t="n">
        <v>13</v>
      </c>
      <c r="F573" s="29" t="inlineStr">
        <is>
          <t>Feature</t>
        </is>
      </c>
      <c r="G573" s="29" t="inlineStr">
        <is>
          <t>Referral eligibility steps</t>
        </is>
      </c>
      <c r="H573" s="29" t="inlineStr">
        <is>
          <t>Referral eligibility steps</t>
        </is>
      </c>
      <c r="I573" s="29" t="inlineStr">
        <is>
          <t>/home/ubuntu/blyp_product_requirements.md :: Section 28 — Invites and community growth</t>
        </is>
      </c>
      <c r="J573" s="29" t="inlineStr">
        <is>
          <t>/home/ubuntu/BLYP_COMPLETE_FEATURE_LIST.md:722</t>
        </is>
      </c>
      <c r="K573" s="29" t="inlineStr">
        <is>
          <t>Required</t>
        </is>
      </c>
      <c r="L573" s="29" t="inlineStr">
        <is>
          <t>Applicable BLYP member</t>
        </is>
      </c>
      <c r="M573" s="29" t="inlineStr">
        <is>
          <t>BLYP mobile application and supporting production services</t>
        </is>
      </c>
      <c r="N573" s="29" t="inlineStr">
        <is>
          <t>Referral eligibility steps</t>
        </is>
      </c>
      <c r="O573" s="29" t="inlineStr">
        <is>
          <t>Not explicitly defined in the product source; requires accountable product approval before production sign-off.</t>
        </is>
      </c>
      <c r="P573" s="29" t="inlineStr"/>
      <c r="Q573" s="29" t="inlineStr">
        <is>
          <t>No evidence</t>
        </is>
      </c>
      <c r="R573" s="29" t="inlineStr"/>
      <c r="S573" s="29" t="inlineStr">
        <is>
          <t>Not found</t>
        </is>
      </c>
      <c r="T573" s="29" t="inlineStr"/>
      <c r="U573" s="29" t="inlineStr"/>
      <c r="V573" s="29" t="inlineStr"/>
      <c r="W573" s="29" t="inlineStr"/>
      <c r="X573" s="29" t="inlineStr"/>
      <c r="Y573" s="29" t="inlineStr"/>
      <c r="Z573" s="29" t="inlineStr"/>
      <c r="AA573" s="29" t="inlineStr"/>
      <c r="AB573" s="29" t="inlineStr"/>
      <c r="AC573" s="29" t="inlineStr"/>
      <c r="AD573" s="29" t="inlineStr"/>
      <c r="AE573" s="29" t="inlineStr">
        <is>
          <t>Unknown</t>
        </is>
      </c>
      <c r="AF573" s="29" t="inlineStr"/>
      <c r="AG573" s="29" t="inlineStr">
        <is>
          <t>Not started</t>
        </is>
      </c>
      <c r="AH573" s="29" t="inlineStr">
        <is>
          <t>No</t>
        </is>
      </c>
      <c r="AI573" s="29" t="inlineStr">
        <is>
          <t>No implementation matching “Referral eligibility steps” was found in the reviewed source snapshot; absence has not been verified against a deployed runtime.</t>
        </is>
      </c>
      <c r="AJ573" s="29" t="inlineStr">
        <is>
          <t>Not verified</t>
        </is>
      </c>
      <c r="AK573" s="29" t="inlineStr"/>
      <c r="AL573" s="29" t="inlineStr"/>
      <c r="AM573" s="29" t="inlineStr"/>
      <c r="AN573" s="29" t="inlineStr"/>
      <c r="AO573" s="29" t="inlineStr">
        <is>
          <t>8bc0dcb2a1da1b21368c5536aaeef829d587f316</t>
        </is>
      </c>
      <c r="AP573" s="29" t="inlineStr">
        <is>
          <t>Low</t>
        </is>
      </c>
      <c r="AQ573" s="29" t="inlineStr">
        <is>
          <t>Not assessed</t>
        </is>
      </c>
      <c r="AR573" s="29" t="inlineStr">
        <is>
          <t>Not assessed</t>
        </is>
      </c>
      <c r="AS573" s="29" t="inlineStr">
        <is>
          <t>Fail</t>
        </is>
      </c>
      <c r="AT573" s="29" t="inlineStr">
        <is>
          <t>Not assessed</t>
        </is>
      </c>
      <c r="AU573" s="29" t="inlineStr">
        <is>
          <t>Not assessed</t>
        </is>
      </c>
      <c r="AV573" s="29" t="inlineStr">
        <is>
          <t>Not assessed</t>
        </is>
      </c>
      <c r="AW573" s="29" t="inlineStr">
        <is>
          <t>Not assessed</t>
        </is>
      </c>
      <c r="AX573" s="29" t="inlineStr">
        <is>
          <t>Not assessed</t>
        </is>
      </c>
      <c r="AY573" s="29" t="inlineStr">
        <is>
          <t>Not assessed</t>
        </is>
      </c>
      <c r="AZ573" s="29" t="inlineStr">
        <is>
          <t>Not assessed</t>
        </is>
      </c>
      <c r="BA573" s="29" t="inlineStr">
        <is>
          <t>Not assessed</t>
        </is>
      </c>
      <c r="BB573" s="29" t="inlineStr">
        <is>
          <t>Not assessed</t>
        </is>
      </c>
      <c r="BC573" s="29" t="inlineStr">
        <is>
          <t>Not assessed</t>
        </is>
      </c>
      <c r="BD573" s="29" t="inlineStr">
        <is>
          <t>Not assessed</t>
        </is>
      </c>
      <c r="BE573" s="29" t="inlineStr">
        <is>
          <t>Development required</t>
        </is>
      </c>
      <c r="BF573" s="29" t="inlineStr">
        <is>
          <t>No verified end-to-end implementation or release-candidate evidence.; Physical implementation is not complete against the stated requirement.; No implementation matching “Referral eligibility steps” was found in the reviewed source snapshot; absence has not been verified against a deployed runtime.</t>
        </is>
      </c>
      <c r="BG573" s="29" t="inlineStr">
        <is>
          <t>Confirm product acceptance criteria, trace any implementation outside the reviewed repository, and verify the final production build and configuration.</t>
        </is>
      </c>
      <c r="BH573" s="29" t="inlineStr"/>
      <c r="BI573" s="29" t="inlineStr"/>
      <c r="BJ573" s="29" t="inlineStr"/>
      <c r="BK573" s="29" t="inlineStr">
        <is>
          <t>Evidence reconciled against the reviewed source revision. No production approval is inferred from implementation or file presence.</t>
        </is>
      </c>
      <c r="BL573" s="29" t="inlineStr">
        <is>
          <t>2026-08-02</t>
        </is>
      </c>
    </row>
    <row r="574" ht="42" customHeight="1">
      <c r="A574" s="29" t="inlineStr">
        <is>
          <t>BLYP-28-014</t>
        </is>
      </c>
      <c r="B574" s="29" t="inlineStr"/>
      <c r="C574" s="29" t="inlineStr">
        <is>
          <t>Invites and community growth</t>
        </is>
      </c>
      <c r="D574" s="29" t="n">
        <v>28</v>
      </c>
      <c r="E574" s="29" t="n">
        <v>14</v>
      </c>
      <c r="F574" s="29" t="inlineStr">
        <is>
          <t>Rule</t>
        </is>
      </c>
      <c r="G574" s="29" t="inlineStr">
        <is>
          <t>Referral limits</t>
        </is>
      </c>
      <c r="H574" s="29" t="inlineStr">
        <is>
          <t>Referral limits</t>
        </is>
      </c>
      <c r="I574" s="29" t="inlineStr">
        <is>
          <t>/home/ubuntu/blyp_product_requirements.md :: Section 28 — Invites and community growth</t>
        </is>
      </c>
      <c r="J574" s="29" t="inlineStr">
        <is>
          <t>/home/ubuntu/BLYP_COMPLETE_FEATURE_LIST.md:723</t>
        </is>
      </c>
      <c r="K574" s="29" t="inlineStr">
        <is>
          <t>Required</t>
        </is>
      </c>
      <c r="L574" s="29" t="inlineStr">
        <is>
          <t>Applicable BLYP member</t>
        </is>
      </c>
      <c r="M574" s="29" t="inlineStr">
        <is>
          <t>BLYP mobile application and supporting production services</t>
        </is>
      </c>
      <c r="N574" s="29" t="inlineStr">
        <is>
          <t>Referral limits</t>
        </is>
      </c>
      <c r="O574" s="29" t="inlineStr">
        <is>
          <t>Not explicitly defined in the product source; requires accountable product approval before production sign-off.</t>
        </is>
      </c>
      <c r="P574" s="29" t="inlineStr"/>
      <c r="Q574" s="29" t="inlineStr">
        <is>
          <t>No evidence</t>
        </is>
      </c>
      <c r="R574" s="29" t="inlineStr"/>
      <c r="S574" s="29" t="inlineStr">
        <is>
          <t>Not found</t>
        </is>
      </c>
      <c r="T574" s="29" t="inlineStr"/>
      <c r="U574" s="29" t="inlineStr"/>
      <c r="V574" s="29" t="inlineStr"/>
      <c r="W574" s="29" t="inlineStr"/>
      <c r="X574" s="29" t="inlineStr"/>
      <c r="Y574" s="29" t="inlineStr"/>
      <c r="Z574" s="29" t="inlineStr"/>
      <c r="AA574" s="29" t="inlineStr"/>
      <c r="AB574" s="29" t="inlineStr"/>
      <c r="AC574" s="29" t="inlineStr"/>
      <c r="AD574" s="29" t="inlineStr"/>
      <c r="AE574" s="29" t="inlineStr">
        <is>
          <t>Unknown</t>
        </is>
      </c>
      <c r="AF574" s="29" t="inlineStr"/>
      <c r="AG574" s="29" t="inlineStr">
        <is>
          <t>Not started</t>
        </is>
      </c>
      <c r="AH574" s="29" t="inlineStr">
        <is>
          <t>No</t>
        </is>
      </c>
      <c r="AI574" s="29" t="inlineStr">
        <is>
          <t>No implementation matching “Referral limits” was found in the reviewed source snapshot; absence has not been verified against a deployed runtime.</t>
        </is>
      </c>
      <c r="AJ574" s="29" t="inlineStr">
        <is>
          <t>Not verified</t>
        </is>
      </c>
      <c r="AK574" s="29" t="inlineStr"/>
      <c r="AL574" s="29" t="inlineStr"/>
      <c r="AM574" s="29" t="inlineStr"/>
      <c r="AN574" s="29" t="inlineStr"/>
      <c r="AO574" s="29" t="inlineStr">
        <is>
          <t>8bc0dcb2a1da1b21368c5536aaeef829d587f316</t>
        </is>
      </c>
      <c r="AP574" s="29" t="inlineStr">
        <is>
          <t>Low</t>
        </is>
      </c>
      <c r="AQ574" s="29" t="inlineStr">
        <is>
          <t>Not assessed</t>
        </is>
      </c>
      <c r="AR574" s="29" t="inlineStr">
        <is>
          <t>Not assessed</t>
        </is>
      </c>
      <c r="AS574" s="29" t="inlineStr">
        <is>
          <t>Fail</t>
        </is>
      </c>
      <c r="AT574" s="29" t="inlineStr">
        <is>
          <t>Not assessed</t>
        </is>
      </c>
      <c r="AU574" s="29" t="inlineStr">
        <is>
          <t>Not assessed</t>
        </is>
      </c>
      <c r="AV574" s="29" t="inlineStr">
        <is>
          <t>Not assessed</t>
        </is>
      </c>
      <c r="AW574" s="29" t="inlineStr">
        <is>
          <t>Not assessed</t>
        </is>
      </c>
      <c r="AX574" s="29" t="inlineStr">
        <is>
          <t>Not assessed</t>
        </is>
      </c>
      <c r="AY574" s="29" t="inlineStr">
        <is>
          <t>Not assessed</t>
        </is>
      </c>
      <c r="AZ574" s="29" t="inlineStr">
        <is>
          <t>Not assessed</t>
        </is>
      </c>
      <c r="BA574" s="29" t="inlineStr">
        <is>
          <t>Not assessed</t>
        </is>
      </c>
      <c r="BB574" s="29" t="inlineStr">
        <is>
          <t>Not assessed</t>
        </is>
      </c>
      <c r="BC574" s="29" t="inlineStr">
        <is>
          <t>Not assessed</t>
        </is>
      </c>
      <c r="BD574" s="29" t="inlineStr">
        <is>
          <t>Not assessed</t>
        </is>
      </c>
      <c r="BE574" s="29" t="inlineStr">
        <is>
          <t>Development required</t>
        </is>
      </c>
      <c r="BF574" s="29" t="inlineStr">
        <is>
          <t>No verified end-to-end implementation or release-candidate evidence.; Physical implementation is not complete against the stated requirement.; No implementation matching “Referral limits” was found in the reviewed source snapshot; absence has not been verified against a deployed runtime.</t>
        </is>
      </c>
      <c r="BG574" s="29" t="inlineStr">
        <is>
          <t>Confirm product acceptance criteria, trace any implementation outside the reviewed repository, and verify the final production build and configuration.</t>
        </is>
      </c>
      <c r="BH574" s="29" t="inlineStr"/>
      <c r="BI574" s="29" t="inlineStr"/>
      <c r="BJ574" s="29" t="inlineStr"/>
      <c r="BK574" s="29" t="inlineStr">
        <is>
          <t>Evidence reconciled against the reviewed source revision. No production approval is inferred from implementation or file presence.</t>
        </is>
      </c>
      <c r="BL574" s="29" t="inlineStr">
        <is>
          <t>2026-08-02</t>
        </is>
      </c>
    </row>
    <row r="575" ht="42" customHeight="1">
      <c r="A575" s="29" t="inlineStr">
        <is>
          <t>BLYP-28-015</t>
        </is>
      </c>
      <c r="B575" s="29" t="inlineStr"/>
      <c r="C575" s="29" t="inlineStr">
        <is>
          <t>Invites and community growth</t>
        </is>
      </c>
      <c r="D575" s="29" t="n">
        <v>28</v>
      </c>
      <c r="E575" s="29" t="n">
        <v>15</v>
      </c>
      <c r="F575" s="29" t="inlineStr">
        <is>
          <t>Feature</t>
        </is>
      </c>
      <c r="G575" s="29" t="inlineStr">
        <is>
          <t>Referral anti-fraud controls</t>
        </is>
      </c>
      <c r="H575" s="29" t="inlineStr">
        <is>
          <t>Referral anti-fraud controls</t>
        </is>
      </c>
      <c r="I575" s="29" t="inlineStr">
        <is>
          <t>/home/ubuntu/blyp_product_requirements.md :: Section 28 — Invites and community growth</t>
        </is>
      </c>
      <c r="J575" s="29" t="inlineStr">
        <is>
          <t>/home/ubuntu/BLYP_COMPLETE_FEATURE_LIST.md:724</t>
        </is>
      </c>
      <c r="K575" s="29" t="inlineStr">
        <is>
          <t>Required</t>
        </is>
      </c>
      <c r="L575" s="29" t="inlineStr">
        <is>
          <t>Applicable BLYP member</t>
        </is>
      </c>
      <c r="M575" s="29" t="inlineStr">
        <is>
          <t>BLYP mobile application and supporting production services</t>
        </is>
      </c>
      <c r="N575" s="29" t="inlineStr">
        <is>
          <t>Referral anti-fraud controls</t>
        </is>
      </c>
      <c r="O575" s="29" t="inlineStr">
        <is>
          <t>Not explicitly defined in the product source; requires accountable product approval before production sign-off.</t>
        </is>
      </c>
      <c r="P575" s="29" t="inlineStr"/>
      <c r="Q575" s="29" t="inlineStr">
        <is>
          <t>No evidence</t>
        </is>
      </c>
      <c r="R575" s="29" t="inlineStr"/>
      <c r="S575" s="29" t="inlineStr">
        <is>
          <t>Not found</t>
        </is>
      </c>
      <c r="T575" s="29" t="inlineStr"/>
      <c r="U575" s="29" t="inlineStr"/>
      <c r="V575" s="29" t="inlineStr"/>
      <c r="W575" s="29" t="inlineStr"/>
      <c r="X575" s="29" t="inlineStr"/>
      <c r="Y575" s="29" t="inlineStr"/>
      <c r="Z575" s="29" t="inlineStr"/>
      <c r="AA575" s="29" t="inlineStr"/>
      <c r="AB575" s="29" t="inlineStr"/>
      <c r="AC575" s="29" t="inlineStr"/>
      <c r="AD575" s="29" t="inlineStr"/>
      <c r="AE575" s="29" t="inlineStr">
        <is>
          <t>Unknown</t>
        </is>
      </c>
      <c r="AF575" s="29" t="inlineStr"/>
      <c r="AG575" s="29" t="inlineStr">
        <is>
          <t>Not started</t>
        </is>
      </c>
      <c r="AH575" s="29" t="inlineStr">
        <is>
          <t>No</t>
        </is>
      </c>
      <c r="AI575" s="29" t="inlineStr">
        <is>
          <t>No implementation matching “Referral anti-fraud controls” was found in the reviewed source snapshot; absence has not been verified against a deployed runtime.</t>
        </is>
      </c>
      <c r="AJ575" s="29" t="inlineStr">
        <is>
          <t>Not verified</t>
        </is>
      </c>
      <c r="AK575" s="29" t="inlineStr"/>
      <c r="AL575" s="29" t="inlineStr"/>
      <c r="AM575" s="29" t="inlineStr"/>
      <c r="AN575" s="29" t="inlineStr"/>
      <c r="AO575" s="29" t="inlineStr">
        <is>
          <t>8bc0dcb2a1da1b21368c5536aaeef829d587f316</t>
        </is>
      </c>
      <c r="AP575" s="29" t="inlineStr">
        <is>
          <t>Low</t>
        </is>
      </c>
      <c r="AQ575" s="29" t="inlineStr">
        <is>
          <t>Not assessed</t>
        </is>
      </c>
      <c r="AR575" s="29" t="inlineStr">
        <is>
          <t>Not assessed</t>
        </is>
      </c>
      <c r="AS575" s="29" t="inlineStr">
        <is>
          <t>Fail</t>
        </is>
      </c>
      <c r="AT575" s="29" t="inlineStr">
        <is>
          <t>Not assessed</t>
        </is>
      </c>
      <c r="AU575" s="29" t="inlineStr">
        <is>
          <t>Not assessed</t>
        </is>
      </c>
      <c r="AV575" s="29" t="inlineStr">
        <is>
          <t>Not assessed</t>
        </is>
      </c>
      <c r="AW575" s="29" t="inlineStr">
        <is>
          <t>Not assessed</t>
        </is>
      </c>
      <c r="AX575" s="29" t="inlineStr">
        <is>
          <t>Not assessed</t>
        </is>
      </c>
      <c r="AY575" s="29" t="inlineStr">
        <is>
          <t>Not assessed</t>
        </is>
      </c>
      <c r="AZ575" s="29" t="inlineStr">
        <is>
          <t>Not assessed</t>
        </is>
      </c>
      <c r="BA575" s="29" t="inlineStr">
        <is>
          <t>Not assessed</t>
        </is>
      </c>
      <c r="BB575" s="29" t="inlineStr">
        <is>
          <t>Not assessed</t>
        </is>
      </c>
      <c r="BC575" s="29" t="inlineStr">
        <is>
          <t>Not assessed</t>
        </is>
      </c>
      <c r="BD575" s="29" t="inlineStr">
        <is>
          <t>Not assessed</t>
        </is>
      </c>
      <c r="BE575" s="29" t="inlineStr">
        <is>
          <t>Development required</t>
        </is>
      </c>
      <c r="BF575" s="29" t="inlineStr">
        <is>
          <t>No verified end-to-end implementation or release-candidate evidence.; Physical implementation is not complete against the stated requirement.; No implementation matching “Referral anti-fraud controls” was found in the reviewed source snapshot; absence has not been verified against a deployed runtime.</t>
        </is>
      </c>
      <c r="BG575" s="29" t="inlineStr">
        <is>
          <t>Confirm product acceptance criteria, trace any implementation outside the reviewed repository, and verify the final production build and configuration.</t>
        </is>
      </c>
      <c r="BH575" s="29" t="inlineStr"/>
      <c r="BI575" s="29" t="inlineStr"/>
      <c r="BJ575" s="29" t="inlineStr"/>
      <c r="BK575" s="29" t="inlineStr">
        <is>
          <t>Evidence reconciled against the reviewed source revision. No production approval is inferred from implementation or file presence.</t>
        </is>
      </c>
      <c r="BL575" s="29" t="inlineStr">
        <is>
          <t>2026-08-02</t>
        </is>
      </c>
    </row>
    <row r="576" ht="42" customHeight="1">
      <c r="A576" s="29" t="inlineStr">
        <is>
          <t>BLYP-28-016</t>
        </is>
      </c>
      <c r="B576" s="29" t="inlineStr"/>
      <c r="C576" s="29" t="inlineStr">
        <is>
          <t>Invites and community growth</t>
        </is>
      </c>
      <c r="D576" s="29" t="n">
        <v>28</v>
      </c>
      <c r="E576" s="29" t="n">
        <v>16</v>
      </c>
      <c r="F576" s="29" t="inlineStr">
        <is>
          <t>Feature</t>
        </is>
      </c>
      <c r="G576" s="29" t="inlineStr">
        <is>
          <t>Invitations initiated only by the member</t>
        </is>
      </c>
      <c r="H576" s="29" t="inlineStr">
        <is>
          <t>Invitations initiated only by the member</t>
        </is>
      </c>
      <c r="I576" s="29" t="inlineStr">
        <is>
          <t>/home/ubuntu/blyp_product_requirements.md :: Section 28 — Invites and community growth</t>
        </is>
      </c>
      <c r="J576" s="29" t="inlineStr">
        <is>
          <t>/home/ubuntu/BLYP_COMPLETE_FEATURE_LIST.md:725</t>
        </is>
      </c>
      <c r="K576" s="29" t="inlineStr">
        <is>
          <t>Required</t>
        </is>
      </c>
      <c r="L576" s="29" t="inlineStr">
        <is>
          <t>Applicable BLYP member</t>
        </is>
      </c>
      <c r="M576" s="29" t="inlineStr">
        <is>
          <t>BLYP mobile application and supporting production services</t>
        </is>
      </c>
      <c r="N576" s="29" t="inlineStr">
        <is>
          <t>Invitations initiated only by the member</t>
        </is>
      </c>
      <c r="O576" s="29" t="inlineStr">
        <is>
          <t>Not explicitly defined in the product source; requires accountable product approval before production sign-off.</t>
        </is>
      </c>
      <c r="P576" s="29" t="inlineStr"/>
      <c r="Q576" s="29" t="inlineStr">
        <is>
          <t>Needs verification</t>
        </is>
      </c>
      <c r="R576" s="29" t="inlineStr"/>
      <c r="S576" s="29" t="inlineStr">
        <is>
          <t>Partial</t>
        </is>
      </c>
      <c r="T576" s="29" t="inlineStr"/>
      <c r="U576" s="29" t="inlineStr">
        <is>
          <t>src/screens/MediaViewerScreen.js; src/screens/GameRoomScreen.js</t>
        </is>
      </c>
      <c r="V576" s="29" t="inlineStr">
        <is>
          <t>React Native Share API; src/services/GameService.js</t>
        </is>
      </c>
      <c r="W576" s="29" t="inlineStr"/>
      <c r="X576" s="29" t="inlineStr"/>
      <c r="Y576" s="29" t="inlineStr"/>
      <c r="Z576" s="29" t="inlineStr"/>
      <c r="AA576" s="29" t="inlineStr"/>
      <c r="AB576" s="29" t="inlineStr"/>
      <c r="AC576" s="29" t="inlineStr"/>
      <c r="AD576" s="29" t="inlineStr">
        <is>
          <t>The reviewed share and game invitation actions require a user button press. No background invitation dispatch was found in these flows.</t>
        </is>
      </c>
      <c r="AE576" s="29" t="inlineStr">
        <is>
          <t>User reachable</t>
        </is>
      </c>
      <c r="AF576" s="29" t="inlineStr">
        <is>
          <t>The reviewed share and game invitation actions require a user button press. No background invitation dispatch was found in these flows.</t>
        </is>
      </c>
      <c r="AG576" s="29" t="inlineStr">
        <is>
          <t>Incomplete</t>
        </is>
      </c>
      <c r="AH576" s="29" t="inlineStr">
        <is>
          <t>No</t>
        </is>
      </c>
      <c r="AI576" s="29" t="inlineStr">
        <is>
          <t>There is no unified invitation service to prove this rule across every intended invite type, and runtime behaviour has not been observed.</t>
        </is>
      </c>
      <c r="AJ576" s="29" t="inlineStr">
        <is>
          <t>Source traced</t>
        </is>
      </c>
      <c r="AK576" s="29" t="inlineStr">
        <is>
          <t>EV-28-0001;EV-28-0003;EV-28-0004</t>
        </is>
      </c>
      <c r="AL576" s="29" t="inlineStr"/>
      <c r="AM576" s="29" t="inlineStr"/>
      <c r="AN576" s="29" t="inlineStr"/>
      <c r="AO576" s="29" t="inlineStr">
        <is>
          <t>8bc0dcb2a1da1b21368c5536aaeef829d587f316</t>
        </is>
      </c>
      <c r="AP576" s="29" t="inlineStr">
        <is>
          <t>Medium</t>
        </is>
      </c>
      <c r="AQ576" s="29" t="inlineStr">
        <is>
          <t>Not assessed</t>
        </is>
      </c>
      <c r="AR576" s="29" t="inlineStr">
        <is>
          <t>Not assessed</t>
        </is>
      </c>
      <c r="AS576" s="29" t="inlineStr">
        <is>
          <t>Fail</t>
        </is>
      </c>
      <c r="AT576" s="29" t="inlineStr">
        <is>
          <t>Not assessed</t>
        </is>
      </c>
      <c r="AU576" s="29" t="inlineStr">
        <is>
          <t>Not assessed</t>
        </is>
      </c>
      <c r="AV576" s="29" t="inlineStr">
        <is>
          <t>Not assessed</t>
        </is>
      </c>
      <c r="AW576" s="29" t="inlineStr">
        <is>
          <t>Not assessed</t>
        </is>
      </c>
      <c r="AX576" s="29" t="inlineStr">
        <is>
          <t>Not assessed</t>
        </is>
      </c>
      <c r="AY576" s="29" t="inlineStr">
        <is>
          <t>Not assessed</t>
        </is>
      </c>
      <c r="AZ576" s="29" t="inlineStr">
        <is>
          <t>Not assessed</t>
        </is>
      </c>
      <c r="BA576" s="29" t="inlineStr">
        <is>
          <t>Not assessed</t>
        </is>
      </c>
      <c r="BB576" s="29" t="inlineStr">
        <is>
          <t>Not assessed</t>
        </is>
      </c>
      <c r="BC576" s="29" t="inlineStr">
        <is>
          <t>Not assessed</t>
        </is>
      </c>
      <c r="BD576" s="29" t="inlineStr">
        <is>
          <t>Not assessed</t>
        </is>
      </c>
      <c r="BE576" s="29" t="inlineStr">
        <is>
          <t>Development required</t>
        </is>
      </c>
      <c r="BF576" s="29" t="inlineStr">
        <is>
          <t>No verified end-to-end implementation or release-candidate evidence.; Physical implementation is not complete against the stated requirement.; There is no unified invitation service to prove this rule across every intended invite type, and runtime behaviour has not been observed.</t>
        </is>
      </c>
      <c r="BG576" s="29" t="inlineStr">
        <is>
          <t>Confirm product acceptance criteria, trace any implementation outside the reviewed repository, and verify the final production build and configuration.</t>
        </is>
      </c>
      <c r="BH576" s="29" t="inlineStr"/>
      <c r="BI576" s="29" t="inlineStr"/>
      <c r="BJ576" s="29" t="inlineStr"/>
      <c r="BK576" s="29" t="inlineStr">
        <is>
          <t>Evidence reconciled against the reviewed source revision. No production approval is inferred from implementation or file presence.</t>
        </is>
      </c>
      <c r="BL576" s="29" t="inlineStr">
        <is>
          <t>2026-08-02</t>
        </is>
      </c>
    </row>
    <row r="577" ht="42" customHeight="1">
      <c r="A577" s="29" t="inlineStr">
        <is>
          <t>BLYP-28-017</t>
        </is>
      </c>
      <c r="B577" s="29" t="inlineStr"/>
      <c r="C577" s="29" t="inlineStr">
        <is>
          <t>Invites and community growth</t>
        </is>
      </c>
      <c r="D577" s="29" t="n">
        <v>28</v>
      </c>
      <c r="E577" s="29" t="n">
        <v>17</v>
      </c>
      <c r="F577" s="29" t="inlineStr">
        <is>
          <t>Rule</t>
        </is>
      </c>
      <c r="G577" s="29" t="inlineStr">
        <is>
          <t>No automatic address-book contact</t>
        </is>
      </c>
      <c r="H577" s="29" t="inlineStr">
        <is>
          <t>No automatic address-book contact</t>
        </is>
      </c>
      <c r="I577" s="29" t="inlineStr">
        <is>
          <t>/home/ubuntu/blyp_product_requirements.md :: Section 28 — Invites and community growth</t>
        </is>
      </c>
      <c r="J577" s="29" t="inlineStr">
        <is>
          <t>/home/ubuntu/BLYP_COMPLETE_FEATURE_LIST.md:726</t>
        </is>
      </c>
      <c r="K577" s="29" t="inlineStr">
        <is>
          <t>Required</t>
        </is>
      </c>
      <c r="L577" s="29" t="inlineStr">
        <is>
          <t>Applicable BLYP member</t>
        </is>
      </c>
      <c r="M577" s="29" t="inlineStr">
        <is>
          <t>BLYP mobile application and supporting production services</t>
        </is>
      </c>
      <c r="N577" s="29" t="inlineStr">
        <is>
          <t>No automatic address-book contact</t>
        </is>
      </c>
      <c r="O577" s="29" t="inlineStr">
        <is>
          <t>Not explicitly defined in the product source; requires accountable product approval before production sign-off.</t>
        </is>
      </c>
      <c r="P577" s="29" t="inlineStr">
        <is>
          <t>The reviewed Expo Android permission list does not include contacts; no contact API dependency or call was found in the focused source search.</t>
        </is>
      </c>
      <c r="Q577" s="29" t="inlineStr">
        <is>
          <t>Needs verification</t>
        </is>
      </c>
      <c r="R577" s="29" t="inlineStr"/>
      <c r="S577" s="29" t="inlineStr">
        <is>
          <t>Partial</t>
        </is>
      </c>
      <c r="T577" s="29" t="inlineStr"/>
      <c r="U577" s="29" t="inlineStr"/>
      <c r="V577" s="29" t="inlineStr"/>
      <c r="W577" s="29" t="inlineStr"/>
      <c r="X577" s="29" t="inlineStr"/>
      <c r="Y577" s="29" t="inlineStr"/>
      <c r="Z577" s="29" t="inlineStr"/>
      <c r="AA577" s="29" t="inlineStr">
        <is>
          <t>The reviewed Expo Android permission list does not include contacts; no contact API dependency or call was found in the focused source search.</t>
        </is>
      </c>
      <c r="AB577" s="29" t="inlineStr">
        <is>
          <t>Expo mobile application</t>
        </is>
      </c>
      <c r="AC577" s="29" t="inlineStr"/>
      <c r="AD577" s="29" t="inlineStr">
        <is>
          <t>No automatic address-book import path was identified in the reviewed source and configuration.</t>
        </is>
      </c>
      <c r="AE577" s="29" t="inlineStr">
        <is>
          <t>Unknown</t>
        </is>
      </c>
      <c r="AF577" s="29" t="inlineStr">
        <is>
          <t>No automatic address-book import path was identified in the reviewed source and configuration.</t>
        </is>
      </c>
      <c r="AG577" s="29" t="inlineStr">
        <is>
          <t>Not assessable</t>
        </is>
      </c>
      <c r="AH577" s="29" t="inlineStr">
        <is>
          <t>Unknown</t>
        </is>
      </c>
      <c r="AI577" s="29" t="inlineStr">
        <is>
          <t>Absence in source is not a final-binary permission audit. Native manifests, installed binary permissions, analytics and network behaviour remain unobserved.</t>
        </is>
      </c>
      <c r="AJ577" s="29" t="inlineStr">
        <is>
          <t>Source traced</t>
        </is>
      </c>
      <c r="AK577" s="29" t="inlineStr">
        <is>
          <t>EV-28-0002</t>
        </is>
      </c>
      <c r="AL577" s="29" t="inlineStr"/>
      <c r="AM577" s="29" t="inlineStr"/>
      <c r="AN577" s="29" t="inlineStr"/>
      <c r="AO577" s="29" t="inlineStr">
        <is>
          <t>8bc0dcb2a1da1b21368c5536aaeef829d587f316</t>
        </is>
      </c>
      <c r="AP577" s="29" t="inlineStr">
        <is>
          <t>Medium</t>
        </is>
      </c>
      <c r="AQ577" s="29" t="inlineStr">
        <is>
          <t>Not assessed</t>
        </is>
      </c>
      <c r="AR577" s="29" t="inlineStr">
        <is>
          <t>Not assessed</t>
        </is>
      </c>
      <c r="AS577" s="29" t="inlineStr">
        <is>
          <t>Not assessed</t>
        </is>
      </c>
      <c r="AT577" s="29" t="inlineStr">
        <is>
          <t>Not assessed</t>
        </is>
      </c>
      <c r="AU577" s="29" t="inlineStr">
        <is>
          <t>Not assessed</t>
        </is>
      </c>
      <c r="AV577" s="29" t="inlineStr">
        <is>
          <t>Not assessed</t>
        </is>
      </c>
      <c r="AW577" s="29" t="inlineStr">
        <is>
          <t>Not assessed</t>
        </is>
      </c>
      <c r="AX577" s="29" t="inlineStr">
        <is>
          <t>Not assessed</t>
        </is>
      </c>
      <c r="AY577" s="29" t="inlineStr">
        <is>
          <t>Not assessed</t>
        </is>
      </c>
      <c r="AZ577" s="29" t="inlineStr">
        <is>
          <t>Not assessed</t>
        </is>
      </c>
      <c r="BA577" s="29" t="inlineStr">
        <is>
          <t>Not assessed</t>
        </is>
      </c>
      <c r="BB577" s="29" t="inlineStr">
        <is>
          <t>Not assessed</t>
        </is>
      </c>
      <c r="BC577" s="29" t="inlineStr">
        <is>
          <t>Not assessed</t>
        </is>
      </c>
      <c r="BD577" s="29" t="inlineStr">
        <is>
          <t>Not assessed</t>
        </is>
      </c>
      <c r="BE577" s="29" t="inlineStr">
        <is>
          <t>Development required</t>
        </is>
      </c>
      <c r="BF577" s="29" t="inlineStr">
        <is>
          <t>Final binary and runtime network behaviour have not been verified.; Physical implementation is not complete against the stated requirement.; Absence in source is not a final-binary permission audit. Native manifests, installed binary permissions, analytics and network behaviour remain unobserved.</t>
        </is>
      </c>
      <c r="BG577" s="29" t="inlineStr">
        <is>
          <t>Inspect signed Android/iOS permissions and observe first-launch/runtime behaviour on clean physical devices.</t>
        </is>
      </c>
      <c r="BH577" s="29" t="inlineStr"/>
      <c r="BI577" s="29" t="inlineStr"/>
      <c r="BJ577" s="29" t="inlineStr"/>
      <c r="BK577" s="29" t="inlineStr">
        <is>
          <t>Evidence reconciled against the reviewed source revision. No production approval is inferred from implementation or file presence.</t>
        </is>
      </c>
      <c r="BL577" s="29" t="inlineStr">
        <is>
          <t>2026-08-02</t>
        </is>
      </c>
    </row>
    <row r="578" ht="42" customHeight="1">
      <c r="A578" s="29" t="inlineStr">
        <is>
          <t>BLYP-29-001</t>
        </is>
      </c>
      <c r="B578" s="29" t="inlineStr"/>
      <c r="C578" s="29" t="inlineStr">
        <is>
          <t>Help, support, and appeals</t>
        </is>
      </c>
      <c r="D578" s="29" t="n">
        <v>29</v>
      </c>
      <c r="E578" s="29" t="n">
        <v>1</v>
      </c>
      <c r="F578" s="29" t="inlineStr">
        <is>
          <t>Feature</t>
        </is>
      </c>
      <c r="G578" s="29" t="inlineStr">
        <is>
          <t>Settings/help placeholders</t>
        </is>
      </c>
      <c r="H578" s="29" t="inlineStr">
        <is>
          <t>Settings/help placeholders</t>
        </is>
      </c>
      <c r="I578" s="29" t="inlineStr">
        <is>
          <t>/home/ubuntu/blyp_product_requirements.md :: Section 29 — Help, support, and appeals</t>
        </is>
      </c>
      <c r="J578" s="29" t="inlineStr">
        <is>
          <t>/home/ubuntu/BLYP_COMPLETE_FEATURE_LIST.md:732</t>
        </is>
      </c>
      <c r="K578" s="29" t="inlineStr">
        <is>
          <t>Required</t>
        </is>
      </c>
      <c r="L578" s="29" t="inlineStr">
        <is>
          <t>Authorized operator or accountable service owner</t>
        </is>
      </c>
      <c r="M578" s="29" t="inlineStr">
        <is>
          <t>BLYP mobile application and supporting production services</t>
        </is>
      </c>
      <c r="N578" s="29" t="inlineStr">
        <is>
          <t>Settings/help placeholders</t>
        </is>
      </c>
      <c r="O578" s="29" t="inlineStr">
        <is>
          <t>Not explicitly defined in the product source; requires accountable product approval before production sign-off.</t>
        </is>
      </c>
      <c r="P578" s="29" t="inlineStr"/>
      <c r="Q578" s="29" t="inlineStr">
        <is>
          <t>Yes</t>
        </is>
      </c>
      <c r="R578" s="29" t="inlineStr"/>
      <c r="S578" s="29" t="inlineStr">
        <is>
          <t>UI only</t>
        </is>
      </c>
      <c r="T578" s="29" t="inlineStr">
        <is>
          <t>EditProfileScreen</t>
        </is>
      </c>
      <c r="U578" s="29" t="inlineStr">
        <is>
          <t>Help &amp; Support TouchableOpacity</t>
        </is>
      </c>
      <c r="V578" s="29" t="inlineStr"/>
      <c r="W578" s="29" t="inlineStr"/>
      <c r="X578" s="29" t="inlineStr"/>
      <c r="Y578" s="29" t="inlineStr"/>
      <c r="Z578" s="29" t="inlineStr"/>
      <c r="AA578" s="29" t="inlineStr"/>
      <c r="AB578" s="29" t="inlineStr"/>
      <c r="AC578" s="29" t="inlineStr"/>
      <c r="AD578" s="29" t="inlineStr"/>
      <c r="AE578" s="29" t="inlineStr">
        <is>
          <t>User reachable</t>
        </is>
      </c>
      <c r="AF578" s="29" t="inlineStr">
        <is>
          <t>EditProfileScreen</t>
        </is>
      </c>
      <c r="AG578" s="29" t="inlineStr">
        <is>
          <t>Incomplete</t>
        </is>
      </c>
      <c r="AH578" s="29" t="inlineStr">
        <is>
          <t>No</t>
        </is>
      </c>
      <c r="AI578" s="29" t="inlineStr">
        <is>
          <t>Only UI placeholder exists, no actual help content or navigation</t>
        </is>
      </c>
      <c r="AJ578" s="29" t="inlineStr">
        <is>
          <t>Source traced</t>
        </is>
      </c>
      <c r="AK578" s="29" t="inlineStr">
        <is>
          <t>EV-29-0001</t>
        </is>
      </c>
      <c r="AL578" s="29" t="inlineStr"/>
      <c r="AM578" s="29" t="inlineStr"/>
      <c r="AN578" s="29" t="inlineStr"/>
      <c r="AO578" s="29" t="inlineStr">
        <is>
          <t>8bc0dcb2a1da1b21368c5536aaeef829d587f316</t>
        </is>
      </c>
      <c r="AP578" s="29" t="inlineStr">
        <is>
          <t>High</t>
        </is>
      </c>
      <c r="AQ578" s="29" t="inlineStr">
        <is>
          <t>Not assessed</t>
        </is>
      </c>
      <c r="AR578" s="29" t="inlineStr">
        <is>
          <t>Not assessed</t>
        </is>
      </c>
      <c r="AS578" s="29" t="inlineStr">
        <is>
          <t>Fail</t>
        </is>
      </c>
      <c r="AT578" s="29" t="inlineStr">
        <is>
          <t>Not assessed</t>
        </is>
      </c>
      <c r="AU578" s="29" t="inlineStr">
        <is>
          <t>Not assessed</t>
        </is>
      </c>
      <c r="AV578" s="29" t="inlineStr">
        <is>
          <t>Not assessed</t>
        </is>
      </c>
      <c r="AW578" s="29" t="inlineStr">
        <is>
          <t>Not assessed</t>
        </is>
      </c>
      <c r="AX578" s="29" t="inlineStr">
        <is>
          <t>Not assessed</t>
        </is>
      </c>
      <c r="AY578" s="29" t="inlineStr">
        <is>
          <t>Not assessed</t>
        </is>
      </c>
      <c r="AZ578" s="29" t="inlineStr">
        <is>
          <t>Not assessed</t>
        </is>
      </c>
      <c r="BA578" s="29" t="inlineStr">
        <is>
          <t>Not assessed</t>
        </is>
      </c>
      <c r="BB578" s="29" t="inlineStr">
        <is>
          <t>Not assessed</t>
        </is>
      </c>
      <c r="BC578" s="29" t="inlineStr">
        <is>
          <t>Not assessed</t>
        </is>
      </c>
      <c r="BD578" s="29" t="inlineStr">
        <is>
          <t>Not assessed</t>
        </is>
      </c>
      <c r="BE578" s="29" t="inlineStr">
        <is>
          <t>Development required</t>
        </is>
      </c>
      <c r="BF578" s="29" t="inlineStr">
        <is>
          <t>Physical implementation is not complete against the stated requirement.; Only UI placeholder exists, no actual help content or navigation</t>
        </is>
      </c>
      <c r="BG578" s="29" t="inlineStr"/>
      <c r="BH578" s="29" t="inlineStr"/>
      <c r="BI578" s="29" t="inlineStr"/>
      <c r="BJ578" s="29" t="inlineStr"/>
      <c r="BK578" s="29" t="inlineStr">
        <is>
          <t>Evidence reconciled against the reviewed source revision. No production approval is inferred from implementation or file presence.</t>
        </is>
      </c>
      <c r="BL578" s="29" t="inlineStr">
        <is>
          <t>2026-08-02</t>
        </is>
      </c>
    </row>
    <row r="579" ht="42" customHeight="1">
      <c r="A579" s="29" t="inlineStr">
        <is>
          <t>BLYP-29-002</t>
        </is>
      </c>
      <c r="B579" s="29" t="inlineStr"/>
      <c r="C579" s="29" t="inlineStr">
        <is>
          <t>Help, support, and appeals</t>
        </is>
      </c>
      <c r="D579" s="29" t="n">
        <v>29</v>
      </c>
      <c r="E579" s="29" t="n">
        <v>2</v>
      </c>
      <c r="F579" s="29" t="inlineStr">
        <is>
          <t>Feature</t>
        </is>
      </c>
      <c r="G579" s="29" t="inlineStr">
        <is>
          <t>Searchable help guidance</t>
        </is>
      </c>
      <c r="H579" s="29" t="inlineStr">
        <is>
          <t>Searchable help guidance</t>
        </is>
      </c>
      <c r="I579" s="29" t="inlineStr">
        <is>
          <t>/home/ubuntu/blyp_product_requirements.md :: Section 29 — Help, support, and appeals</t>
        </is>
      </c>
      <c r="J579" s="29" t="inlineStr">
        <is>
          <t>/home/ubuntu/BLYP_COMPLETE_FEATURE_LIST.md:733</t>
        </is>
      </c>
      <c r="K579" s="29" t="inlineStr">
        <is>
          <t>Required</t>
        </is>
      </c>
      <c r="L579" s="29" t="inlineStr">
        <is>
          <t>Authorized operator or accountable service owner</t>
        </is>
      </c>
      <c r="M579" s="29" t="inlineStr">
        <is>
          <t>BLYP mobile application and supporting production services</t>
        </is>
      </c>
      <c r="N579" s="29" t="inlineStr">
        <is>
          <t>Searchable help guidance</t>
        </is>
      </c>
      <c r="O579" s="29" t="inlineStr">
        <is>
          <t>Not explicitly defined in the product source; requires accountable product approval before production sign-off.</t>
        </is>
      </c>
      <c r="P579" s="29" t="inlineStr"/>
      <c r="Q579" s="29" t="inlineStr">
        <is>
          <t>No evidence</t>
        </is>
      </c>
      <c r="R579" s="29" t="inlineStr"/>
      <c r="S579" s="29" t="inlineStr">
        <is>
          <t>Not found</t>
        </is>
      </c>
      <c r="T579" s="29" t="inlineStr"/>
      <c r="U579" s="29" t="inlineStr"/>
      <c r="V579" s="29" t="inlineStr"/>
      <c r="W579" s="29" t="inlineStr"/>
      <c r="X579" s="29" t="inlineStr"/>
      <c r="Y579" s="29" t="inlineStr"/>
      <c r="Z579" s="29" t="inlineStr"/>
      <c r="AA579" s="29" t="inlineStr"/>
      <c r="AB579" s="29" t="inlineStr"/>
      <c r="AC579" s="29" t="inlineStr"/>
      <c r="AD579" s="29" t="inlineStr"/>
      <c r="AE579" s="29" t="inlineStr">
        <is>
          <t>Not wired</t>
        </is>
      </c>
      <c r="AF579" s="29" t="inlineStr"/>
      <c r="AG579" s="29" t="inlineStr">
        <is>
          <t>Not started</t>
        </is>
      </c>
      <c r="AH579" s="29" t="inlineStr">
        <is>
          <t>No</t>
        </is>
      </c>
      <c r="AI579" s="29" t="inlineStr">
        <is>
          <t>No implementation found in source code</t>
        </is>
      </c>
      <c r="AJ579" s="29" t="inlineStr">
        <is>
          <t>Source traced</t>
        </is>
      </c>
      <c r="AK579" s="29" t="inlineStr"/>
      <c r="AL579" s="29" t="inlineStr"/>
      <c r="AM579" s="29" t="inlineStr"/>
      <c r="AN579" s="29" t="inlineStr"/>
      <c r="AO579" s="29" t="inlineStr">
        <is>
          <t>8bc0dcb2a1da1b21368c5536aaeef829d587f316</t>
        </is>
      </c>
      <c r="AP579" s="29" t="inlineStr">
        <is>
          <t>High</t>
        </is>
      </c>
      <c r="AQ579" s="29" t="inlineStr">
        <is>
          <t>Not assessed</t>
        </is>
      </c>
      <c r="AR579" s="29" t="inlineStr">
        <is>
          <t>Not assessed</t>
        </is>
      </c>
      <c r="AS579" s="29" t="inlineStr">
        <is>
          <t>Fail</t>
        </is>
      </c>
      <c r="AT579" s="29" t="inlineStr">
        <is>
          <t>Not assessed</t>
        </is>
      </c>
      <c r="AU579" s="29" t="inlineStr">
        <is>
          <t>Not assessed</t>
        </is>
      </c>
      <c r="AV579" s="29" t="inlineStr">
        <is>
          <t>Not assessed</t>
        </is>
      </c>
      <c r="AW579" s="29" t="inlineStr">
        <is>
          <t>Not assessed</t>
        </is>
      </c>
      <c r="AX579" s="29" t="inlineStr">
        <is>
          <t>Not assessed</t>
        </is>
      </c>
      <c r="AY579" s="29" t="inlineStr">
        <is>
          <t>Not assessed</t>
        </is>
      </c>
      <c r="AZ579" s="29" t="inlineStr">
        <is>
          <t>Not assessed</t>
        </is>
      </c>
      <c r="BA579" s="29" t="inlineStr">
        <is>
          <t>Not assessed</t>
        </is>
      </c>
      <c r="BB579" s="29" t="inlineStr">
        <is>
          <t>Not assessed</t>
        </is>
      </c>
      <c r="BC579" s="29" t="inlineStr">
        <is>
          <t>Not assessed</t>
        </is>
      </c>
      <c r="BD579" s="29" t="inlineStr">
        <is>
          <t>Not assessed</t>
        </is>
      </c>
      <c r="BE579" s="29" t="inlineStr">
        <is>
          <t>Development required</t>
        </is>
      </c>
      <c r="BF579" s="29" t="inlineStr">
        <is>
          <t>Physical implementation is not complete against the stated requirement.; No implementation found in source code</t>
        </is>
      </c>
      <c r="BG579" s="29" t="inlineStr"/>
      <c r="BH579" s="29" t="inlineStr"/>
      <c r="BI579" s="29" t="inlineStr"/>
      <c r="BJ579" s="29" t="inlineStr"/>
      <c r="BK579" s="29" t="inlineStr">
        <is>
          <t>Evidence reconciled against the reviewed source revision. No production approval is inferred from implementation or file presence.</t>
        </is>
      </c>
      <c r="BL579" s="29" t="inlineStr">
        <is>
          <t>2026-08-02</t>
        </is>
      </c>
    </row>
    <row r="580" ht="42" customHeight="1">
      <c r="A580" s="29" t="inlineStr">
        <is>
          <t>BLYP-29-003</t>
        </is>
      </c>
      <c r="B580" s="29" t="inlineStr"/>
      <c r="C580" s="29" t="inlineStr">
        <is>
          <t>Help, support, and appeals</t>
        </is>
      </c>
      <c r="D580" s="29" t="n">
        <v>29</v>
      </c>
      <c r="E580" s="29" t="n">
        <v>3</v>
      </c>
      <c r="F580" s="29" t="inlineStr">
        <is>
          <t>Feature</t>
        </is>
      </c>
      <c r="G580" s="29" t="inlineStr">
        <is>
          <t>Service-status information</t>
        </is>
      </c>
      <c r="H580" s="29" t="inlineStr">
        <is>
          <t>Service-status information</t>
        </is>
      </c>
      <c r="I580" s="29" t="inlineStr">
        <is>
          <t>/home/ubuntu/blyp_product_requirements.md :: Section 29 — Help, support, and appeals</t>
        </is>
      </c>
      <c r="J580" s="29" t="inlineStr">
        <is>
          <t>/home/ubuntu/BLYP_COMPLETE_FEATURE_LIST.md:734</t>
        </is>
      </c>
      <c r="K580" s="29" t="inlineStr">
        <is>
          <t>Required</t>
        </is>
      </c>
      <c r="L580" s="29" t="inlineStr">
        <is>
          <t>Authorized operator or accountable service owner</t>
        </is>
      </c>
      <c r="M580" s="29" t="inlineStr">
        <is>
          <t>BLYP mobile application and supporting production services</t>
        </is>
      </c>
      <c r="N580" s="29" t="inlineStr">
        <is>
          <t>Service-status information</t>
        </is>
      </c>
      <c r="O580" s="29" t="inlineStr">
        <is>
          <t>Not explicitly defined in the product source; requires accountable product approval before production sign-off.</t>
        </is>
      </c>
      <c r="P580" s="29" t="inlineStr"/>
      <c r="Q580" s="29" t="inlineStr">
        <is>
          <t>No evidence</t>
        </is>
      </c>
      <c r="R580" s="29" t="inlineStr"/>
      <c r="S580" s="29" t="inlineStr">
        <is>
          <t>Not found</t>
        </is>
      </c>
      <c r="T580" s="29" t="inlineStr"/>
      <c r="U580" s="29" t="inlineStr"/>
      <c r="V580" s="29" t="inlineStr"/>
      <c r="W580" s="29" t="inlineStr"/>
      <c r="X580" s="29" t="inlineStr"/>
      <c r="Y580" s="29" t="inlineStr"/>
      <c r="Z580" s="29" t="inlineStr"/>
      <c r="AA580" s="29" t="inlineStr"/>
      <c r="AB580" s="29" t="inlineStr"/>
      <c r="AC580" s="29" t="inlineStr"/>
      <c r="AD580" s="29" t="inlineStr"/>
      <c r="AE580" s="29" t="inlineStr">
        <is>
          <t>Not wired</t>
        </is>
      </c>
      <c r="AF580" s="29" t="inlineStr"/>
      <c r="AG580" s="29" t="inlineStr">
        <is>
          <t>Not started</t>
        </is>
      </c>
      <c r="AH580" s="29" t="inlineStr">
        <is>
          <t>No</t>
        </is>
      </c>
      <c r="AI580" s="29" t="inlineStr">
        <is>
          <t>No implementation found in source code</t>
        </is>
      </c>
      <c r="AJ580" s="29" t="inlineStr">
        <is>
          <t>Source traced</t>
        </is>
      </c>
      <c r="AK580" s="29" t="inlineStr"/>
      <c r="AL580" s="29" t="inlineStr"/>
      <c r="AM580" s="29" t="inlineStr"/>
      <c r="AN580" s="29" t="inlineStr"/>
      <c r="AO580" s="29" t="inlineStr">
        <is>
          <t>8bc0dcb2a1da1b21368c5536aaeef829d587f316</t>
        </is>
      </c>
      <c r="AP580" s="29" t="inlineStr">
        <is>
          <t>High</t>
        </is>
      </c>
      <c r="AQ580" s="29" t="inlineStr">
        <is>
          <t>Not assessed</t>
        </is>
      </c>
      <c r="AR580" s="29" t="inlineStr">
        <is>
          <t>Not assessed</t>
        </is>
      </c>
      <c r="AS580" s="29" t="inlineStr">
        <is>
          <t>Fail</t>
        </is>
      </c>
      <c r="AT580" s="29" t="inlineStr">
        <is>
          <t>Not assessed</t>
        </is>
      </c>
      <c r="AU580" s="29" t="inlineStr">
        <is>
          <t>Not assessed</t>
        </is>
      </c>
      <c r="AV580" s="29" t="inlineStr">
        <is>
          <t>Not assessed</t>
        </is>
      </c>
      <c r="AW580" s="29" t="inlineStr">
        <is>
          <t>Not assessed</t>
        </is>
      </c>
      <c r="AX580" s="29" t="inlineStr">
        <is>
          <t>Not assessed</t>
        </is>
      </c>
      <c r="AY580" s="29" t="inlineStr">
        <is>
          <t>Not assessed</t>
        </is>
      </c>
      <c r="AZ580" s="29" t="inlineStr">
        <is>
          <t>Not assessed</t>
        </is>
      </c>
      <c r="BA580" s="29" t="inlineStr">
        <is>
          <t>Not assessed</t>
        </is>
      </c>
      <c r="BB580" s="29" t="inlineStr">
        <is>
          <t>Not assessed</t>
        </is>
      </c>
      <c r="BC580" s="29" t="inlineStr">
        <is>
          <t>Not assessed</t>
        </is>
      </c>
      <c r="BD580" s="29" t="inlineStr">
        <is>
          <t>Not assessed</t>
        </is>
      </c>
      <c r="BE580" s="29" t="inlineStr">
        <is>
          <t>Development required</t>
        </is>
      </c>
      <c r="BF580" s="29" t="inlineStr">
        <is>
          <t>Physical implementation is not complete against the stated requirement.; No implementation found in source code</t>
        </is>
      </c>
      <c r="BG580" s="29" t="inlineStr"/>
      <c r="BH580" s="29" t="inlineStr"/>
      <c r="BI580" s="29" t="inlineStr"/>
      <c r="BJ580" s="29" t="inlineStr"/>
      <c r="BK580" s="29" t="inlineStr">
        <is>
          <t>Evidence reconciled against the reviewed source revision. No production approval is inferred from implementation or file presence.</t>
        </is>
      </c>
      <c r="BL580" s="29" t="inlineStr">
        <is>
          <t>2026-08-02</t>
        </is>
      </c>
    </row>
    <row r="581" ht="42" customHeight="1">
      <c r="A581" s="29" t="inlineStr">
        <is>
          <t>BLYP-29-004</t>
        </is>
      </c>
      <c r="B581" s="29" t="inlineStr"/>
      <c r="C581" s="29" t="inlineStr">
        <is>
          <t>Help, support, and appeals</t>
        </is>
      </c>
      <c r="D581" s="29" t="n">
        <v>29</v>
      </c>
      <c r="E581" s="29" t="n">
        <v>4</v>
      </c>
      <c r="F581" s="29" t="inlineStr">
        <is>
          <t>Feature</t>
        </is>
      </c>
      <c r="G581" s="29" t="inlineStr">
        <is>
          <t>Community rules surface</t>
        </is>
      </c>
      <c r="H581" s="29" t="inlineStr">
        <is>
          <t>Community rules surface</t>
        </is>
      </c>
      <c r="I581" s="29" t="inlineStr">
        <is>
          <t>/home/ubuntu/blyp_product_requirements.md :: Section 29 — Help, support, and appeals</t>
        </is>
      </c>
      <c r="J581" s="29" t="inlineStr">
        <is>
          <t>/home/ubuntu/BLYP_COMPLETE_FEATURE_LIST.md:735</t>
        </is>
      </c>
      <c r="K581" s="29" t="inlineStr">
        <is>
          <t>Required</t>
        </is>
      </c>
      <c r="L581" s="29" t="inlineStr">
        <is>
          <t>Authorized operator or accountable service owner</t>
        </is>
      </c>
      <c r="M581" s="29" t="inlineStr">
        <is>
          <t>BLYP mobile application and supporting production services</t>
        </is>
      </c>
      <c r="N581" s="29" t="inlineStr">
        <is>
          <t>Community rules surface</t>
        </is>
      </c>
      <c r="O581" s="29" t="inlineStr">
        <is>
          <t>Not explicitly defined in the product source; requires accountable product approval before production sign-off.</t>
        </is>
      </c>
      <c r="P581" s="29" t="inlineStr"/>
      <c r="Q581" s="29" t="inlineStr">
        <is>
          <t>No evidence</t>
        </is>
      </c>
      <c r="R581" s="29" t="inlineStr"/>
      <c r="S581" s="29" t="inlineStr">
        <is>
          <t>Not found</t>
        </is>
      </c>
      <c r="T581" s="29" t="inlineStr"/>
      <c r="U581" s="29" t="inlineStr"/>
      <c r="V581" s="29" t="inlineStr"/>
      <c r="W581" s="29" t="inlineStr"/>
      <c r="X581" s="29" t="inlineStr"/>
      <c r="Y581" s="29" t="inlineStr"/>
      <c r="Z581" s="29" t="inlineStr"/>
      <c r="AA581" s="29" t="inlineStr"/>
      <c r="AB581" s="29" t="inlineStr"/>
      <c r="AC581" s="29" t="inlineStr"/>
      <c r="AD581" s="29" t="inlineStr"/>
      <c r="AE581" s="29" t="inlineStr">
        <is>
          <t>Not wired</t>
        </is>
      </c>
      <c r="AF581" s="29" t="inlineStr"/>
      <c r="AG581" s="29" t="inlineStr">
        <is>
          <t>Not started</t>
        </is>
      </c>
      <c r="AH581" s="29" t="inlineStr">
        <is>
          <t>No</t>
        </is>
      </c>
      <c r="AI581" s="29" t="inlineStr">
        <is>
          <t>No implementation found in source code</t>
        </is>
      </c>
      <c r="AJ581" s="29" t="inlineStr">
        <is>
          <t>Source traced</t>
        </is>
      </c>
      <c r="AK581" s="29" t="inlineStr"/>
      <c r="AL581" s="29" t="inlineStr"/>
      <c r="AM581" s="29" t="inlineStr"/>
      <c r="AN581" s="29" t="inlineStr"/>
      <c r="AO581" s="29" t="inlineStr">
        <is>
          <t>8bc0dcb2a1da1b21368c5536aaeef829d587f316</t>
        </is>
      </c>
      <c r="AP581" s="29" t="inlineStr">
        <is>
          <t>High</t>
        </is>
      </c>
      <c r="AQ581" s="29" t="inlineStr">
        <is>
          <t>Not assessed</t>
        </is>
      </c>
      <c r="AR581" s="29" t="inlineStr">
        <is>
          <t>Not assessed</t>
        </is>
      </c>
      <c r="AS581" s="29" t="inlineStr">
        <is>
          <t>Fail</t>
        </is>
      </c>
      <c r="AT581" s="29" t="inlineStr">
        <is>
          <t>Not assessed</t>
        </is>
      </c>
      <c r="AU581" s="29" t="inlineStr">
        <is>
          <t>Not assessed</t>
        </is>
      </c>
      <c r="AV581" s="29" t="inlineStr">
        <is>
          <t>Not assessed</t>
        </is>
      </c>
      <c r="AW581" s="29" t="inlineStr">
        <is>
          <t>Not assessed</t>
        </is>
      </c>
      <c r="AX581" s="29" t="inlineStr">
        <is>
          <t>Not assessed</t>
        </is>
      </c>
      <c r="AY581" s="29" t="inlineStr">
        <is>
          <t>Not assessed</t>
        </is>
      </c>
      <c r="AZ581" s="29" t="inlineStr">
        <is>
          <t>Not assessed</t>
        </is>
      </c>
      <c r="BA581" s="29" t="inlineStr">
        <is>
          <t>Not assessed</t>
        </is>
      </c>
      <c r="BB581" s="29" t="inlineStr">
        <is>
          <t>Not assessed</t>
        </is>
      </c>
      <c r="BC581" s="29" t="inlineStr">
        <is>
          <t>Not assessed</t>
        </is>
      </c>
      <c r="BD581" s="29" t="inlineStr">
        <is>
          <t>Not assessed</t>
        </is>
      </c>
      <c r="BE581" s="29" t="inlineStr">
        <is>
          <t>Development required</t>
        </is>
      </c>
      <c r="BF581" s="29" t="inlineStr">
        <is>
          <t>Physical implementation is not complete against the stated requirement.; No implementation found in source code</t>
        </is>
      </c>
      <c r="BG581" s="29" t="inlineStr"/>
      <c r="BH581" s="29" t="inlineStr"/>
      <c r="BI581" s="29" t="inlineStr"/>
      <c r="BJ581" s="29" t="inlineStr"/>
      <c r="BK581" s="29" t="inlineStr">
        <is>
          <t>Evidence reconciled against the reviewed source revision. No production approval is inferred from implementation or file presence.</t>
        </is>
      </c>
      <c r="BL581" s="29" t="inlineStr">
        <is>
          <t>2026-08-02</t>
        </is>
      </c>
    </row>
    <row r="582" ht="42" customHeight="1">
      <c r="A582" s="29" t="inlineStr">
        <is>
          <t>BLYP-29-005</t>
        </is>
      </c>
      <c r="B582" s="29" t="inlineStr"/>
      <c r="C582" s="29" t="inlineStr">
        <is>
          <t>Help, support, and appeals</t>
        </is>
      </c>
      <c r="D582" s="29" t="n">
        <v>29</v>
      </c>
      <c r="E582" s="29" t="n">
        <v>5</v>
      </c>
      <c r="F582" s="29" t="inlineStr">
        <is>
          <t>Operational requirement</t>
        </is>
      </c>
      <c r="G582" s="29" t="inlineStr">
        <is>
          <t>Technical-support route</t>
        </is>
      </c>
      <c r="H582" s="29" t="inlineStr">
        <is>
          <t>Technical-support route</t>
        </is>
      </c>
      <c r="I582" s="29" t="inlineStr">
        <is>
          <t>/home/ubuntu/blyp_product_requirements.md :: Section 29 — Help, support, and appeals</t>
        </is>
      </c>
      <c r="J582" s="29" t="inlineStr">
        <is>
          <t>/home/ubuntu/BLYP_COMPLETE_FEATURE_LIST.md:736</t>
        </is>
      </c>
      <c r="K582" s="29" t="inlineStr">
        <is>
          <t>Required</t>
        </is>
      </c>
      <c r="L582" s="29" t="inlineStr">
        <is>
          <t>Authorized operator or accountable service owner</t>
        </is>
      </c>
      <c r="M582" s="29" t="inlineStr">
        <is>
          <t>Production platform and operations</t>
        </is>
      </c>
      <c r="N582" s="29" t="inlineStr">
        <is>
          <t>Technical-support route</t>
        </is>
      </c>
      <c r="O582" s="29" t="inlineStr">
        <is>
          <t>Not explicitly defined in the product source; requires accountable product approval before production sign-off.</t>
        </is>
      </c>
      <c r="P582" s="29" t="inlineStr"/>
      <c r="Q582" s="29" t="inlineStr">
        <is>
          <t>No evidence</t>
        </is>
      </c>
      <c r="R582" s="29" t="inlineStr"/>
      <c r="S582" s="29" t="inlineStr">
        <is>
          <t>Not found</t>
        </is>
      </c>
      <c r="T582" s="29" t="inlineStr"/>
      <c r="U582" s="29" t="inlineStr"/>
      <c r="V582" s="29" t="inlineStr"/>
      <c r="W582" s="29" t="inlineStr"/>
      <c r="X582" s="29" t="inlineStr"/>
      <c r="Y582" s="29" t="inlineStr"/>
      <c r="Z582" s="29" t="inlineStr"/>
      <c r="AA582" s="29" t="inlineStr"/>
      <c r="AB582" s="29" t="inlineStr"/>
      <c r="AC582" s="29" t="inlineStr"/>
      <c r="AD582" s="29" t="inlineStr"/>
      <c r="AE582" s="29" t="inlineStr">
        <is>
          <t>Not wired</t>
        </is>
      </c>
      <c r="AF582" s="29" t="inlineStr"/>
      <c r="AG582" s="29" t="inlineStr">
        <is>
          <t>Not started</t>
        </is>
      </c>
      <c r="AH582" s="29" t="inlineStr">
        <is>
          <t>No</t>
        </is>
      </c>
      <c r="AI582" s="29" t="inlineStr">
        <is>
          <t>No implementation found in source code</t>
        </is>
      </c>
      <c r="AJ582" s="29" t="inlineStr">
        <is>
          <t>Source traced</t>
        </is>
      </c>
      <c r="AK582" s="29" t="inlineStr"/>
      <c r="AL582" s="29" t="inlineStr"/>
      <c r="AM582" s="29" t="inlineStr"/>
      <c r="AN582" s="29" t="inlineStr"/>
      <c r="AO582" s="29" t="inlineStr">
        <is>
          <t>8bc0dcb2a1da1b21368c5536aaeef829d587f316</t>
        </is>
      </c>
      <c r="AP582" s="29" t="inlineStr">
        <is>
          <t>High</t>
        </is>
      </c>
      <c r="AQ582" s="29" t="inlineStr">
        <is>
          <t>Not assessed</t>
        </is>
      </c>
      <c r="AR582" s="29" t="inlineStr">
        <is>
          <t>Not assessed</t>
        </is>
      </c>
      <c r="AS582" s="29" t="inlineStr">
        <is>
          <t>Fail</t>
        </is>
      </c>
      <c r="AT582" s="29" t="inlineStr">
        <is>
          <t>Not assessed</t>
        </is>
      </c>
      <c r="AU582" s="29" t="inlineStr">
        <is>
          <t>Not assessed</t>
        </is>
      </c>
      <c r="AV582" s="29" t="inlineStr">
        <is>
          <t>Not assessed</t>
        </is>
      </c>
      <c r="AW582" s="29" t="inlineStr">
        <is>
          <t>Not assessed</t>
        </is>
      </c>
      <c r="AX582" s="29" t="inlineStr">
        <is>
          <t>Not assessed</t>
        </is>
      </c>
      <c r="AY582" s="29" t="inlineStr">
        <is>
          <t>Not assessed</t>
        </is>
      </c>
      <c r="AZ582" s="29" t="inlineStr">
        <is>
          <t>Not assessed</t>
        </is>
      </c>
      <c r="BA582" s="29" t="inlineStr">
        <is>
          <t>Not assessed</t>
        </is>
      </c>
      <c r="BB582" s="29" t="inlineStr">
        <is>
          <t>Not assessed</t>
        </is>
      </c>
      <c r="BC582" s="29" t="inlineStr">
        <is>
          <t>Not assessed</t>
        </is>
      </c>
      <c r="BD582" s="29" t="inlineStr">
        <is>
          <t>Not assessed</t>
        </is>
      </c>
      <c r="BE582" s="29" t="inlineStr">
        <is>
          <t>Development required</t>
        </is>
      </c>
      <c r="BF582" s="29" t="inlineStr">
        <is>
          <t>Physical implementation is not complete against the stated requirement.; No implementation found in source code</t>
        </is>
      </c>
      <c r="BG582" s="29" t="inlineStr"/>
      <c r="BH582" s="29" t="inlineStr"/>
      <c r="BI582" s="29" t="inlineStr"/>
      <c r="BJ582" s="29" t="inlineStr"/>
      <c r="BK582" s="29" t="inlineStr">
        <is>
          <t>Evidence reconciled against the reviewed source revision. No production approval is inferred from implementation or file presence.</t>
        </is>
      </c>
      <c r="BL582" s="29" t="inlineStr">
        <is>
          <t>2026-08-02</t>
        </is>
      </c>
    </row>
    <row r="583" ht="42" customHeight="1">
      <c r="A583" s="29" t="inlineStr">
        <is>
          <t>BLYP-29-006</t>
        </is>
      </c>
      <c r="B583" s="29" t="inlineStr"/>
      <c r="C583" s="29" t="inlineStr">
        <is>
          <t>Help, support, and appeals</t>
        </is>
      </c>
      <c r="D583" s="29" t="n">
        <v>29</v>
      </c>
      <c r="E583" s="29" t="n">
        <v>6</v>
      </c>
      <c r="F583" s="29" t="inlineStr">
        <is>
          <t>Operational requirement</t>
        </is>
      </c>
      <c r="G583" s="29" t="inlineStr">
        <is>
          <t>Payment-support route</t>
        </is>
      </c>
      <c r="H583" s="29" t="inlineStr">
        <is>
          <t>Payment-support route</t>
        </is>
      </c>
      <c r="I583" s="29" t="inlineStr">
        <is>
          <t>/home/ubuntu/blyp_product_requirements.md :: Section 29 — Help, support, and appeals</t>
        </is>
      </c>
      <c r="J583" s="29" t="inlineStr">
        <is>
          <t>/home/ubuntu/BLYP_COMPLETE_FEATURE_LIST.md:737</t>
        </is>
      </c>
      <c r="K583" s="29" t="inlineStr">
        <is>
          <t>Required</t>
        </is>
      </c>
      <c r="L583" s="29" t="inlineStr">
        <is>
          <t>Authorized operator or accountable service owner</t>
        </is>
      </c>
      <c r="M583" s="29" t="inlineStr">
        <is>
          <t>Production platform and operations</t>
        </is>
      </c>
      <c r="N583" s="29" t="inlineStr">
        <is>
          <t>Payment-support route</t>
        </is>
      </c>
      <c r="O583" s="29" t="inlineStr">
        <is>
          <t>Not explicitly defined in the product source; requires accountable product approval before production sign-off.</t>
        </is>
      </c>
      <c r="P583" s="29" t="inlineStr"/>
      <c r="Q583" s="29" t="inlineStr">
        <is>
          <t>No evidence</t>
        </is>
      </c>
      <c r="R583" s="29" t="inlineStr"/>
      <c r="S583" s="29" t="inlineStr">
        <is>
          <t>Not found</t>
        </is>
      </c>
      <c r="T583" s="29" t="inlineStr"/>
      <c r="U583" s="29" t="inlineStr"/>
      <c r="V583" s="29" t="inlineStr"/>
      <c r="W583" s="29" t="inlineStr"/>
      <c r="X583" s="29" t="inlineStr"/>
      <c r="Y583" s="29" t="inlineStr"/>
      <c r="Z583" s="29" t="inlineStr"/>
      <c r="AA583" s="29" t="inlineStr"/>
      <c r="AB583" s="29" t="inlineStr"/>
      <c r="AC583" s="29" t="inlineStr"/>
      <c r="AD583" s="29" t="inlineStr"/>
      <c r="AE583" s="29" t="inlineStr">
        <is>
          <t>Not wired</t>
        </is>
      </c>
      <c r="AF583" s="29" t="inlineStr"/>
      <c r="AG583" s="29" t="inlineStr">
        <is>
          <t>Not started</t>
        </is>
      </c>
      <c r="AH583" s="29" t="inlineStr">
        <is>
          <t>No</t>
        </is>
      </c>
      <c r="AI583" s="29" t="inlineStr">
        <is>
          <t>No implementation found in source code</t>
        </is>
      </c>
      <c r="AJ583" s="29" t="inlineStr">
        <is>
          <t>Source traced</t>
        </is>
      </c>
      <c r="AK583" s="29" t="inlineStr"/>
      <c r="AL583" s="29" t="inlineStr"/>
      <c r="AM583" s="29" t="inlineStr"/>
      <c r="AN583" s="29" t="inlineStr"/>
      <c r="AO583" s="29" t="inlineStr">
        <is>
          <t>8bc0dcb2a1da1b21368c5536aaeef829d587f316</t>
        </is>
      </c>
      <c r="AP583" s="29" t="inlineStr">
        <is>
          <t>High</t>
        </is>
      </c>
      <c r="AQ583" s="29" t="inlineStr">
        <is>
          <t>Not assessed</t>
        </is>
      </c>
      <c r="AR583" s="29" t="inlineStr">
        <is>
          <t>Not assessed</t>
        </is>
      </c>
      <c r="AS583" s="29" t="inlineStr">
        <is>
          <t>Fail</t>
        </is>
      </c>
      <c r="AT583" s="29" t="inlineStr">
        <is>
          <t>Not assessed</t>
        </is>
      </c>
      <c r="AU583" s="29" t="inlineStr">
        <is>
          <t>Not assessed</t>
        </is>
      </c>
      <c r="AV583" s="29" t="inlineStr">
        <is>
          <t>Not assessed</t>
        </is>
      </c>
      <c r="AW583" s="29" t="inlineStr">
        <is>
          <t>Not assessed</t>
        </is>
      </c>
      <c r="AX583" s="29" t="inlineStr">
        <is>
          <t>Not assessed</t>
        </is>
      </c>
      <c r="AY583" s="29" t="inlineStr">
        <is>
          <t>Not assessed</t>
        </is>
      </c>
      <c r="AZ583" s="29" t="inlineStr">
        <is>
          <t>Not assessed</t>
        </is>
      </c>
      <c r="BA583" s="29" t="inlineStr">
        <is>
          <t>Not assessed</t>
        </is>
      </c>
      <c r="BB583" s="29" t="inlineStr">
        <is>
          <t>Not assessed</t>
        </is>
      </c>
      <c r="BC583" s="29" t="inlineStr">
        <is>
          <t>Not assessed</t>
        </is>
      </c>
      <c r="BD583" s="29" t="inlineStr">
        <is>
          <t>Not assessed</t>
        </is>
      </c>
      <c r="BE583" s="29" t="inlineStr">
        <is>
          <t>Development required</t>
        </is>
      </c>
      <c r="BF583" s="29" t="inlineStr">
        <is>
          <t>Physical implementation is not complete against the stated requirement.; No implementation found in source code</t>
        </is>
      </c>
      <c r="BG583" s="29" t="inlineStr"/>
      <c r="BH583" s="29" t="inlineStr"/>
      <c r="BI583" s="29" t="inlineStr"/>
      <c r="BJ583" s="29" t="inlineStr"/>
      <c r="BK583" s="29" t="inlineStr">
        <is>
          <t>Evidence reconciled against the reviewed source revision. No production approval is inferred from implementation or file presence.</t>
        </is>
      </c>
      <c r="BL583" s="29" t="inlineStr">
        <is>
          <t>2026-08-02</t>
        </is>
      </c>
    </row>
    <row r="584" ht="42" customHeight="1">
      <c r="A584" s="29" t="inlineStr">
        <is>
          <t>BLYP-29-007</t>
        </is>
      </c>
      <c r="B584" s="29" t="inlineStr"/>
      <c r="C584" s="29" t="inlineStr">
        <is>
          <t>Help, support, and appeals</t>
        </is>
      </c>
      <c r="D584" s="29" t="n">
        <v>29</v>
      </c>
      <c r="E584" s="29" t="n">
        <v>7</v>
      </c>
      <c r="F584" s="29" t="inlineStr">
        <is>
          <t>Operational requirement</t>
        </is>
      </c>
      <c r="G584" s="29" t="inlineStr">
        <is>
          <t>Safety-support route</t>
        </is>
      </c>
      <c r="H584" s="29" t="inlineStr">
        <is>
          <t>Safety-support route</t>
        </is>
      </c>
      <c r="I584" s="29" t="inlineStr">
        <is>
          <t>/home/ubuntu/blyp_product_requirements.md :: Section 29 — Help, support, and appeals</t>
        </is>
      </c>
      <c r="J584" s="29" t="inlineStr">
        <is>
          <t>/home/ubuntu/BLYP_COMPLETE_FEATURE_LIST.md:738</t>
        </is>
      </c>
      <c r="K584" s="29" t="inlineStr">
        <is>
          <t>Required</t>
        </is>
      </c>
      <c r="L584" s="29" t="inlineStr">
        <is>
          <t>Authorized operator or accountable service owner</t>
        </is>
      </c>
      <c r="M584" s="29" t="inlineStr">
        <is>
          <t>Production platform and operations</t>
        </is>
      </c>
      <c r="N584" s="29" t="inlineStr">
        <is>
          <t>Safety-support route</t>
        </is>
      </c>
      <c r="O584" s="29" t="inlineStr">
        <is>
          <t>Not explicitly defined in the product source; requires accountable product approval before production sign-off.</t>
        </is>
      </c>
      <c r="P584" s="29" t="inlineStr"/>
      <c r="Q584" s="29" t="inlineStr">
        <is>
          <t>No evidence</t>
        </is>
      </c>
      <c r="R584" s="29" t="inlineStr"/>
      <c r="S584" s="29" t="inlineStr">
        <is>
          <t>Not found</t>
        </is>
      </c>
      <c r="T584" s="29" t="inlineStr"/>
      <c r="U584" s="29" t="inlineStr"/>
      <c r="V584" s="29" t="inlineStr"/>
      <c r="W584" s="29" t="inlineStr"/>
      <c r="X584" s="29" t="inlineStr"/>
      <c r="Y584" s="29" t="inlineStr"/>
      <c r="Z584" s="29" t="inlineStr"/>
      <c r="AA584" s="29" t="inlineStr"/>
      <c r="AB584" s="29" t="inlineStr"/>
      <c r="AC584" s="29" t="inlineStr"/>
      <c r="AD584" s="29" t="inlineStr"/>
      <c r="AE584" s="29" t="inlineStr">
        <is>
          <t>Not wired</t>
        </is>
      </c>
      <c r="AF584" s="29" t="inlineStr"/>
      <c r="AG584" s="29" t="inlineStr">
        <is>
          <t>Not started</t>
        </is>
      </c>
      <c r="AH584" s="29" t="inlineStr">
        <is>
          <t>No</t>
        </is>
      </c>
      <c r="AI584" s="29" t="inlineStr">
        <is>
          <t>No implementation found in source code</t>
        </is>
      </c>
      <c r="AJ584" s="29" t="inlineStr">
        <is>
          <t>Source traced</t>
        </is>
      </c>
      <c r="AK584" s="29" t="inlineStr"/>
      <c r="AL584" s="29" t="inlineStr"/>
      <c r="AM584" s="29" t="inlineStr"/>
      <c r="AN584" s="29" t="inlineStr"/>
      <c r="AO584" s="29" t="inlineStr">
        <is>
          <t>8bc0dcb2a1da1b21368c5536aaeef829d587f316</t>
        </is>
      </c>
      <c r="AP584" s="29" t="inlineStr">
        <is>
          <t>High</t>
        </is>
      </c>
      <c r="AQ584" s="29" t="inlineStr">
        <is>
          <t>Not assessed</t>
        </is>
      </c>
      <c r="AR584" s="29" t="inlineStr">
        <is>
          <t>Not assessed</t>
        </is>
      </c>
      <c r="AS584" s="29" t="inlineStr">
        <is>
          <t>Fail</t>
        </is>
      </c>
      <c r="AT584" s="29" t="inlineStr">
        <is>
          <t>Not assessed</t>
        </is>
      </c>
      <c r="AU584" s="29" t="inlineStr">
        <is>
          <t>Not assessed</t>
        </is>
      </c>
      <c r="AV584" s="29" t="inlineStr">
        <is>
          <t>Not assessed</t>
        </is>
      </c>
      <c r="AW584" s="29" t="inlineStr">
        <is>
          <t>Not assessed</t>
        </is>
      </c>
      <c r="AX584" s="29" t="inlineStr">
        <is>
          <t>Not assessed</t>
        </is>
      </c>
      <c r="AY584" s="29" t="inlineStr">
        <is>
          <t>Not assessed</t>
        </is>
      </c>
      <c r="AZ584" s="29" t="inlineStr">
        <is>
          <t>Not assessed</t>
        </is>
      </c>
      <c r="BA584" s="29" t="inlineStr">
        <is>
          <t>Not assessed</t>
        </is>
      </c>
      <c r="BB584" s="29" t="inlineStr">
        <is>
          <t>Not assessed</t>
        </is>
      </c>
      <c r="BC584" s="29" t="inlineStr">
        <is>
          <t>Not assessed</t>
        </is>
      </c>
      <c r="BD584" s="29" t="inlineStr">
        <is>
          <t>Not assessed</t>
        </is>
      </c>
      <c r="BE584" s="29" t="inlineStr">
        <is>
          <t>Development required</t>
        </is>
      </c>
      <c r="BF584" s="29" t="inlineStr">
        <is>
          <t>Physical implementation is not complete against the stated requirement.; No implementation found in source code</t>
        </is>
      </c>
      <c r="BG584" s="29" t="inlineStr"/>
      <c r="BH584" s="29" t="inlineStr"/>
      <c r="BI584" s="29" t="inlineStr"/>
      <c r="BJ584" s="29" t="inlineStr"/>
      <c r="BK584" s="29" t="inlineStr">
        <is>
          <t>Evidence reconciled against the reviewed source revision. No production approval is inferred from implementation or file presence.</t>
        </is>
      </c>
      <c r="BL584" s="29" t="inlineStr">
        <is>
          <t>2026-08-02</t>
        </is>
      </c>
    </row>
    <row r="585" ht="42" customHeight="1">
      <c r="A585" s="29" t="inlineStr">
        <is>
          <t>BLYP-29-008</t>
        </is>
      </c>
      <c r="B585" s="29" t="inlineStr"/>
      <c r="C585" s="29" t="inlineStr">
        <is>
          <t>Help, support, and appeals</t>
        </is>
      </c>
      <c r="D585" s="29" t="n">
        <v>29</v>
      </c>
      <c r="E585" s="29" t="n">
        <v>8</v>
      </c>
      <c r="F585" s="29" t="inlineStr">
        <is>
          <t>Operational requirement</t>
        </is>
      </c>
      <c r="G585" s="29" t="inlineStr">
        <is>
          <t>Account-access support route</t>
        </is>
      </c>
      <c r="H585" s="29" t="inlineStr">
        <is>
          <t>Account-access support route</t>
        </is>
      </c>
      <c r="I585" s="29" t="inlineStr">
        <is>
          <t>/home/ubuntu/blyp_product_requirements.md :: Section 29 — Help, support, and appeals</t>
        </is>
      </c>
      <c r="J585" s="29" t="inlineStr">
        <is>
          <t>/home/ubuntu/BLYP_COMPLETE_FEATURE_LIST.md:739</t>
        </is>
      </c>
      <c r="K585" s="29" t="inlineStr">
        <is>
          <t>Required</t>
        </is>
      </c>
      <c r="L585" s="29" t="inlineStr">
        <is>
          <t>Authorized operator or accountable service owner</t>
        </is>
      </c>
      <c r="M585" s="29" t="inlineStr">
        <is>
          <t>Production platform and operations</t>
        </is>
      </c>
      <c r="N585" s="29" t="inlineStr">
        <is>
          <t>Account-access support route</t>
        </is>
      </c>
      <c r="O585" s="29" t="inlineStr">
        <is>
          <t>Not explicitly defined in the product source; requires accountable product approval before production sign-off.</t>
        </is>
      </c>
      <c r="P585" s="29" t="inlineStr"/>
      <c r="Q585" s="29" t="inlineStr">
        <is>
          <t>No evidence</t>
        </is>
      </c>
      <c r="R585" s="29" t="inlineStr"/>
      <c r="S585" s="29" t="inlineStr">
        <is>
          <t>Not found</t>
        </is>
      </c>
      <c r="T585" s="29" t="inlineStr"/>
      <c r="U585" s="29" t="inlineStr"/>
      <c r="V585" s="29" t="inlineStr"/>
      <c r="W585" s="29" t="inlineStr"/>
      <c r="X585" s="29" t="inlineStr"/>
      <c r="Y585" s="29" t="inlineStr"/>
      <c r="Z585" s="29" t="inlineStr"/>
      <c r="AA585" s="29" t="inlineStr"/>
      <c r="AB585" s="29" t="inlineStr"/>
      <c r="AC585" s="29" t="inlineStr"/>
      <c r="AD585" s="29" t="inlineStr"/>
      <c r="AE585" s="29" t="inlineStr">
        <is>
          <t>Not wired</t>
        </is>
      </c>
      <c r="AF585" s="29" t="inlineStr"/>
      <c r="AG585" s="29" t="inlineStr">
        <is>
          <t>Not started</t>
        </is>
      </c>
      <c r="AH585" s="29" t="inlineStr">
        <is>
          <t>No</t>
        </is>
      </c>
      <c r="AI585" s="29" t="inlineStr">
        <is>
          <t>No implementation found in source code</t>
        </is>
      </c>
      <c r="AJ585" s="29" t="inlineStr">
        <is>
          <t>Source traced</t>
        </is>
      </c>
      <c r="AK585" s="29" t="inlineStr"/>
      <c r="AL585" s="29" t="inlineStr"/>
      <c r="AM585" s="29" t="inlineStr"/>
      <c r="AN585" s="29" t="inlineStr"/>
      <c r="AO585" s="29" t="inlineStr">
        <is>
          <t>8bc0dcb2a1da1b21368c5536aaeef829d587f316</t>
        </is>
      </c>
      <c r="AP585" s="29" t="inlineStr">
        <is>
          <t>High</t>
        </is>
      </c>
      <c r="AQ585" s="29" t="inlineStr">
        <is>
          <t>Not assessed</t>
        </is>
      </c>
      <c r="AR585" s="29" t="inlineStr">
        <is>
          <t>Not assessed</t>
        </is>
      </c>
      <c r="AS585" s="29" t="inlineStr">
        <is>
          <t>Fail</t>
        </is>
      </c>
      <c r="AT585" s="29" t="inlineStr">
        <is>
          <t>Not assessed</t>
        </is>
      </c>
      <c r="AU585" s="29" t="inlineStr">
        <is>
          <t>Not assessed</t>
        </is>
      </c>
      <c r="AV585" s="29" t="inlineStr">
        <is>
          <t>Not assessed</t>
        </is>
      </c>
      <c r="AW585" s="29" t="inlineStr">
        <is>
          <t>Not assessed</t>
        </is>
      </c>
      <c r="AX585" s="29" t="inlineStr">
        <is>
          <t>Not assessed</t>
        </is>
      </c>
      <c r="AY585" s="29" t="inlineStr">
        <is>
          <t>Not assessed</t>
        </is>
      </c>
      <c r="AZ585" s="29" t="inlineStr">
        <is>
          <t>Not assessed</t>
        </is>
      </c>
      <c r="BA585" s="29" t="inlineStr">
        <is>
          <t>Not assessed</t>
        </is>
      </c>
      <c r="BB585" s="29" t="inlineStr">
        <is>
          <t>Not assessed</t>
        </is>
      </c>
      <c r="BC585" s="29" t="inlineStr">
        <is>
          <t>Not assessed</t>
        </is>
      </c>
      <c r="BD585" s="29" t="inlineStr">
        <is>
          <t>Not assessed</t>
        </is>
      </c>
      <c r="BE585" s="29" t="inlineStr">
        <is>
          <t>Development required</t>
        </is>
      </c>
      <c r="BF585" s="29" t="inlineStr">
        <is>
          <t>Physical implementation is not complete against the stated requirement.; No implementation found in source code</t>
        </is>
      </c>
      <c r="BG585" s="29" t="inlineStr"/>
      <c r="BH585" s="29" t="inlineStr"/>
      <c r="BI585" s="29" t="inlineStr"/>
      <c r="BJ585" s="29" t="inlineStr"/>
      <c r="BK585" s="29" t="inlineStr">
        <is>
          <t>Evidence reconciled against the reviewed source revision. No production approval is inferred from implementation or file presence.</t>
        </is>
      </c>
      <c r="BL585" s="29" t="inlineStr">
        <is>
          <t>2026-08-02</t>
        </is>
      </c>
    </row>
    <row r="586" ht="42" customHeight="1">
      <c r="A586" s="29" t="inlineStr">
        <is>
          <t>BLYP-29-009</t>
        </is>
      </c>
      <c r="B586" s="29" t="inlineStr"/>
      <c r="C586" s="29" t="inlineStr">
        <is>
          <t>Help, support, and appeals</t>
        </is>
      </c>
      <c r="D586" s="29" t="n">
        <v>29</v>
      </c>
      <c r="E586" s="29" t="n">
        <v>9</v>
      </c>
      <c r="F586" s="29" t="inlineStr">
        <is>
          <t>Rule</t>
        </is>
      </c>
      <c r="G586" s="29" t="inlineStr">
        <is>
          <t>Permission-based diagnostic attachment</t>
        </is>
      </c>
      <c r="H586" s="29" t="inlineStr">
        <is>
          <t>Permission-based diagnostic attachment</t>
        </is>
      </c>
      <c r="I586" s="29" t="inlineStr">
        <is>
          <t>/home/ubuntu/blyp_product_requirements.md :: Section 29 — Help, support, and appeals</t>
        </is>
      </c>
      <c r="J586" s="29" t="inlineStr">
        <is>
          <t>/home/ubuntu/BLYP_COMPLETE_FEATURE_LIST.md:740</t>
        </is>
      </c>
      <c r="K586" s="29" t="inlineStr">
        <is>
          <t>Required</t>
        </is>
      </c>
      <c r="L586" s="29" t="inlineStr">
        <is>
          <t>Authorized operator or accountable service owner</t>
        </is>
      </c>
      <c r="M586" s="29" t="inlineStr">
        <is>
          <t>BLYP mobile application and supporting production services</t>
        </is>
      </c>
      <c r="N586" s="29" t="inlineStr">
        <is>
          <t>Permission-based diagnostic attachment</t>
        </is>
      </c>
      <c r="O586" s="29" t="inlineStr">
        <is>
          <t>Not explicitly defined in the product source; requires accountable product approval before production sign-off.</t>
        </is>
      </c>
      <c r="P586" s="29" t="inlineStr"/>
      <c r="Q586" s="29" t="inlineStr">
        <is>
          <t>No evidence</t>
        </is>
      </c>
      <c r="R586" s="29" t="inlineStr"/>
      <c r="S586" s="29" t="inlineStr">
        <is>
          <t>Not found</t>
        </is>
      </c>
      <c r="T586" s="29" t="inlineStr"/>
      <c r="U586" s="29" t="inlineStr"/>
      <c r="V586" s="29" t="inlineStr"/>
      <c r="W586" s="29" t="inlineStr"/>
      <c r="X586" s="29" t="inlineStr"/>
      <c r="Y586" s="29" t="inlineStr"/>
      <c r="Z586" s="29" t="inlineStr"/>
      <c r="AA586" s="29" t="inlineStr"/>
      <c r="AB586" s="29" t="inlineStr"/>
      <c r="AC586" s="29" t="inlineStr"/>
      <c r="AD586" s="29" t="inlineStr"/>
      <c r="AE586" s="29" t="inlineStr">
        <is>
          <t>Not wired</t>
        </is>
      </c>
      <c r="AF586" s="29" t="inlineStr"/>
      <c r="AG586" s="29" t="inlineStr">
        <is>
          <t>Not started</t>
        </is>
      </c>
      <c r="AH586" s="29" t="inlineStr">
        <is>
          <t>No</t>
        </is>
      </c>
      <c r="AI586" s="29" t="inlineStr">
        <is>
          <t>No implementation found in source code</t>
        </is>
      </c>
      <c r="AJ586" s="29" t="inlineStr">
        <is>
          <t>Source traced</t>
        </is>
      </c>
      <c r="AK586" s="29" t="inlineStr"/>
      <c r="AL586" s="29" t="inlineStr"/>
      <c r="AM586" s="29" t="inlineStr"/>
      <c r="AN586" s="29" t="inlineStr"/>
      <c r="AO586" s="29" t="inlineStr">
        <is>
          <t>8bc0dcb2a1da1b21368c5536aaeef829d587f316</t>
        </is>
      </c>
      <c r="AP586" s="29" t="inlineStr">
        <is>
          <t>High</t>
        </is>
      </c>
      <c r="AQ586" s="29" t="inlineStr">
        <is>
          <t>Not assessed</t>
        </is>
      </c>
      <c r="AR586" s="29" t="inlineStr">
        <is>
          <t>Not assessed</t>
        </is>
      </c>
      <c r="AS586" s="29" t="inlineStr">
        <is>
          <t>Fail</t>
        </is>
      </c>
      <c r="AT586" s="29" t="inlineStr">
        <is>
          <t>Not assessed</t>
        </is>
      </c>
      <c r="AU586" s="29" t="inlineStr">
        <is>
          <t>Not assessed</t>
        </is>
      </c>
      <c r="AV586" s="29" t="inlineStr">
        <is>
          <t>Not assessed</t>
        </is>
      </c>
      <c r="AW586" s="29" t="inlineStr">
        <is>
          <t>Not assessed</t>
        </is>
      </c>
      <c r="AX586" s="29" t="inlineStr">
        <is>
          <t>Not assessed</t>
        </is>
      </c>
      <c r="AY586" s="29" t="inlineStr">
        <is>
          <t>Not assessed</t>
        </is>
      </c>
      <c r="AZ586" s="29" t="inlineStr">
        <is>
          <t>Not assessed</t>
        </is>
      </c>
      <c r="BA586" s="29" t="inlineStr">
        <is>
          <t>Not assessed</t>
        </is>
      </c>
      <c r="BB586" s="29" t="inlineStr">
        <is>
          <t>Not assessed</t>
        </is>
      </c>
      <c r="BC586" s="29" t="inlineStr">
        <is>
          <t>Not assessed</t>
        </is>
      </c>
      <c r="BD586" s="29" t="inlineStr">
        <is>
          <t>Not assessed</t>
        </is>
      </c>
      <c r="BE586" s="29" t="inlineStr">
        <is>
          <t>Development required</t>
        </is>
      </c>
      <c r="BF586" s="29" t="inlineStr">
        <is>
          <t>Physical implementation is not complete against the stated requirement.; No implementation found in source code</t>
        </is>
      </c>
      <c r="BG586" s="29" t="inlineStr"/>
      <c r="BH586" s="29" t="inlineStr"/>
      <c r="BI586" s="29" t="inlineStr"/>
      <c r="BJ586" s="29" t="inlineStr"/>
      <c r="BK586" s="29" t="inlineStr">
        <is>
          <t>Evidence reconciled against the reviewed source revision. No production approval is inferred from implementation or file presence.</t>
        </is>
      </c>
      <c r="BL586" s="29" t="inlineStr">
        <is>
          <t>2026-08-02</t>
        </is>
      </c>
    </row>
    <row r="587" ht="42" customHeight="1">
      <c r="A587" s="29" t="inlineStr">
        <is>
          <t>BLYP-29-010</t>
        </is>
      </c>
      <c r="B587" s="29" t="inlineStr"/>
      <c r="C587" s="29" t="inlineStr">
        <is>
          <t>Help, support, and appeals</t>
        </is>
      </c>
      <c r="D587" s="29" t="n">
        <v>29</v>
      </c>
      <c r="E587" s="29" t="n">
        <v>10</v>
      </c>
      <c r="F587" s="29" t="inlineStr">
        <is>
          <t>Feature</t>
        </is>
      </c>
      <c r="G587" s="29" t="inlineStr">
        <is>
          <t>Exclude private content from diagnostics</t>
        </is>
      </c>
      <c r="H587" s="29" t="inlineStr">
        <is>
          <t>Exclude private content from diagnostics</t>
        </is>
      </c>
      <c r="I587" s="29" t="inlineStr">
        <is>
          <t>/home/ubuntu/blyp_product_requirements.md :: Section 29 — Help, support, and appeals</t>
        </is>
      </c>
      <c r="J587" s="29" t="inlineStr">
        <is>
          <t>/home/ubuntu/BLYP_COMPLETE_FEATURE_LIST.md:741</t>
        </is>
      </c>
      <c r="K587" s="29" t="inlineStr">
        <is>
          <t>Required</t>
        </is>
      </c>
      <c r="L587" s="29" t="inlineStr">
        <is>
          <t>Authorized operator or accountable service owner</t>
        </is>
      </c>
      <c r="M587" s="29" t="inlineStr">
        <is>
          <t>BLYP mobile application and supporting production services</t>
        </is>
      </c>
      <c r="N587" s="29" t="inlineStr">
        <is>
          <t>Exclude private content from diagnostics</t>
        </is>
      </c>
      <c r="O587" s="29" t="inlineStr">
        <is>
          <t>Not explicitly defined in the product source; requires accountable product approval before production sign-off.</t>
        </is>
      </c>
      <c r="P587" s="29" t="inlineStr"/>
      <c r="Q587" s="29" t="inlineStr">
        <is>
          <t>Needs verification</t>
        </is>
      </c>
      <c r="R587" s="29" t="inlineStr"/>
      <c r="S587" s="29" t="inlineStr">
        <is>
          <t>Not found</t>
        </is>
      </c>
      <c r="T587" s="29" t="inlineStr"/>
      <c r="U587" s="29" t="inlineStr"/>
      <c r="V587" s="29" t="inlineStr"/>
      <c r="W587" s="29" t="inlineStr"/>
      <c r="X587" s="29" t="inlineStr"/>
      <c r="Y587" s="29" t="inlineStr"/>
      <c r="Z587" s="29" t="inlineStr"/>
      <c r="AA587" s="29" t="inlineStr"/>
      <c r="AB587" s="29" t="inlineStr"/>
      <c r="AC587" s="29" t="inlineStr"/>
      <c r="AD587" s="29" t="inlineStr"/>
      <c r="AE587" s="29" t="inlineStr">
        <is>
          <t>Not wired</t>
        </is>
      </c>
      <c r="AF587" s="29" t="inlineStr"/>
      <c r="AG587" s="29" t="inlineStr">
        <is>
          <t>Not started</t>
        </is>
      </c>
      <c r="AH587" s="29" t="inlineStr">
        <is>
          <t>No</t>
        </is>
      </c>
      <c r="AI587" s="29" t="inlineStr">
        <is>
          <t>No implementation found in source code</t>
        </is>
      </c>
      <c r="AJ587" s="29" t="inlineStr">
        <is>
          <t>Source traced</t>
        </is>
      </c>
      <c r="AK587" s="29" t="inlineStr"/>
      <c r="AL587" s="29" t="inlineStr"/>
      <c r="AM587" s="29" t="inlineStr"/>
      <c r="AN587" s="29" t="inlineStr"/>
      <c r="AO587" s="29" t="inlineStr">
        <is>
          <t>8bc0dcb2a1da1b21368c5536aaeef829d587f316</t>
        </is>
      </c>
      <c r="AP587" s="29" t="inlineStr">
        <is>
          <t>High</t>
        </is>
      </c>
      <c r="AQ587" s="29" t="inlineStr">
        <is>
          <t>Not assessed</t>
        </is>
      </c>
      <c r="AR587" s="29" t="inlineStr">
        <is>
          <t>Not assessed</t>
        </is>
      </c>
      <c r="AS587" s="29" t="inlineStr">
        <is>
          <t>Fail</t>
        </is>
      </c>
      <c r="AT587" s="29" t="inlineStr">
        <is>
          <t>Not assessed</t>
        </is>
      </c>
      <c r="AU587" s="29" t="inlineStr">
        <is>
          <t>Not assessed</t>
        </is>
      </c>
      <c r="AV587" s="29" t="inlineStr">
        <is>
          <t>Not assessed</t>
        </is>
      </c>
      <c r="AW587" s="29" t="inlineStr">
        <is>
          <t>Not assessed</t>
        </is>
      </c>
      <c r="AX587" s="29" t="inlineStr">
        <is>
          <t>Not assessed</t>
        </is>
      </c>
      <c r="AY587" s="29" t="inlineStr">
        <is>
          <t>Not assessed</t>
        </is>
      </c>
      <c r="AZ587" s="29" t="inlineStr">
        <is>
          <t>Not assessed</t>
        </is>
      </c>
      <c r="BA587" s="29" t="inlineStr">
        <is>
          <t>Not assessed</t>
        </is>
      </c>
      <c r="BB587" s="29" t="inlineStr">
        <is>
          <t>Not assessed</t>
        </is>
      </c>
      <c r="BC587" s="29" t="inlineStr">
        <is>
          <t>Not assessed</t>
        </is>
      </c>
      <c r="BD587" s="29" t="inlineStr">
        <is>
          <t>Not assessed</t>
        </is>
      </c>
      <c r="BE587" s="29" t="inlineStr">
        <is>
          <t>Development required</t>
        </is>
      </c>
      <c r="BF587" s="29" t="inlineStr">
        <is>
          <t>Physical implementation is not complete against the stated requirement.; No implementation found in source code</t>
        </is>
      </c>
      <c r="BG587" s="29" t="inlineStr"/>
      <c r="BH587" s="29" t="inlineStr"/>
      <c r="BI587" s="29" t="inlineStr"/>
      <c r="BJ587" s="29" t="inlineStr"/>
      <c r="BK587" s="29" t="inlineStr">
        <is>
          <t>Evidence reconciled against the reviewed source revision. No production approval is inferred from implementation or file presence.</t>
        </is>
      </c>
      <c r="BL587" s="29" t="inlineStr">
        <is>
          <t>2026-08-02</t>
        </is>
      </c>
    </row>
    <row r="588" ht="42" customHeight="1">
      <c r="A588" s="29" t="inlineStr">
        <is>
          <t>BLYP-29-011</t>
        </is>
      </c>
      <c r="B588" s="29" t="inlineStr"/>
      <c r="C588" s="29" t="inlineStr">
        <is>
          <t>Help, support, and appeals</t>
        </is>
      </c>
      <c r="D588" s="29" t="n">
        <v>29</v>
      </c>
      <c r="E588" s="29" t="n">
        <v>11</v>
      </c>
      <c r="F588" s="29" t="inlineStr">
        <is>
          <t>Feature</t>
        </is>
      </c>
      <c r="G588" s="29" t="inlineStr">
        <is>
          <t>Support ticket tracking</t>
        </is>
      </c>
      <c r="H588" s="29" t="inlineStr">
        <is>
          <t>Support ticket tracking</t>
        </is>
      </c>
      <c r="I588" s="29" t="inlineStr">
        <is>
          <t>/home/ubuntu/blyp_product_requirements.md :: Section 29 — Help, support, and appeals</t>
        </is>
      </c>
      <c r="J588" s="29" t="inlineStr">
        <is>
          <t>/home/ubuntu/BLYP_COMPLETE_FEATURE_LIST.md:742</t>
        </is>
      </c>
      <c r="K588" s="29" t="inlineStr">
        <is>
          <t>Required</t>
        </is>
      </c>
      <c r="L588" s="29" t="inlineStr">
        <is>
          <t>Authorized operator or accountable service owner</t>
        </is>
      </c>
      <c r="M588" s="29" t="inlineStr">
        <is>
          <t>BLYP mobile application and supporting production services</t>
        </is>
      </c>
      <c r="N588" s="29" t="inlineStr">
        <is>
          <t>Support ticket tracking</t>
        </is>
      </c>
      <c r="O588" s="29" t="inlineStr">
        <is>
          <t>Not explicitly defined in the product source; requires accountable product approval before production sign-off.</t>
        </is>
      </c>
      <c r="P588" s="29" t="inlineStr"/>
      <c r="Q588" s="29" t="inlineStr">
        <is>
          <t>No evidence</t>
        </is>
      </c>
      <c r="R588" s="29" t="inlineStr"/>
      <c r="S588" s="29" t="inlineStr">
        <is>
          <t>Not found</t>
        </is>
      </c>
      <c r="T588" s="29" t="inlineStr"/>
      <c r="U588" s="29" t="inlineStr"/>
      <c r="V588" s="29" t="inlineStr"/>
      <c r="W588" s="29" t="inlineStr"/>
      <c r="X588" s="29" t="inlineStr"/>
      <c r="Y588" s="29" t="inlineStr"/>
      <c r="Z588" s="29" t="inlineStr"/>
      <c r="AA588" s="29" t="inlineStr"/>
      <c r="AB588" s="29" t="inlineStr"/>
      <c r="AC588" s="29" t="inlineStr"/>
      <c r="AD588" s="29" t="inlineStr"/>
      <c r="AE588" s="29" t="inlineStr">
        <is>
          <t>Not wired</t>
        </is>
      </c>
      <c r="AF588" s="29" t="inlineStr"/>
      <c r="AG588" s="29" t="inlineStr">
        <is>
          <t>Not started</t>
        </is>
      </c>
      <c r="AH588" s="29" t="inlineStr">
        <is>
          <t>No</t>
        </is>
      </c>
      <c r="AI588" s="29" t="inlineStr">
        <is>
          <t>No implementation found in source code</t>
        </is>
      </c>
      <c r="AJ588" s="29" t="inlineStr">
        <is>
          <t>Source traced</t>
        </is>
      </c>
      <c r="AK588" s="29" t="inlineStr"/>
      <c r="AL588" s="29" t="inlineStr"/>
      <c r="AM588" s="29" t="inlineStr"/>
      <c r="AN588" s="29" t="inlineStr"/>
      <c r="AO588" s="29" t="inlineStr">
        <is>
          <t>8bc0dcb2a1da1b21368c5536aaeef829d587f316</t>
        </is>
      </c>
      <c r="AP588" s="29" t="inlineStr">
        <is>
          <t>High</t>
        </is>
      </c>
      <c r="AQ588" s="29" t="inlineStr">
        <is>
          <t>Not assessed</t>
        </is>
      </c>
      <c r="AR588" s="29" t="inlineStr">
        <is>
          <t>Not assessed</t>
        </is>
      </c>
      <c r="AS588" s="29" t="inlineStr">
        <is>
          <t>Fail</t>
        </is>
      </c>
      <c r="AT588" s="29" t="inlineStr">
        <is>
          <t>Not assessed</t>
        </is>
      </c>
      <c r="AU588" s="29" t="inlineStr">
        <is>
          <t>Not assessed</t>
        </is>
      </c>
      <c r="AV588" s="29" t="inlineStr">
        <is>
          <t>Not assessed</t>
        </is>
      </c>
      <c r="AW588" s="29" t="inlineStr">
        <is>
          <t>Not assessed</t>
        </is>
      </c>
      <c r="AX588" s="29" t="inlineStr">
        <is>
          <t>Not assessed</t>
        </is>
      </c>
      <c r="AY588" s="29" t="inlineStr">
        <is>
          <t>Not assessed</t>
        </is>
      </c>
      <c r="AZ588" s="29" t="inlineStr">
        <is>
          <t>Not assessed</t>
        </is>
      </c>
      <c r="BA588" s="29" t="inlineStr">
        <is>
          <t>Not assessed</t>
        </is>
      </c>
      <c r="BB588" s="29" t="inlineStr">
        <is>
          <t>Not assessed</t>
        </is>
      </c>
      <c r="BC588" s="29" t="inlineStr">
        <is>
          <t>Not assessed</t>
        </is>
      </c>
      <c r="BD588" s="29" t="inlineStr">
        <is>
          <t>Not assessed</t>
        </is>
      </c>
      <c r="BE588" s="29" t="inlineStr">
        <is>
          <t>Development required</t>
        </is>
      </c>
      <c r="BF588" s="29" t="inlineStr">
        <is>
          <t>Physical implementation is not complete against the stated requirement.; No implementation found in source code</t>
        </is>
      </c>
      <c r="BG588" s="29" t="inlineStr"/>
      <c r="BH588" s="29" t="inlineStr"/>
      <c r="BI588" s="29" t="inlineStr"/>
      <c r="BJ588" s="29" t="inlineStr"/>
      <c r="BK588" s="29" t="inlineStr">
        <is>
          <t>Evidence reconciled against the reviewed source revision. No production approval is inferred from implementation or file presence.</t>
        </is>
      </c>
      <c r="BL588" s="29" t="inlineStr">
        <is>
          <t>2026-08-02</t>
        </is>
      </c>
    </row>
    <row r="589" ht="42" customHeight="1">
      <c r="A589" s="29" t="inlineStr">
        <is>
          <t>BLYP-29-012</t>
        </is>
      </c>
      <c r="B589" s="29" t="inlineStr"/>
      <c r="C589" s="29" t="inlineStr">
        <is>
          <t>Help, support, and appeals</t>
        </is>
      </c>
      <c r="D589" s="29" t="n">
        <v>29</v>
      </c>
      <c r="E589" s="29" t="n">
        <v>12</v>
      </c>
      <c r="F589" s="29" t="inlineStr">
        <is>
          <t>Feature</t>
        </is>
      </c>
      <c r="G589" s="29" t="inlineStr">
        <is>
          <t>Appeal routes</t>
        </is>
      </c>
      <c r="H589" s="29" t="inlineStr">
        <is>
          <t>Appeal routes</t>
        </is>
      </c>
      <c r="I589" s="29" t="inlineStr">
        <is>
          <t>/home/ubuntu/blyp_product_requirements.md :: Section 29 — Help, support, and appeals</t>
        </is>
      </c>
      <c r="J589" s="29" t="inlineStr">
        <is>
          <t>/home/ubuntu/BLYP_COMPLETE_FEATURE_LIST.md:743</t>
        </is>
      </c>
      <c r="K589" s="29" t="inlineStr">
        <is>
          <t>Required</t>
        </is>
      </c>
      <c r="L589" s="29" t="inlineStr">
        <is>
          <t>Authorized operator or accountable service owner</t>
        </is>
      </c>
      <c r="M589" s="29" t="inlineStr">
        <is>
          <t>BLYP mobile application and supporting production services</t>
        </is>
      </c>
      <c r="N589" s="29" t="inlineStr">
        <is>
          <t>Appeal routes</t>
        </is>
      </c>
      <c r="O589" s="29" t="inlineStr">
        <is>
          <t>Not explicitly defined in the product source; requires accountable product approval before production sign-off.</t>
        </is>
      </c>
      <c r="P589" s="29" t="inlineStr"/>
      <c r="Q589" s="29" t="inlineStr">
        <is>
          <t>No evidence</t>
        </is>
      </c>
      <c r="R589" s="29" t="inlineStr"/>
      <c r="S589" s="29" t="inlineStr">
        <is>
          <t>Not found</t>
        </is>
      </c>
      <c r="T589" s="29" t="inlineStr"/>
      <c r="U589" s="29" t="inlineStr"/>
      <c r="V589" s="29" t="inlineStr"/>
      <c r="W589" s="29" t="inlineStr"/>
      <c r="X589" s="29" t="inlineStr"/>
      <c r="Y589" s="29" t="inlineStr"/>
      <c r="Z589" s="29" t="inlineStr"/>
      <c r="AA589" s="29" t="inlineStr"/>
      <c r="AB589" s="29" t="inlineStr"/>
      <c r="AC589" s="29" t="inlineStr"/>
      <c r="AD589" s="29" t="inlineStr"/>
      <c r="AE589" s="29" t="inlineStr">
        <is>
          <t>Not wired</t>
        </is>
      </c>
      <c r="AF589" s="29" t="inlineStr"/>
      <c r="AG589" s="29" t="inlineStr">
        <is>
          <t>Not started</t>
        </is>
      </c>
      <c r="AH589" s="29" t="inlineStr">
        <is>
          <t>No</t>
        </is>
      </c>
      <c r="AI589" s="29" t="inlineStr">
        <is>
          <t>No implementation found in source code</t>
        </is>
      </c>
      <c r="AJ589" s="29" t="inlineStr">
        <is>
          <t>Source traced</t>
        </is>
      </c>
      <c r="AK589" s="29" t="inlineStr"/>
      <c r="AL589" s="29" t="inlineStr"/>
      <c r="AM589" s="29" t="inlineStr"/>
      <c r="AN589" s="29" t="inlineStr"/>
      <c r="AO589" s="29" t="inlineStr">
        <is>
          <t>8bc0dcb2a1da1b21368c5536aaeef829d587f316</t>
        </is>
      </c>
      <c r="AP589" s="29" t="inlineStr">
        <is>
          <t>High</t>
        </is>
      </c>
      <c r="AQ589" s="29" t="inlineStr">
        <is>
          <t>Not assessed</t>
        </is>
      </c>
      <c r="AR589" s="29" t="inlineStr">
        <is>
          <t>Not assessed</t>
        </is>
      </c>
      <c r="AS589" s="29" t="inlineStr">
        <is>
          <t>Fail</t>
        </is>
      </c>
      <c r="AT589" s="29" t="inlineStr">
        <is>
          <t>Not assessed</t>
        </is>
      </c>
      <c r="AU589" s="29" t="inlineStr">
        <is>
          <t>Not assessed</t>
        </is>
      </c>
      <c r="AV589" s="29" t="inlineStr">
        <is>
          <t>Not assessed</t>
        </is>
      </c>
      <c r="AW589" s="29" t="inlineStr">
        <is>
          <t>Not assessed</t>
        </is>
      </c>
      <c r="AX589" s="29" t="inlineStr">
        <is>
          <t>Not assessed</t>
        </is>
      </c>
      <c r="AY589" s="29" t="inlineStr">
        <is>
          <t>Not assessed</t>
        </is>
      </c>
      <c r="AZ589" s="29" t="inlineStr">
        <is>
          <t>Not assessed</t>
        </is>
      </c>
      <c r="BA589" s="29" t="inlineStr">
        <is>
          <t>Not assessed</t>
        </is>
      </c>
      <c r="BB589" s="29" t="inlineStr">
        <is>
          <t>Not assessed</t>
        </is>
      </c>
      <c r="BC589" s="29" t="inlineStr">
        <is>
          <t>Not assessed</t>
        </is>
      </c>
      <c r="BD589" s="29" t="inlineStr">
        <is>
          <t>Not assessed</t>
        </is>
      </c>
      <c r="BE589" s="29" t="inlineStr">
        <is>
          <t>Development required</t>
        </is>
      </c>
      <c r="BF589" s="29" t="inlineStr">
        <is>
          <t>Physical implementation is not complete against the stated requirement.; No implementation found in source code</t>
        </is>
      </c>
      <c r="BG589" s="29" t="inlineStr"/>
      <c r="BH589" s="29" t="inlineStr"/>
      <c r="BI589" s="29" t="inlineStr"/>
      <c r="BJ589" s="29" t="inlineStr"/>
      <c r="BK589" s="29" t="inlineStr">
        <is>
          <t>Evidence reconciled against the reviewed source revision. No production approval is inferred from implementation or file presence.</t>
        </is>
      </c>
      <c r="BL589" s="29" t="inlineStr">
        <is>
          <t>2026-08-02</t>
        </is>
      </c>
    </row>
    <row r="590" ht="42" customHeight="1">
      <c r="A590" s="29" t="inlineStr">
        <is>
          <t>BLYP-29-013</t>
        </is>
      </c>
      <c r="B590" s="29" t="inlineStr"/>
      <c r="C590" s="29" t="inlineStr">
        <is>
          <t>Help, support, and appeals</t>
        </is>
      </c>
      <c r="D590" s="29" t="n">
        <v>29</v>
      </c>
      <c r="E590" s="29" t="n">
        <v>13</v>
      </c>
      <c r="F590" s="29" t="inlineStr">
        <is>
          <t>Feature</t>
        </is>
      </c>
      <c r="G590" s="29" t="inlineStr">
        <is>
          <t>Urgent-safety prioritisation</t>
        </is>
      </c>
      <c r="H590" s="29" t="inlineStr">
        <is>
          <t>Urgent-safety prioritisation</t>
        </is>
      </c>
      <c r="I590" s="29" t="inlineStr">
        <is>
          <t>/home/ubuntu/blyp_product_requirements.md :: Section 29 — Help, support, and appeals</t>
        </is>
      </c>
      <c r="J590" s="29" t="inlineStr">
        <is>
          <t>/home/ubuntu/BLYP_COMPLETE_FEATURE_LIST.md:744</t>
        </is>
      </c>
      <c r="K590" s="29" t="inlineStr">
        <is>
          <t>Required</t>
        </is>
      </c>
      <c r="L590" s="29" t="inlineStr">
        <is>
          <t>Authorized operator or accountable service owner</t>
        </is>
      </c>
      <c r="M590" s="29" t="inlineStr">
        <is>
          <t>BLYP mobile application and supporting production services</t>
        </is>
      </c>
      <c r="N590" s="29" t="inlineStr">
        <is>
          <t>Urgent-safety prioritisation</t>
        </is>
      </c>
      <c r="O590" s="29" t="inlineStr">
        <is>
          <t>Not explicitly defined in the product source; requires accountable product approval before production sign-off.</t>
        </is>
      </c>
      <c r="P590" s="29" t="inlineStr"/>
      <c r="Q590" s="29" t="inlineStr">
        <is>
          <t>No evidence</t>
        </is>
      </c>
      <c r="R590" s="29" t="inlineStr"/>
      <c r="S590" s="29" t="inlineStr">
        <is>
          <t>Not found</t>
        </is>
      </c>
      <c r="T590" s="29" t="inlineStr"/>
      <c r="U590" s="29" t="inlineStr"/>
      <c r="V590" s="29" t="inlineStr"/>
      <c r="W590" s="29" t="inlineStr"/>
      <c r="X590" s="29" t="inlineStr"/>
      <c r="Y590" s="29" t="inlineStr"/>
      <c r="Z590" s="29" t="inlineStr"/>
      <c r="AA590" s="29" t="inlineStr"/>
      <c r="AB590" s="29" t="inlineStr"/>
      <c r="AC590" s="29" t="inlineStr"/>
      <c r="AD590" s="29" t="inlineStr"/>
      <c r="AE590" s="29" t="inlineStr">
        <is>
          <t>Not wired</t>
        </is>
      </c>
      <c r="AF590" s="29" t="inlineStr"/>
      <c r="AG590" s="29" t="inlineStr">
        <is>
          <t>Not started</t>
        </is>
      </c>
      <c r="AH590" s="29" t="inlineStr">
        <is>
          <t>No</t>
        </is>
      </c>
      <c r="AI590" s="29" t="inlineStr">
        <is>
          <t>No implementation found in source code</t>
        </is>
      </c>
      <c r="AJ590" s="29" t="inlineStr">
        <is>
          <t>Source traced</t>
        </is>
      </c>
      <c r="AK590" s="29" t="inlineStr"/>
      <c r="AL590" s="29" t="inlineStr"/>
      <c r="AM590" s="29" t="inlineStr"/>
      <c r="AN590" s="29" t="inlineStr"/>
      <c r="AO590" s="29" t="inlineStr">
        <is>
          <t>8bc0dcb2a1da1b21368c5536aaeef829d587f316</t>
        </is>
      </c>
      <c r="AP590" s="29" t="inlineStr">
        <is>
          <t>High</t>
        </is>
      </c>
      <c r="AQ590" s="29" t="inlineStr">
        <is>
          <t>Not assessed</t>
        </is>
      </c>
      <c r="AR590" s="29" t="inlineStr">
        <is>
          <t>Not assessed</t>
        </is>
      </c>
      <c r="AS590" s="29" t="inlineStr">
        <is>
          <t>Fail</t>
        </is>
      </c>
      <c r="AT590" s="29" t="inlineStr">
        <is>
          <t>Not assessed</t>
        </is>
      </c>
      <c r="AU590" s="29" t="inlineStr">
        <is>
          <t>Not assessed</t>
        </is>
      </c>
      <c r="AV590" s="29" t="inlineStr">
        <is>
          <t>Not assessed</t>
        </is>
      </c>
      <c r="AW590" s="29" t="inlineStr">
        <is>
          <t>Not assessed</t>
        </is>
      </c>
      <c r="AX590" s="29" t="inlineStr">
        <is>
          <t>Not assessed</t>
        </is>
      </c>
      <c r="AY590" s="29" t="inlineStr">
        <is>
          <t>Not assessed</t>
        </is>
      </c>
      <c r="AZ590" s="29" t="inlineStr">
        <is>
          <t>Not assessed</t>
        </is>
      </c>
      <c r="BA590" s="29" t="inlineStr">
        <is>
          <t>Not assessed</t>
        </is>
      </c>
      <c r="BB590" s="29" t="inlineStr">
        <is>
          <t>Not assessed</t>
        </is>
      </c>
      <c r="BC590" s="29" t="inlineStr">
        <is>
          <t>Not assessed</t>
        </is>
      </c>
      <c r="BD590" s="29" t="inlineStr">
        <is>
          <t>Not assessed</t>
        </is>
      </c>
      <c r="BE590" s="29" t="inlineStr">
        <is>
          <t>Development required</t>
        </is>
      </c>
      <c r="BF590" s="29" t="inlineStr">
        <is>
          <t>Physical implementation is not complete against the stated requirement.; No implementation found in source code</t>
        </is>
      </c>
      <c r="BG590" s="29" t="inlineStr"/>
      <c r="BH590" s="29" t="inlineStr"/>
      <c r="BI590" s="29" t="inlineStr"/>
      <c r="BJ590" s="29" t="inlineStr"/>
      <c r="BK590" s="29" t="inlineStr">
        <is>
          <t>Evidence reconciled against the reviewed source revision. No production approval is inferred from implementation or file presence.</t>
        </is>
      </c>
      <c r="BL590" s="29" t="inlineStr">
        <is>
          <t>2026-08-02</t>
        </is>
      </c>
    </row>
    <row r="591" ht="42" customHeight="1">
      <c r="A591" s="29" t="inlineStr">
        <is>
          <t>BLYP-29-014</t>
        </is>
      </c>
      <c r="B591" s="29" t="inlineStr"/>
      <c r="C591" s="29" t="inlineStr">
        <is>
          <t>Help, support, and appeals</t>
        </is>
      </c>
      <c r="D591" s="29" t="n">
        <v>29</v>
      </c>
      <c r="E591" s="29" t="n">
        <v>14</v>
      </c>
      <c r="F591" s="29" t="inlineStr">
        <is>
          <t>Feature</t>
        </is>
      </c>
      <c r="G591" s="29" t="inlineStr">
        <is>
          <t>Plain-language errors</t>
        </is>
      </c>
      <c r="H591" s="29" t="inlineStr">
        <is>
          <t>Plain-language errors</t>
        </is>
      </c>
      <c r="I591" s="29" t="inlineStr">
        <is>
          <t>/home/ubuntu/blyp_product_requirements.md :: Section 29 — Help, support, and appeals</t>
        </is>
      </c>
      <c r="J591" s="29" t="inlineStr">
        <is>
          <t>/home/ubuntu/BLYP_COMPLETE_FEATURE_LIST.md:745</t>
        </is>
      </c>
      <c r="K591" s="29" t="inlineStr">
        <is>
          <t>Required</t>
        </is>
      </c>
      <c r="L591" s="29" t="inlineStr">
        <is>
          <t>Authorized operator or accountable service owner</t>
        </is>
      </c>
      <c r="M591" s="29" t="inlineStr">
        <is>
          <t>BLYP mobile application and supporting production services</t>
        </is>
      </c>
      <c r="N591" s="29" t="inlineStr">
        <is>
          <t>Plain-language errors</t>
        </is>
      </c>
      <c r="O591" s="29" t="inlineStr">
        <is>
          <t>Not explicitly defined in the product source; requires accountable product approval before production sign-off.</t>
        </is>
      </c>
      <c r="P591" s="29" t="inlineStr"/>
      <c r="Q591" s="29" t="inlineStr">
        <is>
          <t>Partial</t>
        </is>
      </c>
      <c r="R591" s="29" t="inlineStr"/>
      <c r="S591" s="29" t="inlineStr">
        <is>
          <t>Not found</t>
        </is>
      </c>
      <c r="T591" s="29" t="inlineStr"/>
      <c r="U591" s="29" t="inlineStr"/>
      <c r="V591" s="29" t="inlineStr"/>
      <c r="W591" s="29" t="inlineStr"/>
      <c r="X591" s="29" t="inlineStr"/>
      <c r="Y591" s="29" t="inlineStr"/>
      <c r="Z591" s="29" t="inlineStr"/>
      <c r="AA591" s="29" t="inlineStr"/>
      <c r="AB591" s="29" t="inlineStr"/>
      <c r="AC591" s="29" t="inlineStr"/>
      <c r="AD591" s="29" t="inlineStr"/>
      <c r="AE591" s="29" t="inlineStr">
        <is>
          <t>Not wired</t>
        </is>
      </c>
      <c r="AF591" s="29" t="inlineStr"/>
      <c r="AG591" s="29" t="inlineStr">
        <is>
          <t>Not started</t>
        </is>
      </c>
      <c r="AH591" s="29" t="inlineStr">
        <is>
          <t>No</t>
        </is>
      </c>
      <c r="AI591" s="29" t="inlineStr">
        <is>
          <t>No implementation found in source code</t>
        </is>
      </c>
      <c r="AJ591" s="29" t="inlineStr">
        <is>
          <t>Source traced</t>
        </is>
      </c>
      <c r="AK591" s="29" t="inlineStr"/>
      <c r="AL591" s="29" t="inlineStr"/>
      <c r="AM591" s="29" t="inlineStr"/>
      <c r="AN591" s="29" t="inlineStr"/>
      <c r="AO591" s="29" t="inlineStr">
        <is>
          <t>8bc0dcb2a1da1b21368c5536aaeef829d587f316</t>
        </is>
      </c>
      <c r="AP591" s="29" t="inlineStr">
        <is>
          <t>High</t>
        </is>
      </c>
      <c r="AQ591" s="29" t="inlineStr">
        <is>
          <t>Not assessed</t>
        </is>
      </c>
      <c r="AR591" s="29" t="inlineStr">
        <is>
          <t>Not assessed</t>
        </is>
      </c>
      <c r="AS591" s="29" t="inlineStr">
        <is>
          <t>Fail</t>
        </is>
      </c>
      <c r="AT591" s="29" t="inlineStr">
        <is>
          <t>Not assessed</t>
        </is>
      </c>
      <c r="AU591" s="29" t="inlineStr">
        <is>
          <t>Not assessed</t>
        </is>
      </c>
      <c r="AV591" s="29" t="inlineStr">
        <is>
          <t>Not assessed</t>
        </is>
      </c>
      <c r="AW591" s="29" t="inlineStr">
        <is>
          <t>Not assessed</t>
        </is>
      </c>
      <c r="AX591" s="29" t="inlineStr">
        <is>
          <t>Not assessed</t>
        </is>
      </c>
      <c r="AY591" s="29" t="inlineStr">
        <is>
          <t>Not assessed</t>
        </is>
      </c>
      <c r="AZ591" s="29" t="inlineStr">
        <is>
          <t>Not assessed</t>
        </is>
      </c>
      <c r="BA591" s="29" t="inlineStr">
        <is>
          <t>Not assessed</t>
        </is>
      </c>
      <c r="BB591" s="29" t="inlineStr">
        <is>
          <t>Not assessed</t>
        </is>
      </c>
      <c r="BC591" s="29" t="inlineStr">
        <is>
          <t>Not assessed</t>
        </is>
      </c>
      <c r="BD591" s="29" t="inlineStr">
        <is>
          <t>Not assessed</t>
        </is>
      </c>
      <c r="BE591" s="29" t="inlineStr">
        <is>
          <t>Development required</t>
        </is>
      </c>
      <c r="BF591" s="29" t="inlineStr">
        <is>
          <t>Physical implementation is not complete against the stated requirement.; No implementation found in source code</t>
        </is>
      </c>
      <c r="BG591" s="29" t="inlineStr"/>
      <c r="BH591" s="29" t="inlineStr"/>
      <c r="BI591" s="29" t="inlineStr"/>
      <c r="BJ591" s="29" t="inlineStr"/>
      <c r="BK591" s="29" t="inlineStr">
        <is>
          <t>Evidence reconciled against the reviewed source revision. No production approval is inferred from implementation or file presence.</t>
        </is>
      </c>
      <c r="BL591" s="29" t="inlineStr">
        <is>
          <t>2026-08-02</t>
        </is>
      </c>
    </row>
    <row r="592" ht="42" customHeight="1">
      <c r="A592" s="29" t="inlineStr">
        <is>
          <t>BLYP-29-015</t>
        </is>
      </c>
      <c r="B592" s="29" t="inlineStr"/>
      <c r="C592" s="29" t="inlineStr">
        <is>
          <t>Help, support, and appeals</t>
        </is>
      </c>
      <c r="D592" s="29" t="n">
        <v>29</v>
      </c>
      <c r="E592" s="29" t="n">
        <v>15</v>
      </c>
      <c r="F592" s="29" t="inlineStr">
        <is>
          <t>Feature</t>
        </is>
      </c>
      <c r="G592" s="29" t="inlineStr">
        <is>
          <t>Preserve work after an error</t>
        </is>
      </c>
      <c r="H592" s="29" t="inlineStr">
        <is>
          <t>Preserve work after an error</t>
        </is>
      </c>
      <c r="I592" s="29" t="inlineStr">
        <is>
          <t>/home/ubuntu/blyp_product_requirements.md :: Section 29 — Help, support, and appeals</t>
        </is>
      </c>
      <c r="J592" s="29" t="inlineStr">
        <is>
          <t>/home/ubuntu/BLYP_COMPLETE_FEATURE_LIST.md:746</t>
        </is>
      </c>
      <c r="K592" s="29" t="inlineStr">
        <is>
          <t>Required</t>
        </is>
      </c>
      <c r="L592" s="29" t="inlineStr">
        <is>
          <t>Authorized operator or accountable service owner</t>
        </is>
      </c>
      <c r="M592" s="29" t="inlineStr">
        <is>
          <t>BLYP mobile application and supporting production services</t>
        </is>
      </c>
      <c r="N592" s="29" t="inlineStr">
        <is>
          <t>Preserve work after an error</t>
        </is>
      </c>
      <c r="O592" s="29" t="inlineStr">
        <is>
          <t>Not explicitly defined in the product source; requires accountable product approval before production sign-off.</t>
        </is>
      </c>
      <c r="P592" s="29" t="inlineStr"/>
      <c r="Q592" s="29" t="inlineStr">
        <is>
          <t>Partial</t>
        </is>
      </c>
      <c r="R592" s="29" t="inlineStr"/>
      <c r="S592" s="29" t="inlineStr">
        <is>
          <t>Not found</t>
        </is>
      </c>
      <c r="T592" s="29" t="inlineStr"/>
      <c r="U592" s="29" t="inlineStr"/>
      <c r="V592" s="29" t="inlineStr"/>
      <c r="W592" s="29" t="inlineStr"/>
      <c r="X592" s="29" t="inlineStr"/>
      <c r="Y592" s="29" t="inlineStr"/>
      <c r="Z592" s="29" t="inlineStr"/>
      <c r="AA592" s="29" t="inlineStr"/>
      <c r="AB592" s="29" t="inlineStr"/>
      <c r="AC592" s="29" t="inlineStr"/>
      <c r="AD592" s="29" t="inlineStr"/>
      <c r="AE592" s="29" t="inlineStr">
        <is>
          <t>Not wired</t>
        </is>
      </c>
      <c r="AF592" s="29" t="inlineStr"/>
      <c r="AG592" s="29" t="inlineStr">
        <is>
          <t>Not started</t>
        </is>
      </c>
      <c r="AH592" s="29" t="inlineStr">
        <is>
          <t>No</t>
        </is>
      </c>
      <c r="AI592" s="29" t="inlineStr">
        <is>
          <t>No implementation found in source code</t>
        </is>
      </c>
      <c r="AJ592" s="29" t="inlineStr">
        <is>
          <t>Source traced</t>
        </is>
      </c>
      <c r="AK592" s="29" t="inlineStr"/>
      <c r="AL592" s="29" t="inlineStr"/>
      <c r="AM592" s="29" t="inlineStr"/>
      <c r="AN592" s="29" t="inlineStr"/>
      <c r="AO592" s="29" t="inlineStr">
        <is>
          <t>8bc0dcb2a1da1b21368c5536aaeef829d587f316</t>
        </is>
      </c>
      <c r="AP592" s="29" t="inlineStr">
        <is>
          <t>High</t>
        </is>
      </c>
      <c r="AQ592" s="29" t="inlineStr">
        <is>
          <t>Not assessed</t>
        </is>
      </c>
      <c r="AR592" s="29" t="inlineStr">
        <is>
          <t>Not assessed</t>
        </is>
      </c>
      <c r="AS592" s="29" t="inlineStr">
        <is>
          <t>Fail</t>
        </is>
      </c>
      <c r="AT592" s="29" t="inlineStr">
        <is>
          <t>Not assessed</t>
        </is>
      </c>
      <c r="AU592" s="29" t="inlineStr">
        <is>
          <t>Not assessed</t>
        </is>
      </c>
      <c r="AV592" s="29" t="inlineStr">
        <is>
          <t>Not assessed</t>
        </is>
      </c>
      <c r="AW592" s="29" t="inlineStr">
        <is>
          <t>Not assessed</t>
        </is>
      </c>
      <c r="AX592" s="29" t="inlineStr">
        <is>
          <t>Not assessed</t>
        </is>
      </c>
      <c r="AY592" s="29" t="inlineStr">
        <is>
          <t>Not assessed</t>
        </is>
      </c>
      <c r="AZ592" s="29" t="inlineStr">
        <is>
          <t>Not assessed</t>
        </is>
      </c>
      <c r="BA592" s="29" t="inlineStr">
        <is>
          <t>Not assessed</t>
        </is>
      </c>
      <c r="BB592" s="29" t="inlineStr">
        <is>
          <t>Not assessed</t>
        </is>
      </c>
      <c r="BC592" s="29" t="inlineStr">
        <is>
          <t>Not assessed</t>
        </is>
      </c>
      <c r="BD592" s="29" t="inlineStr">
        <is>
          <t>Not assessed</t>
        </is>
      </c>
      <c r="BE592" s="29" t="inlineStr">
        <is>
          <t>Development required</t>
        </is>
      </c>
      <c r="BF592" s="29" t="inlineStr">
        <is>
          <t>Physical implementation is not complete against the stated requirement.; No implementation found in source code</t>
        </is>
      </c>
      <c r="BG592" s="29" t="inlineStr"/>
      <c r="BH592" s="29" t="inlineStr"/>
      <c r="BI592" s="29" t="inlineStr"/>
      <c r="BJ592" s="29" t="inlineStr"/>
      <c r="BK592" s="29" t="inlineStr">
        <is>
          <t>Evidence reconciled against the reviewed source revision. No production approval is inferred from implementation or file presence.</t>
        </is>
      </c>
      <c r="BL592" s="29" t="inlineStr">
        <is>
          <t>2026-08-02</t>
        </is>
      </c>
    </row>
    <row r="593" ht="42" customHeight="1">
      <c r="A593" s="29" t="inlineStr">
        <is>
          <t>BLYP-29-016</t>
        </is>
      </c>
      <c r="B593" s="29" t="inlineStr"/>
      <c r="C593" s="29" t="inlineStr">
        <is>
          <t>Help, support, and appeals</t>
        </is>
      </c>
      <c r="D593" s="29" t="n">
        <v>29</v>
      </c>
      <c r="E593" s="29" t="n">
        <v>16</v>
      </c>
      <c r="F593" s="29" t="inlineStr">
        <is>
          <t>Feature</t>
        </is>
      </c>
      <c r="G593" s="29" t="inlineStr">
        <is>
          <t>Useful next action in errors</t>
        </is>
      </c>
      <c r="H593" s="29" t="inlineStr">
        <is>
          <t>Useful next action in errors</t>
        </is>
      </c>
      <c r="I593" s="29" t="inlineStr">
        <is>
          <t>/home/ubuntu/blyp_product_requirements.md :: Section 29 — Help, support, and appeals</t>
        </is>
      </c>
      <c r="J593" s="29" t="inlineStr">
        <is>
          <t>/home/ubuntu/BLYP_COMPLETE_FEATURE_LIST.md:747</t>
        </is>
      </c>
      <c r="K593" s="29" t="inlineStr">
        <is>
          <t>Required</t>
        </is>
      </c>
      <c r="L593" s="29" t="inlineStr">
        <is>
          <t>Authorized operator or accountable service owner</t>
        </is>
      </c>
      <c r="M593" s="29" t="inlineStr">
        <is>
          <t>BLYP mobile application and supporting production services</t>
        </is>
      </c>
      <c r="N593" s="29" t="inlineStr">
        <is>
          <t>Useful next action in errors</t>
        </is>
      </c>
      <c r="O593" s="29" t="inlineStr">
        <is>
          <t>Not explicitly defined in the product source; requires accountable product approval before production sign-off.</t>
        </is>
      </c>
      <c r="P593" s="29" t="inlineStr"/>
      <c r="Q593" s="29" t="inlineStr">
        <is>
          <t>Partial</t>
        </is>
      </c>
      <c r="R593" s="29" t="inlineStr"/>
      <c r="S593" s="29" t="inlineStr">
        <is>
          <t>Not found</t>
        </is>
      </c>
      <c r="T593" s="29" t="inlineStr"/>
      <c r="U593" s="29" t="inlineStr"/>
      <c r="V593" s="29" t="inlineStr"/>
      <c r="W593" s="29" t="inlineStr"/>
      <c r="X593" s="29" t="inlineStr"/>
      <c r="Y593" s="29" t="inlineStr"/>
      <c r="Z593" s="29" t="inlineStr"/>
      <c r="AA593" s="29" t="inlineStr"/>
      <c r="AB593" s="29" t="inlineStr"/>
      <c r="AC593" s="29" t="inlineStr"/>
      <c r="AD593" s="29" t="inlineStr"/>
      <c r="AE593" s="29" t="inlineStr">
        <is>
          <t>Not wired</t>
        </is>
      </c>
      <c r="AF593" s="29" t="inlineStr"/>
      <c r="AG593" s="29" t="inlineStr">
        <is>
          <t>Not started</t>
        </is>
      </c>
      <c r="AH593" s="29" t="inlineStr">
        <is>
          <t>No</t>
        </is>
      </c>
      <c r="AI593" s="29" t="inlineStr">
        <is>
          <t>No implementation found in source code</t>
        </is>
      </c>
      <c r="AJ593" s="29" t="inlineStr">
        <is>
          <t>Source traced</t>
        </is>
      </c>
      <c r="AK593" s="29" t="inlineStr"/>
      <c r="AL593" s="29" t="inlineStr"/>
      <c r="AM593" s="29" t="inlineStr"/>
      <c r="AN593" s="29" t="inlineStr"/>
      <c r="AO593" s="29" t="inlineStr">
        <is>
          <t>8bc0dcb2a1da1b21368c5536aaeef829d587f316</t>
        </is>
      </c>
      <c r="AP593" s="29" t="inlineStr">
        <is>
          <t>High</t>
        </is>
      </c>
      <c r="AQ593" s="29" t="inlineStr">
        <is>
          <t>Not assessed</t>
        </is>
      </c>
      <c r="AR593" s="29" t="inlineStr">
        <is>
          <t>Not assessed</t>
        </is>
      </c>
      <c r="AS593" s="29" t="inlineStr">
        <is>
          <t>Fail</t>
        </is>
      </c>
      <c r="AT593" s="29" t="inlineStr">
        <is>
          <t>Not assessed</t>
        </is>
      </c>
      <c r="AU593" s="29" t="inlineStr">
        <is>
          <t>Not assessed</t>
        </is>
      </c>
      <c r="AV593" s="29" t="inlineStr">
        <is>
          <t>Not assessed</t>
        </is>
      </c>
      <c r="AW593" s="29" t="inlineStr">
        <is>
          <t>Not assessed</t>
        </is>
      </c>
      <c r="AX593" s="29" t="inlineStr">
        <is>
          <t>Not assessed</t>
        </is>
      </c>
      <c r="AY593" s="29" t="inlineStr">
        <is>
          <t>Not assessed</t>
        </is>
      </c>
      <c r="AZ593" s="29" t="inlineStr">
        <is>
          <t>Not assessed</t>
        </is>
      </c>
      <c r="BA593" s="29" t="inlineStr">
        <is>
          <t>Not assessed</t>
        </is>
      </c>
      <c r="BB593" s="29" t="inlineStr">
        <is>
          <t>Not assessed</t>
        </is>
      </c>
      <c r="BC593" s="29" t="inlineStr">
        <is>
          <t>Not assessed</t>
        </is>
      </c>
      <c r="BD593" s="29" t="inlineStr">
        <is>
          <t>Not assessed</t>
        </is>
      </c>
      <c r="BE593" s="29" t="inlineStr">
        <is>
          <t>Development required</t>
        </is>
      </c>
      <c r="BF593" s="29" t="inlineStr">
        <is>
          <t>Physical implementation is not complete against the stated requirement.; No implementation found in source code</t>
        </is>
      </c>
      <c r="BG593" s="29" t="inlineStr"/>
      <c r="BH593" s="29" t="inlineStr"/>
      <c r="BI593" s="29" t="inlineStr"/>
      <c r="BJ593" s="29" t="inlineStr"/>
      <c r="BK593" s="29" t="inlineStr">
        <is>
          <t>Evidence reconciled against the reviewed source revision. No production approval is inferred from implementation or file presence.</t>
        </is>
      </c>
      <c r="BL593" s="29" t="inlineStr">
        <is>
          <t>2026-08-02</t>
        </is>
      </c>
    </row>
    <row r="594" ht="42" customHeight="1">
      <c r="A594" s="29" t="inlineStr">
        <is>
          <t>BLYP-30-001</t>
        </is>
      </c>
      <c r="B594" s="29" t="inlineStr"/>
      <c r="C594" s="29" t="inlineStr">
        <is>
          <t>Quality assurance and release readiness</t>
        </is>
      </c>
      <c r="D594" s="29" t="n">
        <v>30</v>
      </c>
      <c r="E594" s="29" t="n">
        <v>1</v>
      </c>
      <c r="F594" s="29" t="inlineStr">
        <is>
          <t>Feature</t>
        </is>
      </c>
      <c r="G594" s="29" t="inlineStr">
        <is>
          <t>Explicit release acceptance criteria</t>
        </is>
      </c>
      <c r="H594" s="29" t="inlineStr">
        <is>
          <t>Explicit release acceptance criteria</t>
        </is>
      </c>
      <c r="I594" s="29" t="inlineStr">
        <is>
          <t>/home/ubuntu/blyp_product_requirements.md :: Section 30 — Quality assurance and release readiness</t>
        </is>
      </c>
      <c r="J594" s="29" t="inlineStr">
        <is>
          <t>/home/ubuntu/BLYP_COMPLETE_FEATURE_LIST.md:753</t>
        </is>
      </c>
      <c r="K594" s="29" t="inlineStr">
        <is>
          <t>Required</t>
        </is>
      </c>
      <c r="L594" s="29" t="inlineStr">
        <is>
          <t>Applicable BLYP member</t>
        </is>
      </c>
      <c r="M594" s="29" t="inlineStr">
        <is>
          <t>Production platform, service and operator controls</t>
        </is>
      </c>
      <c r="N594" s="29" t="inlineStr">
        <is>
          <t>Explicit release acceptance criteria</t>
        </is>
      </c>
      <c r="O594" s="29" t="inlineStr">
        <is>
          <t>Not explicitly defined in the product source; requires accountable product approval before production sign-off.</t>
        </is>
      </c>
      <c r="P594" s="29" t="inlineStr"/>
      <c r="Q594" s="29" t="inlineStr">
        <is>
          <t>Partial</t>
        </is>
      </c>
      <c r="R594" s="29" t="inlineStr"/>
      <c r="S594" s="29" t="inlineStr">
        <is>
          <t>Unknown</t>
        </is>
      </c>
      <c r="T594" s="29" t="inlineStr"/>
      <c r="U594" s="29" t="inlineStr"/>
      <c r="V594" s="29" t="inlineStr"/>
      <c r="W594" s="29" t="inlineStr"/>
      <c r="X594" s="29" t="inlineStr"/>
      <c r="Y594" s="29" t="inlineStr"/>
      <c r="Z594" s="29" t="inlineStr"/>
      <c r="AA594" s="29" t="inlineStr"/>
      <c r="AB594" s="29" t="inlineStr"/>
      <c r="AC594" s="29" t="inlineStr"/>
      <c r="AD594" s="29" t="inlineStr"/>
      <c r="AE594" s="29" t="inlineStr">
        <is>
          <t>Unknown</t>
        </is>
      </c>
      <c r="AF594" s="29" t="inlineStr"/>
      <c r="AG594" s="29" t="inlineStr">
        <is>
          <t>Unknown</t>
        </is>
      </c>
      <c r="AH594" s="29" t="inlineStr">
        <is>
          <t>Unknown</t>
        </is>
      </c>
      <c r="AI594" s="29" t="inlineStr">
        <is>
          <t>No evidence found in source code</t>
        </is>
      </c>
      <c r="AJ594" s="29" t="inlineStr">
        <is>
          <t>Unknown</t>
        </is>
      </c>
      <c r="AK594" s="29" t="inlineStr"/>
      <c r="AL594" s="29" t="inlineStr"/>
      <c r="AM594" s="29" t="inlineStr"/>
      <c r="AN594" s="29" t="inlineStr"/>
      <c r="AO594" s="29" t="inlineStr">
        <is>
          <t>8bc0dcb2a1da1b21368c5536aaeef829d587f316</t>
        </is>
      </c>
      <c r="AP594" s="29" t="inlineStr">
        <is>
          <t>Unrated</t>
        </is>
      </c>
      <c r="AQ594" s="29" t="inlineStr">
        <is>
          <t>Not assessed</t>
        </is>
      </c>
      <c r="AR594" s="29" t="inlineStr">
        <is>
          <t>Not assessed</t>
        </is>
      </c>
      <c r="AS594" s="29" t="inlineStr">
        <is>
          <t>Not assessed</t>
        </is>
      </c>
      <c r="AT594" s="29" t="inlineStr">
        <is>
          <t>Not assessed</t>
        </is>
      </c>
      <c r="AU594" s="29" t="inlineStr">
        <is>
          <t>Not assessed</t>
        </is>
      </c>
      <c r="AV594" s="29" t="inlineStr">
        <is>
          <t>Not assessed</t>
        </is>
      </c>
      <c r="AW594" s="29" t="inlineStr">
        <is>
          <t>Not assessed</t>
        </is>
      </c>
      <c r="AX594" s="29" t="inlineStr">
        <is>
          <t>Not assessed</t>
        </is>
      </c>
      <c r="AY594" s="29" t="inlineStr">
        <is>
          <t>Not assessed</t>
        </is>
      </c>
      <c r="AZ594" s="29" t="inlineStr">
        <is>
          <t>Not assessed</t>
        </is>
      </c>
      <c r="BA594" s="29" t="inlineStr">
        <is>
          <t>Not assessed</t>
        </is>
      </c>
      <c r="BB594" s="29" t="inlineStr">
        <is>
          <t>Not assessed</t>
        </is>
      </c>
      <c r="BC594" s="29" t="inlineStr">
        <is>
          <t>Not assessed</t>
        </is>
      </c>
      <c r="BD594" s="29" t="inlineStr">
        <is>
          <t>Not assessed</t>
        </is>
      </c>
      <c r="BE594" s="29" t="inlineStr">
        <is>
          <t>Not assessed</t>
        </is>
      </c>
      <c r="BF594" s="29" t="inlineStr">
        <is>
          <t>Insufficient evidence to issue a production-readiness conclusion.</t>
        </is>
      </c>
      <c r="BG594" s="29" t="inlineStr"/>
      <c r="BH594" s="29" t="inlineStr"/>
      <c r="BI594" s="29" t="inlineStr"/>
      <c r="BJ594" s="29" t="inlineStr"/>
      <c r="BK594" s="29" t="inlineStr">
        <is>
          <t>Evidence reconciled against the reviewed source revision. No production approval is inferred from implementation or file presence.</t>
        </is>
      </c>
      <c r="BL594" s="29" t="inlineStr">
        <is>
          <t>2026-08-02</t>
        </is>
      </c>
    </row>
    <row r="595" ht="42" customHeight="1">
      <c r="A595" s="29" t="inlineStr">
        <is>
          <t>BLYP-30-002</t>
        </is>
      </c>
      <c r="B595" s="29" t="inlineStr"/>
      <c r="C595" s="29" t="inlineStr">
        <is>
          <t>Quality assurance and release readiness</t>
        </is>
      </c>
      <c r="D595" s="29" t="n">
        <v>30</v>
      </c>
      <c r="E595" s="29" t="n">
        <v>2</v>
      </c>
      <c r="F595" s="29" t="inlineStr">
        <is>
          <t>Acceptance criterion</t>
        </is>
      </c>
      <c r="G595" s="29" t="inlineStr">
        <is>
          <t>Automated unit tests</t>
        </is>
      </c>
      <c r="H595" s="29" t="inlineStr">
        <is>
          <t>Automated unit tests</t>
        </is>
      </c>
      <c r="I595" s="29" t="inlineStr">
        <is>
          <t>/home/ubuntu/blyp_product_requirements.md :: Section 30 — Quality assurance and release readiness</t>
        </is>
      </c>
      <c r="J595" s="29" t="inlineStr">
        <is>
          <t>/home/ubuntu/BLYP_COMPLETE_FEATURE_LIST.md:754</t>
        </is>
      </c>
      <c r="K595" s="29" t="inlineStr">
        <is>
          <t>Required</t>
        </is>
      </c>
      <c r="L595" s="29" t="inlineStr">
        <is>
          <t>Applicable BLYP member</t>
        </is>
      </c>
      <c r="M595" s="29" t="inlineStr">
        <is>
          <t>Production platform, service and operator controls</t>
        </is>
      </c>
      <c r="N595" s="29" t="inlineStr">
        <is>
          <t>Automated unit tests</t>
        </is>
      </c>
      <c r="O595" s="29" t="inlineStr">
        <is>
          <t>Not explicitly defined in the product source; requires accountable product approval before production sign-off.</t>
        </is>
      </c>
      <c r="P595" s="29" t="inlineStr">
        <is>
          <t>package.json test scripts</t>
        </is>
      </c>
      <c r="Q595" s="29" t="inlineStr">
        <is>
          <t>Yes</t>
        </is>
      </c>
      <c r="R595" s="29" t="inlineStr"/>
      <c r="S595" s="29" t="inlineStr">
        <is>
          <t>End-to-end present</t>
        </is>
      </c>
      <c r="T595" s="29" t="inlineStr"/>
      <c r="U595" s="29" t="inlineStr"/>
      <c r="V595" s="29" t="inlineStr"/>
      <c r="W595" s="29" t="inlineStr"/>
      <c r="X595" s="29" t="inlineStr"/>
      <c r="Y595" s="29" t="inlineStr"/>
      <c r="Z595" s="29" t="inlineStr"/>
      <c r="AA595" s="29" t="inlineStr">
        <is>
          <t>package.json test scripts</t>
        </is>
      </c>
      <c r="AB595" s="29" t="inlineStr">
        <is>
          <t>Jest</t>
        </is>
      </c>
      <c r="AC595" s="29" t="inlineStr"/>
      <c r="AD595" s="29" t="inlineStr">
        <is>
          <t>Developer runs npm test to execute Jest unit tests</t>
        </is>
      </c>
      <c r="AE595" s="29" t="inlineStr">
        <is>
          <t>Developer only</t>
        </is>
      </c>
      <c r="AF595" s="29" t="inlineStr">
        <is>
          <t>Developer runs npm test to execute Jest unit tests</t>
        </is>
      </c>
      <c r="AG595" s="29" t="inlineStr">
        <is>
          <t>Complete against stated requirement</t>
        </is>
      </c>
      <c r="AH595" s="29" t="inlineStr">
        <is>
          <t>Yes</t>
        </is>
      </c>
      <c r="AI595" s="29" t="inlineStr"/>
      <c r="AJ595" s="29" t="inlineStr">
        <is>
          <t>Conflicting evidence</t>
        </is>
      </c>
      <c r="AK595" s="29" t="inlineStr">
        <is>
          <t>EV-30-0001;EV-30-0002</t>
        </is>
      </c>
      <c r="AL595" s="29" t="inlineStr">
        <is>
          <t>EV-RUN-0001</t>
        </is>
      </c>
      <c r="AM595" s="29" t="inlineStr"/>
      <c r="AN595" s="29" t="inlineStr">
        <is>
          <t>2026-08-02</t>
        </is>
      </c>
      <c r="AO595" s="29" t="inlineStr">
        <is>
          <t>8bc0dcb2a1da1b21368c5536aaeef829d587f316 + pre-existing working-tree change</t>
        </is>
      </c>
      <c r="AP595" s="29" t="inlineStr">
        <is>
          <t>High</t>
        </is>
      </c>
      <c r="AQ595" s="29" t="inlineStr">
        <is>
          <t>Not assessed</t>
        </is>
      </c>
      <c r="AR595" s="29" t="inlineStr">
        <is>
          <t>Not assessed</t>
        </is>
      </c>
      <c r="AS595" s="29" t="inlineStr">
        <is>
          <t>Not assessed</t>
        </is>
      </c>
      <c r="AT595" s="29" t="inlineStr">
        <is>
          <t>Not assessed</t>
        </is>
      </c>
      <c r="AU595" s="29" t="inlineStr">
        <is>
          <t>Not assessed</t>
        </is>
      </c>
      <c r="AV595" s="29" t="inlineStr">
        <is>
          <t>Not assessed</t>
        </is>
      </c>
      <c r="AW595" s="29" t="inlineStr">
        <is>
          <t>Not assessed</t>
        </is>
      </c>
      <c r="AX595" s="29" t="inlineStr">
        <is>
          <t>Not assessed</t>
        </is>
      </c>
      <c r="AY595" s="29" t="inlineStr">
        <is>
          <t>Not assessed</t>
        </is>
      </c>
      <c r="AZ595" s="29" t="inlineStr">
        <is>
          <t>Not assessed</t>
        </is>
      </c>
      <c r="BA595" s="29" t="inlineStr">
        <is>
          <t>Not assessed</t>
        </is>
      </c>
      <c r="BB595" s="29" t="inlineStr">
        <is>
          <t>Not assessed</t>
        </is>
      </c>
      <c r="BC595" s="29" t="inlineStr">
        <is>
          <t>Not assessed</t>
        </is>
      </c>
      <c r="BD595" s="29" t="inlineStr">
        <is>
          <t>Fail</t>
        </is>
      </c>
      <c r="BE595" s="29" t="inlineStr">
        <is>
          <t>Blocked</t>
        </is>
      </c>
      <c r="BF595" s="29" t="inlineStr">
        <is>
          <t>Contradictory or incomplete evidence prevents production approval.</t>
        </is>
      </c>
      <c r="BG595" s="29" t="inlineStr"/>
      <c r="BH595" s="29" t="inlineStr"/>
      <c r="BI595" s="29" t="inlineStr"/>
      <c r="BJ595" s="29" t="inlineStr"/>
      <c r="BK595" s="29" t="inlineStr">
        <is>
          <t>Evidence reconciled against the reviewed source revision. No production approval is inferred from implementation or file presence.</t>
        </is>
      </c>
      <c r="BL595" s="29" t="inlineStr">
        <is>
          <t>2026-08-02</t>
        </is>
      </c>
    </row>
    <row r="596" ht="42" customHeight="1">
      <c r="A596" s="29" t="inlineStr">
        <is>
          <t>BLYP-30-003</t>
        </is>
      </c>
      <c r="B596" s="29" t="inlineStr"/>
      <c r="C596" s="29" t="inlineStr">
        <is>
          <t>Quality assurance and release readiness</t>
        </is>
      </c>
      <c r="D596" s="29" t="n">
        <v>30</v>
      </c>
      <c r="E596" s="29" t="n">
        <v>3</v>
      </c>
      <c r="F596" s="29" t="inlineStr">
        <is>
          <t>Feature</t>
        </is>
      </c>
      <c r="G596" s="29" t="inlineStr">
        <is>
          <t>Type checking</t>
        </is>
      </c>
      <c r="H596" s="29" t="inlineStr">
        <is>
          <t>Type checking</t>
        </is>
      </c>
      <c r="I596" s="29" t="inlineStr">
        <is>
          <t>/home/ubuntu/blyp_product_requirements.md :: Section 30 — Quality assurance and release readiness</t>
        </is>
      </c>
      <c r="J596" s="29" t="inlineStr">
        <is>
          <t>/home/ubuntu/BLYP_COMPLETE_FEATURE_LIST.md:755</t>
        </is>
      </c>
      <c r="K596" s="29" t="inlineStr">
        <is>
          <t>Required</t>
        </is>
      </c>
      <c r="L596" s="29" t="inlineStr">
        <is>
          <t>Applicable BLYP member</t>
        </is>
      </c>
      <c r="M596" s="29" t="inlineStr">
        <is>
          <t>Production platform, service and operator controls</t>
        </is>
      </c>
      <c r="N596" s="29" t="inlineStr">
        <is>
          <t>Type checking</t>
        </is>
      </c>
      <c r="O596" s="29" t="inlineStr">
        <is>
          <t>Not explicitly defined in the product source; requires accountable product approval before production sign-off.</t>
        </is>
      </c>
      <c r="P596" s="29" t="inlineStr"/>
      <c r="Q596" s="29" t="inlineStr">
        <is>
          <t>Yes</t>
        </is>
      </c>
      <c r="R596" s="29" t="inlineStr"/>
      <c r="S596" s="29" t="inlineStr">
        <is>
          <t>Not found</t>
        </is>
      </c>
      <c r="T596" s="29" t="inlineStr"/>
      <c r="U596" s="29" t="inlineStr"/>
      <c r="V596" s="29" t="inlineStr"/>
      <c r="W596" s="29" t="inlineStr"/>
      <c r="X596" s="29" t="inlineStr"/>
      <c r="Y596" s="29" t="inlineStr"/>
      <c r="Z596" s="29" t="inlineStr"/>
      <c r="AA596" s="29" t="inlineStr"/>
      <c r="AB596" s="29" t="inlineStr"/>
      <c r="AC596" s="29" t="inlineStr"/>
      <c r="AD596" s="29" t="inlineStr"/>
      <c r="AE596" s="29" t="inlineStr">
        <is>
          <t>Not wired</t>
        </is>
      </c>
      <c r="AF596" s="29" t="inlineStr"/>
      <c r="AG596" s="29" t="inlineStr">
        <is>
          <t>Not started</t>
        </is>
      </c>
      <c r="AH596" s="29" t="inlineStr">
        <is>
          <t>No</t>
        </is>
      </c>
      <c r="AI596" s="29" t="inlineStr">
        <is>
          <t>No tsconfig.json found</t>
        </is>
      </c>
      <c r="AJ596" s="29" t="inlineStr">
        <is>
          <t>Conflicting evidence</t>
        </is>
      </c>
      <c r="AK596" s="29" t="inlineStr">
        <is>
          <t>EV-30-0003</t>
        </is>
      </c>
      <c r="AL596" s="29" t="inlineStr">
        <is>
          <t>EV-RUN-0002;EV-RUN-0003;EV-RUN-0004</t>
        </is>
      </c>
      <c r="AM596" s="29" t="inlineStr"/>
      <c r="AN596" s="29" t="inlineStr">
        <is>
          <t>2026-08-02</t>
        </is>
      </c>
      <c r="AO596" s="29" t="inlineStr">
        <is>
          <t>8bc0dcb2a1da1b21368c5536aaeef829d587f316 + pre-existing working-tree change | 8bc0dcb2a1da1b21368c5536aaeef829d587f316</t>
        </is>
      </c>
      <c r="AP596" s="29" t="inlineStr">
        <is>
          <t>High</t>
        </is>
      </c>
      <c r="AQ596" s="29" t="inlineStr">
        <is>
          <t>Not assessed</t>
        </is>
      </c>
      <c r="AR596" s="29" t="inlineStr">
        <is>
          <t>Not assessed</t>
        </is>
      </c>
      <c r="AS596" s="29" t="inlineStr">
        <is>
          <t>Fail</t>
        </is>
      </c>
      <c r="AT596" s="29" t="inlineStr">
        <is>
          <t>Not assessed</t>
        </is>
      </c>
      <c r="AU596" s="29" t="inlineStr">
        <is>
          <t>Not assessed</t>
        </is>
      </c>
      <c r="AV596" s="29" t="inlineStr">
        <is>
          <t>Not assessed</t>
        </is>
      </c>
      <c r="AW596" s="29" t="inlineStr">
        <is>
          <t>Not assessed</t>
        </is>
      </c>
      <c r="AX596" s="29" t="inlineStr">
        <is>
          <t>Not assessed</t>
        </is>
      </c>
      <c r="AY596" s="29" t="inlineStr">
        <is>
          <t>Not assessed</t>
        </is>
      </c>
      <c r="AZ596" s="29" t="inlineStr">
        <is>
          <t>Not assessed</t>
        </is>
      </c>
      <c r="BA596" s="29" t="inlineStr">
        <is>
          <t>Not assessed</t>
        </is>
      </c>
      <c r="BB596" s="29" t="inlineStr">
        <is>
          <t>Not assessed</t>
        </is>
      </c>
      <c r="BC596" s="29" t="inlineStr">
        <is>
          <t>Not assessed</t>
        </is>
      </c>
      <c r="BD596" s="29" t="inlineStr">
        <is>
          <t>Fail</t>
        </is>
      </c>
      <c r="BE596" s="29" t="inlineStr">
        <is>
          <t>Development required</t>
        </is>
      </c>
      <c r="BF596" s="29" t="inlineStr">
        <is>
          <t>Physical implementation is not complete against the stated requirement.; No tsconfig.json found</t>
        </is>
      </c>
      <c r="BG596" s="29" t="inlineStr"/>
      <c r="BH596" s="29" t="inlineStr"/>
      <c r="BI596" s="29" t="inlineStr"/>
      <c r="BJ596" s="29" t="inlineStr"/>
      <c r="BK596" s="29" t="inlineStr">
        <is>
          <t>Evidence reconciled against the reviewed source revision. No production approval is inferred from implementation or file presence.</t>
        </is>
      </c>
      <c r="BL596" s="29" t="inlineStr">
        <is>
          <t>2026-08-02</t>
        </is>
      </c>
    </row>
    <row r="597" ht="42" customHeight="1">
      <c r="A597" s="29" t="inlineStr">
        <is>
          <t>BLYP-30-004</t>
        </is>
      </c>
      <c r="B597" s="29" t="inlineStr"/>
      <c r="C597" s="29" t="inlineStr">
        <is>
          <t>Quality assurance and release readiness</t>
        </is>
      </c>
      <c r="D597" s="29" t="n">
        <v>30</v>
      </c>
      <c r="E597" s="29" t="n">
        <v>4</v>
      </c>
      <c r="F597" s="29" t="inlineStr">
        <is>
          <t>Acceptance criterion</t>
        </is>
      </c>
      <c r="G597" s="29" t="inlineStr">
        <is>
          <t>Firestore-rules tests</t>
        </is>
      </c>
      <c r="H597" s="29" t="inlineStr">
        <is>
          <t>Firestore-rules tests</t>
        </is>
      </c>
      <c r="I597" s="29" t="inlineStr">
        <is>
          <t>/home/ubuntu/blyp_product_requirements.md :: Section 30 — Quality assurance and release readiness</t>
        </is>
      </c>
      <c r="J597" s="29" t="inlineStr">
        <is>
          <t>/home/ubuntu/BLYP_COMPLETE_FEATURE_LIST.md:756</t>
        </is>
      </c>
      <c r="K597" s="29" t="inlineStr">
        <is>
          <t>Required</t>
        </is>
      </c>
      <c r="L597" s="29" t="inlineStr">
        <is>
          <t>Applicable BLYP member</t>
        </is>
      </c>
      <c r="M597" s="29" t="inlineStr">
        <is>
          <t>Production platform, service and operator controls</t>
        </is>
      </c>
      <c r="N597" s="29" t="inlineStr">
        <is>
          <t>Firestore-rules tests</t>
        </is>
      </c>
      <c r="O597" s="29" t="inlineStr">
        <is>
          <t>Not explicitly defined in the product source; requires accountable product approval before production sign-off.</t>
        </is>
      </c>
      <c r="P597" s="29" t="inlineStr">
        <is>
          <t>package.json test:rules:firestore</t>
        </is>
      </c>
      <c r="Q597" s="29" t="inlineStr">
        <is>
          <t>Yes</t>
        </is>
      </c>
      <c r="R597" s="29" t="inlineStr"/>
      <c r="S597" s="29" t="inlineStr">
        <is>
          <t>End-to-end present</t>
        </is>
      </c>
      <c r="T597" s="29" t="inlineStr"/>
      <c r="U597" s="29" t="inlineStr"/>
      <c r="V597" s="29" t="inlineStr"/>
      <c r="W597" s="29" t="inlineStr"/>
      <c r="X597" s="29" t="inlineStr"/>
      <c r="Y597" s="29" t="inlineStr"/>
      <c r="Z597" s="29" t="inlineStr"/>
      <c r="AA597" s="29" t="inlineStr">
        <is>
          <t>package.json test:rules:firestore</t>
        </is>
      </c>
      <c r="AB597" s="29" t="inlineStr">
        <is>
          <t>Firebase Emulator</t>
        </is>
      </c>
      <c r="AC597" s="29" t="inlineStr"/>
      <c r="AD597" s="29" t="inlineStr">
        <is>
          <t>Developer runs npm run test:rules:firestore to test Firestore rules</t>
        </is>
      </c>
      <c r="AE597" s="29" t="inlineStr">
        <is>
          <t>Developer only</t>
        </is>
      </c>
      <c r="AF597" s="29" t="inlineStr">
        <is>
          <t>Developer runs npm run test:rules:firestore to test Firestore rules</t>
        </is>
      </c>
      <c r="AG597" s="29" t="inlineStr">
        <is>
          <t>Complete against stated requirement</t>
        </is>
      </c>
      <c r="AH597" s="29" t="inlineStr">
        <is>
          <t>Yes</t>
        </is>
      </c>
      <c r="AI597" s="29" t="inlineStr"/>
      <c r="AJ597" s="29" t="inlineStr">
        <is>
          <t>Source traced</t>
        </is>
      </c>
      <c r="AK597" s="29" t="inlineStr">
        <is>
          <t>EV-30-0004</t>
        </is>
      </c>
      <c r="AL597" s="29" t="inlineStr"/>
      <c r="AM597" s="29" t="inlineStr"/>
      <c r="AN597" s="29" t="inlineStr"/>
      <c r="AO597" s="29" t="inlineStr">
        <is>
          <t>8bc0dcb2a1da1b21368c5536aaeef829d587f316</t>
        </is>
      </c>
      <c r="AP597" s="29" t="inlineStr">
        <is>
          <t>High</t>
        </is>
      </c>
      <c r="AQ597" s="29" t="inlineStr">
        <is>
          <t>Not assessed</t>
        </is>
      </c>
      <c r="AR597" s="29" t="inlineStr">
        <is>
          <t>Not assessed</t>
        </is>
      </c>
      <c r="AS597" s="29" t="inlineStr">
        <is>
          <t>Not assessed</t>
        </is>
      </c>
      <c r="AT597" s="29" t="inlineStr">
        <is>
          <t>Not assessed</t>
        </is>
      </c>
      <c r="AU597" s="29" t="inlineStr">
        <is>
          <t>Not assessed</t>
        </is>
      </c>
      <c r="AV597" s="29" t="inlineStr">
        <is>
          <t>Not assessed</t>
        </is>
      </c>
      <c r="AW597" s="29" t="inlineStr">
        <is>
          <t>Not assessed</t>
        </is>
      </c>
      <c r="AX597" s="29" t="inlineStr">
        <is>
          <t>Not assessed</t>
        </is>
      </c>
      <c r="AY597" s="29" t="inlineStr">
        <is>
          <t>Not assessed</t>
        </is>
      </c>
      <c r="AZ597" s="29" t="inlineStr">
        <is>
          <t>Not assessed</t>
        </is>
      </c>
      <c r="BA597" s="29" t="inlineStr">
        <is>
          <t>Not assessed</t>
        </is>
      </c>
      <c r="BB597" s="29" t="inlineStr">
        <is>
          <t>Not assessed</t>
        </is>
      </c>
      <c r="BC597" s="29" t="inlineStr">
        <is>
          <t>Not assessed</t>
        </is>
      </c>
      <c r="BD597" s="29" t="inlineStr">
        <is>
          <t>Not assessed</t>
        </is>
      </c>
      <c r="BE597" s="29" t="inlineStr">
        <is>
          <t>Ready for production validation</t>
        </is>
      </c>
      <c r="BF597" s="29" t="inlineStr">
        <is>
          <t>Applicable production gates and acceptance checks have not been completed on an approved release candidate.</t>
        </is>
      </c>
      <c r="BG597" s="29" t="inlineStr"/>
      <c r="BH597" s="29" t="inlineStr"/>
      <c r="BI597" s="29" t="inlineStr"/>
      <c r="BJ597" s="29" t="inlineStr"/>
      <c r="BK597" s="29" t="inlineStr">
        <is>
          <t>Evidence reconciled against the reviewed source revision. No production approval is inferred from implementation or file presence.</t>
        </is>
      </c>
      <c r="BL597" s="29" t="inlineStr">
        <is>
          <t>2026-08-02</t>
        </is>
      </c>
    </row>
    <row r="598" ht="42" customHeight="1">
      <c r="A598" s="29" t="inlineStr">
        <is>
          <t>BLYP-30-005</t>
        </is>
      </c>
      <c r="B598" s="29" t="inlineStr"/>
      <c r="C598" s="29" t="inlineStr">
        <is>
          <t>Quality assurance and release readiness</t>
        </is>
      </c>
      <c r="D598" s="29" t="n">
        <v>30</v>
      </c>
      <c r="E598" s="29" t="n">
        <v>5</v>
      </c>
      <c r="F598" s="29" t="inlineStr">
        <is>
          <t>Acceptance criterion</t>
        </is>
      </c>
      <c r="G598" s="29" t="inlineStr">
        <is>
          <t>Storage-rules tests</t>
        </is>
      </c>
      <c r="H598" s="29" t="inlineStr">
        <is>
          <t>Storage-rules tests</t>
        </is>
      </c>
      <c r="I598" s="29" t="inlineStr">
        <is>
          <t>/home/ubuntu/blyp_product_requirements.md :: Section 30 — Quality assurance and release readiness</t>
        </is>
      </c>
      <c r="J598" s="29" t="inlineStr">
        <is>
          <t>/home/ubuntu/BLYP_COMPLETE_FEATURE_LIST.md:757</t>
        </is>
      </c>
      <c r="K598" s="29" t="inlineStr">
        <is>
          <t>Required</t>
        </is>
      </c>
      <c r="L598" s="29" t="inlineStr">
        <is>
          <t>Applicable BLYP member</t>
        </is>
      </c>
      <c r="M598" s="29" t="inlineStr">
        <is>
          <t>Production platform, service and operator controls</t>
        </is>
      </c>
      <c r="N598" s="29" t="inlineStr">
        <is>
          <t>Storage-rules tests</t>
        </is>
      </c>
      <c r="O598" s="29" t="inlineStr">
        <is>
          <t>Not explicitly defined in the product source; requires accountable product approval before production sign-off.</t>
        </is>
      </c>
      <c r="P598" s="29" t="inlineStr">
        <is>
          <t>package.json test:rules:storage</t>
        </is>
      </c>
      <c r="Q598" s="29" t="inlineStr">
        <is>
          <t>Yes</t>
        </is>
      </c>
      <c r="R598" s="29" t="inlineStr"/>
      <c r="S598" s="29" t="inlineStr">
        <is>
          <t>End-to-end present</t>
        </is>
      </c>
      <c r="T598" s="29" t="inlineStr"/>
      <c r="U598" s="29" t="inlineStr"/>
      <c r="V598" s="29" t="inlineStr"/>
      <c r="W598" s="29" t="inlineStr"/>
      <c r="X598" s="29" t="inlineStr"/>
      <c r="Y598" s="29" t="inlineStr"/>
      <c r="Z598" s="29" t="inlineStr"/>
      <c r="AA598" s="29" t="inlineStr">
        <is>
          <t>package.json test:rules:storage</t>
        </is>
      </c>
      <c r="AB598" s="29" t="inlineStr">
        <is>
          <t>Firebase Emulator</t>
        </is>
      </c>
      <c r="AC598" s="29" t="inlineStr"/>
      <c r="AD598" s="29" t="inlineStr">
        <is>
          <t>Developer runs npm run test:rules:storage to test Storage rules</t>
        </is>
      </c>
      <c r="AE598" s="29" t="inlineStr">
        <is>
          <t>Developer only</t>
        </is>
      </c>
      <c r="AF598" s="29" t="inlineStr">
        <is>
          <t>Developer runs npm run test:rules:storage to test Storage rules</t>
        </is>
      </c>
      <c r="AG598" s="29" t="inlineStr">
        <is>
          <t>Complete against stated requirement</t>
        </is>
      </c>
      <c r="AH598" s="29" t="inlineStr">
        <is>
          <t>Yes</t>
        </is>
      </c>
      <c r="AI598" s="29" t="inlineStr"/>
      <c r="AJ598" s="29" t="inlineStr">
        <is>
          <t>Source traced</t>
        </is>
      </c>
      <c r="AK598" s="29" t="inlineStr">
        <is>
          <t>EV-30-0005</t>
        </is>
      </c>
      <c r="AL598" s="29" t="inlineStr"/>
      <c r="AM598" s="29" t="inlineStr"/>
      <c r="AN598" s="29" t="inlineStr"/>
      <c r="AO598" s="29" t="inlineStr">
        <is>
          <t>8bc0dcb2a1da1b21368c5536aaeef829d587f316</t>
        </is>
      </c>
      <c r="AP598" s="29" t="inlineStr">
        <is>
          <t>High</t>
        </is>
      </c>
      <c r="AQ598" s="29" t="inlineStr">
        <is>
          <t>Not assessed</t>
        </is>
      </c>
      <c r="AR598" s="29" t="inlineStr">
        <is>
          <t>Not assessed</t>
        </is>
      </c>
      <c r="AS598" s="29" t="inlineStr">
        <is>
          <t>Not assessed</t>
        </is>
      </c>
      <c r="AT598" s="29" t="inlineStr">
        <is>
          <t>Not assessed</t>
        </is>
      </c>
      <c r="AU598" s="29" t="inlineStr">
        <is>
          <t>Not assessed</t>
        </is>
      </c>
      <c r="AV598" s="29" t="inlineStr">
        <is>
          <t>Not assessed</t>
        </is>
      </c>
      <c r="AW598" s="29" t="inlineStr">
        <is>
          <t>Not assessed</t>
        </is>
      </c>
      <c r="AX598" s="29" t="inlineStr">
        <is>
          <t>Not assessed</t>
        </is>
      </c>
      <c r="AY598" s="29" t="inlineStr">
        <is>
          <t>Not assessed</t>
        </is>
      </c>
      <c r="AZ598" s="29" t="inlineStr">
        <is>
          <t>Not assessed</t>
        </is>
      </c>
      <c r="BA598" s="29" t="inlineStr">
        <is>
          <t>Not assessed</t>
        </is>
      </c>
      <c r="BB598" s="29" t="inlineStr">
        <is>
          <t>Not assessed</t>
        </is>
      </c>
      <c r="BC598" s="29" t="inlineStr">
        <is>
          <t>Not assessed</t>
        </is>
      </c>
      <c r="BD598" s="29" t="inlineStr">
        <is>
          <t>Not assessed</t>
        </is>
      </c>
      <c r="BE598" s="29" t="inlineStr">
        <is>
          <t>Ready for production validation</t>
        </is>
      </c>
      <c r="BF598" s="29" t="inlineStr">
        <is>
          <t>Applicable production gates and acceptance checks have not been completed on an approved release candidate.</t>
        </is>
      </c>
      <c r="BG598" s="29" t="inlineStr"/>
      <c r="BH598" s="29" t="inlineStr"/>
      <c r="BI598" s="29" t="inlineStr"/>
      <c r="BJ598" s="29" t="inlineStr"/>
      <c r="BK598" s="29" t="inlineStr">
        <is>
          <t>Evidence reconciled against the reviewed source revision. No production approval is inferred from implementation or file presence.</t>
        </is>
      </c>
      <c r="BL598" s="29" t="inlineStr">
        <is>
          <t>2026-08-02</t>
        </is>
      </c>
    </row>
    <row r="599" ht="42" customHeight="1">
      <c r="A599" s="29" t="inlineStr">
        <is>
          <t>BLYP-30-006</t>
        </is>
      </c>
      <c r="B599" s="29" t="inlineStr"/>
      <c r="C599" s="29" t="inlineStr">
        <is>
          <t>Quality assurance and release readiness</t>
        </is>
      </c>
      <c r="D599" s="29" t="n">
        <v>30</v>
      </c>
      <c r="E599" s="29" t="n">
        <v>6</v>
      </c>
      <c r="F599" s="29" t="inlineStr">
        <is>
          <t>Acceptance criterion</t>
        </is>
      </c>
      <c r="G599" s="29" t="inlineStr">
        <is>
          <t>Supported-device test matrix</t>
        </is>
      </c>
      <c r="H599" s="29" t="inlineStr">
        <is>
          <t>Supported-device test matrix</t>
        </is>
      </c>
      <c r="I599" s="29" t="inlineStr">
        <is>
          <t>/home/ubuntu/blyp_product_requirements.md :: Section 30 — Quality assurance and release readiness</t>
        </is>
      </c>
      <c r="J599" s="29" t="inlineStr">
        <is>
          <t>/home/ubuntu/BLYP_COMPLETE_FEATURE_LIST.md:758</t>
        </is>
      </c>
      <c r="K599" s="29" t="inlineStr">
        <is>
          <t>Required</t>
        </is>
      </c>
      <c r="L599" s="29" t="inlineStr">
        <is>
          <t>Authorized operator or accountable service owner</t>
        </is>
      </c>
      <c r="M599" s="29" t="inlineStr">
        <is>
          <t>Production platform, service and operator controls</t>
        </is>
      </c>
      <c r="N599" s="29" t="inlineStr">
        <is>
          <t>Supported-device test matrix</t>
        </is>
      </c>
      <c r="O599" s="29" t="inlineStr">
        <is>
          <t>Not explicitly defined in the product source; requires accountable product approval before production sign-off.</t>
        </is>
      </c>
      <c r="P599" s="29" t="inlineStr"/>
      <c r="Q599" s="29" t="inlineStr">
        <is>
          <t>No evidence</t>
        </is>
      </c>
      <c r="R599" s="29" t="inlineStr"/>
      <c r="S599" s="29" t="inlineStr">
        <is>
          <t>Unknown</t>
        </is>
      </c>
      <c r="T599" s="29" t="inlineStr"/>
      <c r="U599" s="29" t="inlineStr"/>
      <c r="V599" s="29" t="inlineStr"/>
      <c r="W599" s="29" t="inlineStr"/>
      <c r="X599" s="29" t="inlineStr"/>
      <c r="Y599" s="29" t="inlineStr"/>
      <c r="Z599" s="29" t="inlineStr"/>
      <c r="AA599" s="29" t="inlineStr"/>
      <c r="AB599" s="29" t="inlineStr"/>
      <c r="AC599" s="29" t="inlineStr"/>
      <c r="AD599" s="29" t="inlineStr"/>
      <c r="AE599" s="29" t="inlineStr">
        <is>
          <t>Unknown</t>
        </is>
      </c>
      <c r="AF599" s="29" t="inlineStr"/>
      <c r="AG599" s="29" t="inlineStr">
        <is>
          <t>Unknown</t>
        </is>
      </c>
      <c r="AH599" s="29" t="inlineStr">
        <is>
          <t>Unknown</t>
        </is>
      </c>
      <c r="AI599" s="29" t="inlineStr">
        <is>
          <t>No evidence found in source code</t>
        </is>
      </c>
      <c r="AJ599" s="29" t="inlineStr">
        <is>
          <t>Physical device observed</t>
        </is>
      </c>
      <c r="AK599" s="29" t="inlineStr"/>
      <c r="AL599" s="29" t="inlineStr"/>
      <c r="AM599" s="29" t="inlineStr">
        <is>
          <t>EV-RUN-0005;EV-RUN-0012</t>
        </is>
      </c>
      <c r="AN599" s="29" t="inlineStr">
        <is>
          <t>2026-08-02</t>
        </is>
      </c>
      <c r="AO599" s="29" t="inlineStr">
        <is>
          <t>com.blyp.mobile 1.0.1; versionCode 2026303428; Galaxy Z Fold7 SM-F966B | Current verification session</t>
        </is>
      </c>
      <c r="AP599" s="29" t="inlineStr">
        <is>
          <t>Unrated</t>
        </is>
      </c>
      <c r="AQ599" s="29" t="inlineStr">
        <is>
          <t>Not assessed</t>
        </is>
      </c>
      <c r="AR599" s="29" t="inlineStr">
        <is>
          <t>Not assessed</t>
        </is>
      </c>
      <c r="AS599" s="29" t="inlineStr">
        <is>
          <t>Not assessed</t>
        </is>
      </c>
      <c r="AT599" s="29" t="inlineStr">
        <is>
          <t>Not assessed</t>
        </is>
      </c>
      <c r="AU599" s="29" t="inlineStr">
        <is>
          <t>Not assessed</t>
        </is>
      </c>
      <c r="AV599" s="29" t="inlineStr">
        <is>
          <t>Not assessed</t>
        </is>
      </c>
      <c r="AW599" s="29" t="inlineStr">
        <is>
          <t>Not assessed</t>
        </is>
      </c>
      <c r="AX599" s="29" t="inlineStr">
        <is>
          <t>Not assessed</t>
        </is>
      </c>
      <c r="AY599" s="29" t="inlineStr">
        <is>
          <t>Not assessed</t>
        </is>
      </c>
      <c r="AZ599" s="29" t="inlineStr">
        <is>
          <t>Not assessed</t>
        </is>
      </c>
      <c r="BA599" s="29" t="inlineStr">
        <is>
          <t>Not assessed</t>
        </is>
      </c>
      <c r="BB599" s="29" t="inlineStr">
        <is>
          <t>Not assessed</t>
        </is>
      </c>
      <c r="BC599" s="29" t="inlineStr">
        <is>
          <t>Not assessed</t>
        </is>
      </c>
      <c r="BD599" s="29" t="inlineStr">
        <is>
          <t>Not assessed</t>
        </is>
      </c>
      <c r="BE599" s="29" t="inlineStr">
        <is>
          <t>Not assessed</t>
        </is>
      </c>
      <c r="BF599" s="29" t="inlineStr">
        <is>
          <t>Insufficient evidence to issue a production-readiness conclusion.</t>
        </is>
      </c>
      <c r="BG599" s="29" t="inlineStr"/>
      <c r="BH599" s="29" t="inlineStr"/>
      <c r="BI599" s="29" t="inlineStr"/>
      <c r="BJ599" s="29" t="inlineStr"/>
      <c r="BK599" s="29" t="inlineStr">
        <is>
          <t>Evidence reconciled against the reviewed source revision. No production approval is inferred from implementation or file presence.</t>
        </is>
      </c>
      <c r="BL599" s="29" t="inlineStr">
        <is>
          <t>2026-08-02</t>
        </is>
      </c>
    </row>
    <row r="600" ht="42" customHeight="1">
      <c r="A600" s="29" t="inlineStr">
        <is>
          <t>BLYP-30-007</t>
        </is>
      </c>
      <c r="B600" s="29" t="inlineStr"/>
      <c r="C600" s="29" t="inlineStr">
        <is>
          <t>Quality assurance and release readiness</t>
        </is>
      </c>
      <c r="D600" s="29" t="n">
        <v>30</v>
      </c>
      <c r="E600" s="29" t="n">
        <v>7</v>
      </c>
      <c r="F600" s="29" t="inlineStr">
        <is>
          <t>Acceptance criterion</t>
        </is>
      </c>
      <c r="G600" s="29" t="inlineStr">
        <is>
          <t>Supported-operating-system test matrix</t>
        </is>
      </c>
      <c r="H600" s="29" t="inlineStr">
        <is>
          <t>Supported-operating-system test matrix</t>
        </is>
      </c>
      <c r="I600" s="29" t="inlineStr">
        <is>
          <t>/home/ubuntu/blyp_product_requirements.md :: Section 30 — Quality assurance and release readiness</t>
        </is>
      </c>
      <c r="J600" s="29" t="inlineStr">
        <is>
          <t>/home/ubuntu/BLYP_COMPLETE_FEATURE_LIST.md:759</t>
        </is>
      </c>
      <c r="K600" s="29" t="inlineStr">
        <is>
          <t>Required</t>
        </is>
      </c>
      <c r="L600" s="29" t="inlineStr">
        <is>
          <t>Authorized operator or accountable service owner</t>
        </is>
      </c>
      <c r="M600" s="29" t="inlineStr">
        <is>
          <t>Production platform, service and operator controls</t>
        </is>
      </c>
      <c r="N600" s="29" t="inlineStr">
        <is>
          <t>Supported-operating-system test matrix</t>
        </is>
      </c>
      <c r="O600" s="29" t="inlineStr">
        <is>
          <t>Not explicitly defined in the product source; requires accountable product approval before production sign-off.</t>
        </is>
      </c>
      <c r="P600" s="29" t="inlineStr"/>
      <c r="Q600" s="29" t="inlineStr">
        <is>
          <t>No evidence</t>
        </is>
      </c>
      <c r="R600" s="29" t="inlineStr"/>
      <c r="S600" s="29" t="inlineStr">
        <is>
          <t>Unknown</t>
        </is>
      </c>
      <c r="T600" s="29" t="inlineStr"/>
      <c r="U600" s="29" t="inlineStr"/>
      <c r="V600" s="29" t="inlineStr"/>
      <c r="W600" s="29" t="inlineStr"/>
      <c r="X600" s="29" t="inlineStr"/>
      <c r="Y600" s="29" t="inlineStr"/>
      <c r="Z600" s="29" t="inlineStr"/>
      <c r="AA600" s="29" t="inlineStr"/>
      <c r="AB600" s="29" t="inlineStr"/>
      <c r="AC600" s="29" t="inlineStr"/>
      <c r="AD600" s="29" t="inlineStr"/>
      <c r="AE600" s="29" t="inlineStr">
        <is>
          <t>Unknown</t>
        </is>
      </c>
      <c r="AF600" s="29" t="inlineStr"/>
      <c r="AG600" s="29" t="inlineStr">
        <is>
          <t>Unknown</t>
        </is>
      </c>
      <c r="AH600" s="29" t="inlineStr">
        <is>
          <t>Unknown</t>
        </is>
      </c>
      <c r="AI600" s="29" t="inlineStr">
        <is>
          <t>No evidence found in source code</t>
        </is>
      </c>
      <c r="AJ600" s="29" t="inlineStr">
        <is>
          <t>Unknown</t>
        </is>
      </c>
      <c r="AK600" s="29" t="inlineStr"/>
      <c r="AL600" s="29" t="inlineStr"/>
      <c r="AM600" s="29" t="inlineStr"/>
      <c r="AN600" s="29" t="inlineStr"/>
      <c r="AO600" s="29" t="inlineStr">
        <is>
          <t>8bc0dcb2a1da1b21368c5536aaeef829d587f316</t>
        </is>
      </c>
      <c r="AP600" s="29" t="inlineStr">
        <is>
          <t>Unrated</t>
        </is>
      </c>
      <c r="AQ600" s="29" t="inlineStr">
        <is>
          <t>Not assessed</t>
        </is>
      </c>
      <c r="AR600" s="29" t="inlineStr">
        <is>
          <t>Not assessed</t>
        </is>
      </c>
      <c r="AS600" s="29" t="inlineStr">
        <is>
          <t>Not assessed</t>
        </is>
      </c>
      <c r="AT600" s="29" t="inlineStr">
        <is>
          <t>Not assessed</t>
        </is>
      </c>
      <c r="AU600" s="29" t="inlineStr">
        <is>
          <t>Not assessed</t>
        </is>
      </c>
      <c r="AV600" s="29" t="inlineStr">
        <is>
          <t>Not assessed</t>
        </is>
      </c>
      <c r="AW600" s="29" t="inlineStr">
        <is>
          <t>Not assessed</t>
        </is>
      </c>
      <c r="AX600" s="29" t="inlineStr">
        <is>
          <t>Not assessed</t>
        </is>
      </c>
      <c r="AY600" s="29" t="inlineStr">
        <is>
          <t>Not assessed</t>
        </is>
      </c>
      <c r="AZ600" s="29" t="inlineStr">
        <is>
          <t>Not assessed</t>
        </is>
      </c>
      <c r="BA600" s="29" t="inlineStr">
        <is>
          <t>Not assessed</t>
        </is>
      </c>
      <c r="BB600" s="29" t="inlineStr">
        <is>
          <t>Not assessed</t>
        </is>
      </c>
      <c r="BC600" s="29" t="inlineStr">
        <is>
          <t>Not assessed</t>
        </is>
      </c>
      <c r="BD600" s="29" t="inlineStr">
        <is>
          <t>Not assessed</t>
        </is>
      </c>
      <c r="BE600" s="29" t="inlineStr">
        <is>
          <t>Not assessed</t>
        </is>
      </c>
      <c r="BF600" s="29" t="inlineStr">
        <is>
          <t>Insufficient evidence to issue a production-readiness conclusion.</t>
        </is>
      </c>
      <c r="BG600" s="29" t="inlineStr"/>
      <c r="BH600" s="29" t="inlineStr"/>
      <c r="BI600" s="29" t="inlineStr"/>
      <c r="BJ600" s="29" t="inlineStr"/>
      <c r="BK600" s="29" t="inlineStr">
        <is>
          <t>Evidence reconciled against the reviewed source revision. No production approval is inferred from implementation or file presence.</t>
        </is>
      </c>
      <c r="BL600" s="29" t="inlineStr">
        <is>
          <t>2026-08-02</t>
        </is>
      </c>
    </row>
    <row r="601" ht="42" customHeight="1">
      <c r="A601" s="29" t="inlineStr">
        <is>
          <t>BLYP-30-008</t>
        </is>
      </c>
      <c r="B601" s="29" t="inlineStr"/>
      <c r="C601" s="29" t="inlineStr">
        <is>
          <t>Quality assurance and release readiness</t>
        </is>
      </c>
      <c r="D601" s="29" t="n">
        <v>30</v>
      </c>
      <c r="E601" s="29" t="n">
        <v>8</v>
      </c>
      <c r="F601" s="29" t="inlineStr">
        <is>
          <t>Acceptance criterion</t>
        </is>
      </c>
      <c r="G601" s="29" t="inlineStr">
        <is>
          <t>Free-membership journey tests</t>
        </is>
      </c>
      <c r="H601" s="29" t="inlineStr">
        <is>
          <t>Free-membership journey tests</t>
        </is>
      </c>
      <c r="I601" s="29" t="inlineStr">
        <is>
          <t>/home/ubuntu/blyp_product_requirements.md :: Section 30 — Quality assurance and release readiness</t>
        </is>
      </c>
      <c r="J601" s="29" t="inlineStr">
        <is>
          <t>/home/ubuntu/BLYP_COMPLETE_FEATURE_LIST.md:760</t>
        </is>
      </c>
      <c r="K601" s="29" t="inlineStr">
        <is>
          <t>Required</t>
        </is>
      </c>
      <c r="L601" s="29" t="inlineStr">
        <is>
          <t>Applicable BLYP member</t>
        </is>
      </c>
      <c r="M601" s="29" t="inlineStr">
        <is>
          <t>Production platform, service and operator controls</t>
        </is>
      </c>
      <c r="N601" s="29" t="inlineStr">
        <is>
          <t>Free-membership journey tests</t>
        </is>
      </c>
      <c r="O601" s="29" t="inlineStr">
        <is>
          <t>Not explicitly defined in the product source; requires accountable product approval before production sign-off.</t>
        </is>
      </c>
      <c r="P601" s="29" t="inlineStr"/>
      <c r="Q601" s="29" t="inlineStr">
        <is>
          <t>Partial</t>
        </is>
      </c>
      <c r="R601" s="29" t="inlineStr"/>
      <c r="S601" s="29" t="inlineStr">
        <is>
          <t>Unknown</t>
        </is>
      </c>
      <c r="T601" s="29" t="inlineStr"/>
      <c r="U601" s="29" t="inlineStr"/>
      <c r="V601" s="29" t="inlineStr"/>
      <c r="W601" s="29" t="inlineStr"/>
      <c r="X601" s="29" t="inlineStr"/>
      <c r="Y601" s="29" t="inlineStr"/>
      <c r="Z601" s="29" t="inlineStr"/>
      <c r="AA601" s="29" t="inlineStr"/>
      <c r="AB601" s="29" t="inlineStr"/>
      <c r="AC601" s="29" t="inlineStr"/>
      <c r="AD601" s="29" t="inlineStr"/>
      <c r="AE601" s="29" t="inlineStr">
        <is>
          <t>Unknown</t>
        </is>
      </c>
      <c r="AF601" s="29" t="inlineStr"/>
      <c r="AG601" s="29" t="inlineStr">
        <is>
          <t>Unknown</t>
        </is>
      </c>
      <c r="AH601" s="29" t="inlineStr">
        <is>
          <t>Unknown</t>
        </is>
      </c>
      <c r="AI601" s="29" t="inlineStr">
        <is>
          <t>No evidence found in source code</t>
        </is>
      </c>
      <c r="AJ601" s="29" t="inlineStr">
        <is>
          <t>Physical device observed</t>
        </is>
      </c>
      <c r="AK601" s="29" t="inlineStr"/>
      <c r="AL601" s="29" t="inlineStr"/>
      <c r="AM601" s="29" t="inlineStr">
        <is>
          <t>EV-RUN-0005</t>
        </is>
      </c>
      <c r="AN601" s="29" t="inlineStr">
        <is>
          <t>2026-07-31</t>
        </is>
      </c>
      <c r="AO601" s="29" t="inlineStr">
        <is>
          <t>com.blyp.mobile 1.0.1; versionCode 2026303428; Galaxy Z Fold7 SM-F966B</t>
        </is>
      </c>
      <c r="AP601" s="29" t="inlineStr">
        <is>
          <t>Unrated</t>
        </is>
      </c>
      <c r="AQ601" s="29" t="inlineStr">
        <is>
          <t>Not assessed</t>
        </is>
      </c>
      <c r="AR601" s="29" t="inlineStr">
        <is>
          <t>Not assessed</t>
        </is>
      </c>
      <c r="AS601" s="29" t="inlineStr">
        <is>
          <t>Not assessed</t>
        </is>
      </c>
      <c r="AT601" s="29" t="inlineStr">
        <is>
          <t>Not assessed</t>
        </is>
      </c>
      <c r="AU601" s="29" t="inlineStr">
        <is>
          <t>Not assessed</t>
        </is>
      </c>
      <c r="AV601" s="29" t="inlineStr">
        <is>
          <t>Not assessed</t>
        </is>
      </c>
      <c r="AW601" s="29" t="inlineStr">
        <is>
          <t>Not assessed</t>
        </is>
      </c>
      <c r="AX601" s="29" t="inlineStr">
        <is>
          <t>Not assessed</t>
        </is>
      </c>
      <c r="AY601" s="29" t="inlineStr">
        <is>
          <t>Not assessed</t>
        </is>
      </c>
      <c r="AZ601" s="29" t="inlineStr">
        <is>
          <t>Not assessed</t>
        </is>
      </c>
      <c r="BA601" s="29" t="inlineStr">
        <is>
          <t>Not assessed</t>
        </is>
      </c>
      <c r="BB601" s="29" t="inlineStr">
        <is>
          <t>Not assessed</t>
        </is>
      </c>
      <c r="BC601" s="29" t="inlineStr">
        <is>
          <t>Not assessed</t>
        </is>
      </c>
      <c r="BD601" s="29" t="inlineStr">
        <is>
          <t>Not assessed</t>
        </is>
      </c>
      <c r="BE601" s="29" t="inlineStr">
        <is>
          <t>Not assessed</t>
        </is>
      </c>
      <c r="BF601" s="29" t="inlineStr">
        <is>
          <t>Insufficient evidence to issue a production-readiness conclusion.</t>
        </is>
      </c>
      <c r="BG601" s="29" t="inlineStr"/>
      <c r="BH601" s="29" t="inlineStr"/>
      <c r="BI601" s="29" t="inlineStr"/>
      <c r="BJ601" s="29" t="inlineStr"/>
      <c r="BK601" s="29" t="inlineStr">
        <is>
          <t>Evidence reconciled against the reviewed source revision. No production approval is inferred from implementation or file presence.</t>
        </is>
      </c>
      <c r="BL601" s="29" t="inlineStr">
        <is>
          <t>2026-08-02</t>
        </is>
      </c>
    </row>
    <row r="602" ht="42" customHeight="1">
      <c r="A602" s="29" t="inlineStr">
        <is>
          <t>BLYP-30-009</t>
        </is>
      </c>
      <c r="B602" s="29" t="inlineStr"/>
      <c r="C602" s="29" t="inlineStr">
        <is>
          <t>Quality assurance and release readiness</t>
        </is>
      </c>
      <c r="D602" s="29" t="n">
        <v>30</v>
      </c>
      <c r="E602" s="29" t="n">
        <v>9</v>
      </c>
      <c r="F602" s="29" t="inlineStr">
        <is>
          <t>Acceptance criterion</t>
        </is>
      </c>
      <c r="G602" s="29" t="inlineStr">
        <is>
          <t>Paid-membership journey tests</t>
        </is>
      </c>
      <c r="H602" s="29" t="inlineStr">
        <is>
          <t>Paid-membership journey tests</t>
        </is>
      </c>
      <c r="I602" s="29" t="inlineStr">
        <is>
          <t>/home/ubuntu/blyp_product_requirements.md :: Section 30 — Quality assurance and release readiness</t>
        </is>
      </c>
      <c r="J602" s="29" t="inlineStr">
        <is>
          <t>/home/ubuntu/BLYP_COMPLETE_FEATURE_LIST.md:761</t>
        </is>
      </c>
      <c r="K602" s="29" t="inlineStr">
        <is>
          <t>Required</t>
        </is>
      </c>
      <c r="L602" s="29" t="inlineStr">
        <is>
          <t>Applicable BLYP member</t>
        </is>
      </c>
      <c r="M602" s="29" t="inlineStr">
        <is>
          <t>Production platform, service and operator controls</t>
        </is>
      </c>
      <c r="N602" s="29" t="inlineStr">
        <is>
          <t>Paid-membership journey tests</t>
        </is>
      </c>
      <c r="O602" s="29" t="inlineStr">
        <is>
          <t>Not explicitly defined in the product source; requires accountable product approval before production sign-off.</t>
        </is>
      </c>
      <c r="P602" s="29" t="inlineStr"/>
      <c r="Q602" s="29" t="inlineStr">
        <is>
          <t>No evidence</t>
        </is>
      </c>
      <c r="R602" s="29" t="inlineStr"/>
      <c r="S602" s="29" t="inlineStr">
        <is>
          <t>Unknown</t>
        </is>
      </c>
      <c r="T602" s="29" t="inlineStr"/>
      <c r="U602" s="29" t="inlineStr"/>
      <c r="V602" s="29" t="inlineStr"/>
      <c r="W602" s="29" t="inlineStr"/>
      <c r="X602" s="29" t="inlineStr"/>
      <c r="Y602" s="29" t="inlineStr"/>
      <c r="Z602" s="29" t="inlineStr"/>
      <c r="AA602" s="29" t="inlineStr"/>
      <c r="AB602" s="29" t="inlineStr"/>
      <c r="AC602" s="29" t="inlineStr"/>
      <c r="AD602" s="29" t="inlineStr"/>
      <c r="AE602" s="29" t="inlineStr">
        <is>
          <t>Unknown</t>
        </is>
      </c>
      <c r="AF602" s="29" t="inlineStr"/>
      <c r="AG602" s="29" t="inlineStr">
        <is>
          <t>Unknown</t>
        </is>
      </c>
      <c r="AH602" s="29" t="inlineStr">
        <is>
          <t>Unknown</t>
        </is>
      </c>
      <c r="AI602" s="29" t="inlineStr">
        <is>
          <t>No evidence found in source code</t>
        </is>
      </c>
      <c r="AJ602" s="29" t="inlineStr">
        <is>
          <t>Unknown</t>
        </is>
      </c>
      <c r="AK602" s="29" t="inlineStr"/>
      <c r="AL602" s="29" t="inlineStr"/>
      <c r="AM602" s="29" t="inlineStr"/>
      <c r="AN602" s="29" t="inlineStr"/>
      <c r="AO602" s="29" t="inlineStr">
        <is>
          <t>8bc0dcb2a1da1b21368c5536aaeef829d587f316</t>
        </is>
      </c>
      <c r="AP602" s="29" t="inlineStr">
        <is>
          <t>Unrated</t>
        </is>
      </c>
      <c r="AQ602" s="29" t="inlineStr">
        <is>
          <t>Not assessed</t>
        </is>
      </c>
      <c r="AR602" s="29" t="inlineStr">
        <is>
          <t>Not assessed</t>
        </is>
      </c>
      <c r="AS602" s="29" t="inlineStr">
        <is>
          <t>Not assessed</t>
        </is>
      </c>
      <c r="AT602" s="29" t="inlineStr">
        <is>
          <t>Not assessed</t>
        </is>
      </c>
      <c r="AU602" s="29" t="inlineStr">
        <is>
          <t>Not assessed</t>
        </is>
      </c>
      <c r="AV602" s="29" t="inlineStr">
        <is>
          <t>Not assessed</t>
        </is>
      </c>
      <c r="AW602" s="29" t="inlineStr">
        <is>
          <t>Not assessed</t>
        </is>
      </c>
      <c r="AX602" s="29" t="inlineStr">
        <is>
          <t>Not assessed</t>
        </is>
      </c>
      <c r="AY602" s="29" t="inlineStr">
        <is>
          <t>Not assessed</t>
        </is>
      </c>
      <c r="AZ602" s="29" t="inlineStr">
        <is>
          <t>Not assessed</t>
        </is>
      </c>
      <c r="BA602" s="29" t="inlineStr">
        <is>
          <t>Not assessed</t>
        </is>
      </c>
      <c r="BB602" s="29" t="inlineStr">
        <is>
          <t>Not assessed</t>
        </is>
      </c>
      <c r="BC602" s="29" t="inlineStr">
        <is>
          <t>Not assessed</t>
        </is>
      </c>
      <c r="BD602" s="29" t="inlineStr">
        <is>
          <t>Not assessed</t>
        </is>
      </c>
      <c r="BE602" s="29" t="inlineStr">
        <is>
          <t>Not assessed</t>
        </is>
      </c>
      <c r="BF602" s="29" t="inlineStr">
        <is>
          <t>Insufficient evidence to issue a production-readiness conclusion.</t>
        </is>
      </c>
      <c r="BG602" s="29" t="inlineStr"/>
      <c r="BH602" s="29" t="inlineStr"/>
      <c r="BI602" s="29" t="inlineStr"/>
      <c r="BJ602" s="29" t="inlineStr"/>
      <c r="BK602" s="29" t="inlineStr">
        <is>
          <t>Evidence reconciled against the reviewed source revision. No production approval is inferred from implementation or file presence.</t>
        </is>
      </c>
      <c r="BL602" s="29" t="inlineStr">
        <is>
          <t>2026-08-02</t>
        </is>
      </c>
    </row>
    <row r="603" ht="42" customHeight="1">
      <c r="A603" s="29" t="inlineStr">
        <is>
          <t>BLYP-30-010</t>
        </is>
      </c>
      <c r="B603" s="29" t="inlineStr"/>
      <c r="C603" s="29" t="inlineStr">
        <is>
          <t>Quality assurance and release readiness</t>
        </is>
      </c>
      <c r="D603" s="29" t="n">
        <v>30</v>
      </c>
      <c r="E603" s="29" t="n">
        <v>10</v>
      </c>
      <c r="F603" s="29" t="inlineStr">
        <is>
          <t>Acceptance criterion</t>
        </is>
      </c>
      <c r="G603" s="29" t="inlineStr">
        <is>
          <t>Normal-member role tests</t>
        </is>
      </c>
      <c r="H603" s="29" t="inlineStr">
        <is>
          <t>Normal-member role tests</t>
        </is>
      </c>
      <c r="I603" s="29" t="inlineStr">
        <is>
          <t>/home/ubuntu/blyp_product_requirements.md :: Section 30 — Quality assurance and release readiness</t>
        </is>
      </c>
      <c r="J603" s="29" t="inlineStr">
        <is>
          <t>/home/ubuntu/BLYP_COMPLETE_FEATURE_LIST.md:762</t>
        </is>
      </c>
      <c r="K603" s="29" t="inlineStr">
        <is>
          <t>Required</t>
        </is>
      </c>
      <c r="L603" s="29" t="inlineStr">
        <is>
          <t>Applicable BLYP member</t>
        </is>
      </c>
      <c r="M603" s="29" t="inlineStr">
        <is>
          <t>Production platform, service and operator controls</t>
        </is>
      </c>
      <c r="N603" s="29" t="inlineStr">
        <is>
          <t>Normal-member role tests</t>
        </is>
      </c>
      <c r="O603" s="29" t="inlineStr">
        <is>
          <t>Not explicitly defined in the product source; requires accountable product approval before production sign-off.</t>
        </is>
      </c>
      <c r="P603" s="29" t="inlineStr"/>
      <c r="Q603" s="29" t="inlineStr">
        <is>
          <t>Partial</t>
        </is>
      </c>
      <c r="R603" s="29" t="inlineStr"/>
      <c r="S603" s="29" t="inlineStr">
        <is>
          <t>Unknown</t>
        </is>
      </c>
      <c r="T603" s="29" t="inlineStr"/>
      <c r="U603" s="29" t="inlineStr"/>
      <c r="V603" s="29" t="inlineStr"/>
      <c r="W603" s="29" t="inlineStr"/>
      <c r="X603" s="29" t="inlineStr"/>
      <c r="Y603" s="29" t="inlineStr"/>
      <c r="Z603" s="29" t="inlineStr"/>
      <c r="AA603" s="29" t="inlineStr"/>
      <c r="AB603" s="29" t="inlineStr"/>
      <c r="AC603" s="29" t="inlineStr"/>
      <c r="AD603" s="29" t="inlineStr"/>
      <c r="AE603" s="29" t="inlineStr">
        <is>
          <t>Unknown</t>
        </is>
      </c>
      <c r="AF603" s="29" t="inlineStr"/>
      <c r="AG603" s="29" t="inlineStr">
        <is>
          <t>Unknown</t>
        </is>
      </c>
      <c r="AH603" s="29" t="inlineStr">
        <is>
          <t>Unknown</t>
        </is>
      </c>
      <c r="AI603" s="29" t="inlineStr">
        <is>
          <t>No evidence found in source code</t>
        </is>
      </c>
      <c r="AJ603" s="29" t="inlineStr">
        <is>
          <t>Unknown</t>
        </is>
      </c>
      <c r="AK603" s="29" t="inlineStr"/>
      <c r="AL603" s="29" t="inlineStr"/>
      <c r="AM603" s="29" t="inlineStr"/>
      <c r="AN603" s="29" t="inlineStr"/>
      <c r="AO603" s="29" t="inlineStr">
        <is>
          <t>8bc0dcb2a1da1b21368c5536aaeef829d587f316</t>
        </is>
      </c>
      <c r="AP603" s="29" t="inlineStr">
        <is>
          <t>Unrated</t>
        </is>
      </c>
      <c r="AQ603" s="29" t="inlineStr">
        <is>
          <t>Not assessed</t>
        </is>
      </c>
      <c r="AR603" s="29" t="inlineStr">
        <is>
          <t>Not assessed</t>
        </is>
      </c>
      <c r="AS603" s="29" t="inlineStr">
        <is>
          <t>Not assessed</t>
        </is>
      </c>
      <c r="AT603" s="29" t="inlineStr">
        <is>
          <t>Not assessed</t>
        </is>
      </c>
      <c r="AU603" s="29" t="inlineStr">
        <is>
          <t>Not assessed</t>
        </is>
      </c>
      <c r="AV603" s="29" t="inlineStr">
        <is>
          <t>Not assessed</t>
        </is>
      </c>
      <c r="AW603" s="29" t="inlineStr">
        <is>
          <t>Not assessed</t>
        </is>
      </c>
      <c r="AX603" s="29" t="inlineStr">
        <is>
          <t>Not assessed</t>
        </is>
      </c>
      <c r="AY603" s="29" t="inlineStr">
        <is>
          <t>Not assessed</t>
        </is>
      </c>
      <c r="AZ603" s="29" t="inlineStr">
        <is>
          <t>Not assessed</t>
        </is>
      </c>
      <c r="BA603" s="29" t="inlineStr">
        <is>
          <t>Not assessed</t>
        </is>
      </c>
      <c r="BB603" s="29" t="inlineStr">
        <is>
          <t>Not assessed</t>
        </is>
      </c>
      <c r="BC603" s="29" t="inlineStr">
        <is>
          <t>Not assessed</t>
        </is>
      </c>
      <c r="BD603" s="29" t="inlineStr">
        <is>
          <t>Not assessed</t>
        </is>
      </c>
      <c r="BE603" s="29" t="inlineStr">
        <is>
          <t>Not assessed</t>
        </is>
      </c>
      <c r="BF603" s="29" t="inlineStr">
        <is>
          <t>Insufficient evidence to issue a production-readiness conclusion.</t>
        </is>
      </c>
      <c r="BG603" s="29" t="inlineStr"/>
      <c r="BH603" s="29" t="inlineStr"/>
      <c r="BI603" s="29" t="inlineStr"/>
      <c r="BJ603" s="29" t="inlineStr"/>
      <c r="BK603" s="29" t="inlineStr">
        <is>
          <t>Evidence reconciled against the reviewed source revision. No production approval is inferred from implementation or file presence.</t>
        </is>
      </c>
      <c r="BL603" s="29" t="inlineStr">
        <is>
          <t>2026-08-02</t>
        </is>
      </c>
    </row>
    <row r="604" ht="42" customHeight="1">
      <c r="A604" s="29" t="inlineStr">
        <is>
          <t>BLYP-30-011</t>
        </is>
      </c>
      <c r="B604" s="29" t="inlineStr"/>
      <c r="C604" s="29" t="inlineStr">
        <is>
          <t>Quality assurance and release readiness</t>
        </is>
      </c>
      <c r="D604" s="29" t="n">
        <v>30</v>
      </c>
      <c r="E604" s="29" t="n">
        <v>11</v>
      </c>
      <c r="F604" s="29" t="inlineStr">
        <is>
          <t>Acceptance criterion</t>
        </is>
      </c>
      <c r="G604" s="29" t="inlineStr">
        <is>
          <t>Team-leader role tests</t>
        </is>
      </c>
      <c r="H604" s="29" t="inlineStr">
        <is>
          <t>Team-leader role tests</t>
        </is>
      </c>
      <c r="I604" s="29" t="inlineStr">
        <is>
          <t>/home/ubuntu/blyp_product_requirements.md :: Section 30 — Quality assurance and release readiness</t>
        </is>
      </c>
      <c r="J604" s="29" t="inlineStr">
        <is>
          <t>/home/ubuntu/BLYP_COMPLETE_FEATURE_LIST.md:763</t>
        </is>
      </c>
      <c r="K604" s="29" t="inlineStr">
        <is>
          <t>Required</t>
        </is>
      </c>
      <c r="L604" s="29" t="inlineStr">
        <is>
          <t>Applicable BLYP member</t>
        </is>
      </c>
      <c r="M604" s="29" t="inlineStr">
        <is>
          <t>Production platform, service and operator controls</t>
        </is>
      </c>
      <c r="N604" s="29" t="inlineStr">
        <is>
          <t>Team-leader role tests</t>
        </is>
      </c>
      <c r="O604" s="29" t="inlineStr">
        <is>
          <t>Not explicitly defined in the product source; requires accountable product approval before production sign-off.</t>
        </is>
      </c>
      <c r="P604" s="29" t="inlineStr"/>
      <c r="Q604" s="29" t="inlineStr">
        <is>
          <t>No evidence</t>
        </is>
      </c>
      <c r="R604" s="29" t="inlineStr"/>
      <c r="S604" s="29" t="inlineStr">
        <is>
          <t>Unknown</t>
        </is>
      </c>
      <c r="T604" s="29" t="inlineStr"/>
      <c r="U604" s="29" t="inlineStr"/>
      <c r="V604" s="29" t="inlineStr"/>
      <c r="W604" s="29" t="inlineStr"/>
      <c r="X604" s="29" t="inlineStr"/>
      <c r="Y604" s="29" t="inlineStr"/>
      <c r="Z604" s="29" t="inlineStr"/>
      <c r="AA604" s="29" t="inlineStr"/>
      <c r="AB604" s="29" t="inlineStr"/>
      <c r="AC604" s="29" t="inlineStr"/>
      <c r="AD604" s="29" t="inlineStr"/>
      <c r="AE604" s="29" t="inlineStr">
        <is>
          <t>Unknown</t>
        </is>
      </c>
      <c r="AF604" s="29" t="inlineStr"/>
      <c r="AG604" s="29" t="inlineStr">
        <is>
          <t>Unknown</t>
        </is>
      </c>
      <c r="AH604" s="29" t="inlineStr">
        <is>
          <t>Unknown</t>
        </is>
      </c>
      <c r="AI604" s="29" t="inlineStr">
        <is>
          <t>No evidence found in source code</t>
        </is>
      </c>
      <c r="AJ604" s="29" t="inlineStr">
        <is>
          <t>Unknown</t>
        </is>
      </c>
      <c r="AK604" s="29" t="inlineStr"/>
      <c r="AL604" s="29" t="inlineStr"/>
      <c r="AM604" s="29" t="inlineStr"/>
      <c r="AN604" s="29" t="inlineStr"/>
      <c r="AO604" s="29" t="inlineStr">
        <is>
          <t>8bc0dcb2a1da1b21368c5536aaeef829d587f316</t>
        </is>
      </c>
      <c r="AP604" s="29" t="inlineStr">
        <is>
          <t>Unrated</t>
        </is>
      </c>
      <c r="AQ604" s="29" t="inlineStr">
        <is>
          <t>Not assessed</t>
        </is>
      </c>
      <c r="AR604" s="29" t="inlineStr">
        <is>
          <t>Not assessed</t>
        </is>
      </c>
      <c r="AS604" s="29" t="inlineStr">
        <is>
          <t>Not assessed</t>
        </is>
      </c>
      <c r="AT604" s="29" t="inlineStr">
        <is>
          <t>Not assessed</t>
        </is>
      </c>
      <c r="AU604" s="29" t="inlineStr">
        <is>
          <t>Not assessed</t>
        </is>
      </c>
      <c r="AV604" s="29" t="inlineStr">
        <is>
          <t>Not assessed</t>
        </is>
      </c>
      <c r="AW604" s="29" t="inlineStr">
        <is>
          <t>Not assessed</t>
        </is>
      </c>
      <c r="AX604" s="29" t="inlineStr">
        <is>
          <t>Not assessed</t>
        </is>
      </c>
      <c r="AY604" s="29" t="inlineStr">
        <is>
          <t>Not assessed</t>
        </is>
      </c>
      <c r="AZ604" s="29" t="inlineStr">
        <is>
          <t>Not assessed</t>
        </is>
      </c>
      <c r="BA604" s="29" t="inlineStr">
        <is>
          <t>Not assessed</t>
        </is>
      </c>
      <c r="BB604" s="29" t="inlineStr">
        <is>
          <t>Not assessed</t>
        </is>
      </c>
      <c r="BC604" s="29" t="inlineStr">
        <is>
          <t>Not assessed</t>
        </is>
      </c>
      <c r="BD604" s="29" t="inlineStr">
        <is>
          <t>Not assessed</t>
        </is>
      </c>
      <c r="BE604" s="29" t="inlineStr">
        <is>
          <t>Not assessed</t>
        </is>
      </c>
      <c r="BF604" s="29" t="inlineStr">
        <is>
          <t>Insufficient evidence to issue a production-readiness conclusion.</t>
        </is>
      </c>
      <c r="BG604" s="29" t="inlineStr"/>
      <c r="BH604" s="29" t="inlineStr"/>
      <c r="BI604" s="29" t="inlineStr"/>
      <c r="BJ604" s="29" t="inlineStr"/>
      <c r="BK604" s="29" t="inlineStr">
        <is>
          <t>Evidence reconciled against the reviewed source revision. No production approval is inferred from implementation or file presence.</t>
        </is>
      </c>
      <c r="BL604" s="29" t="inlineStr">
        <is>
          <t>2026-08-02</t>
        </is>
      </c>
    </row>
    <row r="605" ht="42" customHeight="1">
      <c r="A605" s="29" t="inlineStr">
        <is>
          <t>BLYP-30-012</t>
        </is>
      </c>
      <c r="B605" s="29" t="inlineStr"/>
      <c r="C605" s="29" t="inlineStr">
        <is>
          <t>Quality assurance and release readiness</t>
        </is>
      </c>
      <c r="D605" s="29" t="n">
        <v>30</v>
      </c>
      <c r="E605" s="29" t="n">
        <v>12</v>
      </c>
      <c r="F605" s="29" t="inlineStr">
        <is>
          <t>Acceptance criterion</t>
        </is>
      </c>
      <c r="G605" s="29" t="inlineStr">
        <is>
          <t>Privacy-setting tests</t>
        </is>
      </c>
      <c r="H605" s="29" t="inlineStr">
        <is>
          <t>Privacy-setting tests</t>
        </is>
      </c>
      <c r="I605" s="29" t="inlineStr">
        <is>
          <t>/home/ubuntu/blyp_product_requirements.md :: Section 30 — Quality assurance and release readiness</t>
        </is>
      </c>
      <c r="J605" s="29" t="inlineStr">
        <is>
          <t>/home/ubuntu/BLYP_COMPLETE_FEATURE_LIST.md:764</t>
        </is>
      </c>
      <c r="K605" s="29" t="inlineStr">
        <is>
          <t>Required</t>
        </is>
      </c>
      <c r="L605" s="29" t="inlineStr">
        <is>
          <t>Applicable BLYP member</t>
        </is>
      </c>
      <c r="M605" s="29" t="inlineStr">
        <is>
          <t>Production platform, service and operator controls</t>
        </is>
      </c>
      <c r="N605" s="29" t="inlineStr">
        <is>
          <t>Privacy-setting tests</t>
        </is>
      </c>
      <c r="O605" s="29" t="inlineStr">
        <is>
          <t>Not explicitly defined in the product source; requires accountable product approval before production sign-off.</t>
        </is>
      </c>
      <c r="P605" s="29" t="inlineStr"/>
      <c r="Q605" s="29" t="inlineStr">
        <is>
          <t>Partial</t>
        </is>
      </c>
      <c r="R605" s="29" t="inlineStr"/>
      <c r="S605" s="29" t="inlineStr">
        <is>
          <t>Unknown</t>
        </is>
      </c>
      <c r="T605" s="29" t="inlineStr"/>
      <c r="U605" s="29" t="inlineStr"/>
      <c r="V605" s="29" t="inlineStr"/>
      <c r="W605" s="29" t="inlineStr"/>
      <c r="X605" s="29" t="inlineStr"/>
      <c r="Y605" s="29" t="inlineStr"/>
      <c r="Z605" s="29" t="inlineStr"/>
      <c r="AA605" s="29" t="inlineStr"/>
      <c r="AB605" s="29" t="inlineStr"/>
      <c r="AC605" s="29" t="inlineStr"/>
      <c r="AD605" s="29" t="inlineStr"/>
      <c r="AE605" s="29" t="inlineStr">
        <is>
          <t>Unknown</t>
        </is>
      </c>
      <c r="AF605" s="29" t="inlineStr"/>
      <c r="AG605" s="29" t="inlineStr">
        <is>
          <t>Unknown</t>
        </is>
      </c>
      <c r="AH605" s="29" t="inlineStr">
        <is>
          <t>Unknown</t>
        </is>
      </c>
      <c r="AI605" s="29" t="inlineStr">
        <is>
          <t>No evidence found in source code</t>
        </is>
      </c>
      <c r="AJ605" s="29" t="inlineStr">
        <is>
          <t>Unknown</t>
        </is>
      </c>
      <c r="AK605" s="29" t="inlineStr"/>
      <c r="AL605" s="29" t="inlineStr"/>
      <c r="AM605" s="29" t="inlineStr"/>
      <c r="AN605" s="29" t="inlineStr"/>
      <c r="AO605" s="29" t="inlineStr">
        <is>
          <t>8bc0dcb2a1da1b21368c5536aaeef829d587f316</t>
        </is>
      </c>
      <c r="AP605" s="29" t="inlineStr">
        <is>
          <t>Unrated</t>
        </is>
      </c>
      <c r="AQ605" s="29" t="inlineStr">
        <is>
          <t>Not assessed</t>
        </is>
      </c>
      <c r="AR605" s="29" t="inlineStr">
        <is>
          <t>Not assessed</t>
        </is>
      </c>
      <c r="AS605" s="29" t="inlineStr">
        <is>
          <t>Not assessed</t>
        </is>
      </c>
      <c r="AT605" s="29" t="inlineStr">
        <is>
          <t>Not assessed</t>
        </is>
      </c>
      <c r="AU605" s="29" t="inlineStr">
        <is>
          <t>Not assessed</t>
        </is>
      </c>
      <c r="AV605" s="29" t="inlineStr">
        <is>
          <t>Not assessed</t>
        </is>
      </c>
      <c r="AW605" s="29" t="inlineStr">
        <is>
          <t>Not assessed</t>
        </is>
      </c>
      <c r="AX605" s="29" t="inlineStr">
        <is>
          <t>Not assessed</t>
        </is>
      </c>
      <c r="AY605" s="29" t="inlineStr">
        <is>
          <t>Not assessed</t>
        </is>
      </c>
      <c r="AZ605" s="29" t="inlineStr">
        <is>
          <t>Not assessed</t>
        </is>
      </c>
      <c r="BA605" s="29" t="inlineStr">
        <is>
          <t>Not assessed</t>
        </is>
      </c>
      <c r="BB605" s="29" t="inlineStr">
        <is>
          <t>Not assessed</t>
        </is>
      </c>
      <c r="BC605" s="29" t="inlineStr">
        <is>
          <t>Not assessed</t>
        </is>
      </c>
      <c r="BD605" s="29" t="inlineStr">
        <is>
          <t>Not assessed</t>
        </is>
      </c>
      <c r="BE605" s="29" t="inlineStr">
        <is>
          <t>Not assessed</t>
        </is>
      </c>
      <c r="BF605" s="29" t="inlineStr">
        <is>
          <t>Insufficient evidence to issue a production-readiness conclusion.</t>
        </is>
      </c>
      <c r="BG605" s="29" t="inlineStr"/>
      <c r="BH605" s="29" t="inlineStr"/>
      <c r="BI605" s="29" t="inlineStr"/>
      <c r="BJ605" s="29" t="inlineStr"/>
      <c r="BK605" s="29" t="inlineStr">
        <is>
          <t>Evidence reconciled against the reviewed source revision. No production approval is inferred from implementation or file presence.</t>
        </is>
      </c>
      <c r="BL605" s="29" t="inlineStr">
        <is>
          <t>2026-08-02</t>
        </is>
      </c>
    </row>
    <row r="606" ht="42" customHeight="1">
      <c r="A606" s="29" t="inlineStr">
        <is>
          <t>BLYP-30-013</t>
        </is>
      </c>
      <c r="B606" s="29" t="inlineStr"/>
      <c r="C606" s="29" t="inlineStr">
        <is>
          <t>Quality assurance and release readiness</t>
        </is>
      </c>
      <c r="D606" s="29" t="n">
        <v>30</v>
      </c>
      <c r="E606" s="29" t="n">
        <v>13</v>
      </c>
      <c r="F606" s="29" t="inlineStr">
        <is>
          <t>Acceptance criterion</t>
        </is>
      </c>
      <c r="G606" s="29" t="inlineStr">
        <is>
          <t>Poor-connection tests</t>
        </is>
      </c>
      <c r="H606" s="29" t="inlineStr">
        <is>
          <t>Poor-connection tests</t>
        </is>
      </c>
      <c r="I606" s="29" t="inlineStr">
        <is>
          <t>/home/ubuntu/blyp_product_requirements.md :: Section 30 — Quality assurance and release readiness</t>
        </is>
      </c>
      <c r="J606" s="29" t="inlineStr">
        <is>
          <t>/home/ubuntu/BLYP_COMPLETE_FEATURE_LIST.md:765</t>
        </is>
      </c>
      <c r="K606" s="29" t="inlineStr">
        <is>
          <t>Required</t>
        </is>
      </c>
      <c r="L606" s="29" t="inlineStr">
        <is>
          <t>Applicable BLYP member</t>
        </is>
      </c>
      <c r="M606" s="29" t="inlineStr">
        <is>
          <t>Production platform, service and operator controls</t>
        </is>
      </c>
      <c r="N606" s="29" t="inlineStr">
        <is>
          <t>Poor-connection tests</t>
        </is>
      </c>
      <c r="O606" s="29" t="inlineStr">
        <is>
          <t>Not explicitly defined in the product source; requires accountable product approval before production sign-off.</t>
        </is>
      </c>
      <c r="P606" s="29" t="inlineStr"/>
      <c r="Q606" s="29" t="inlineStr">
        <is>
          <t>Partial</t>
        </is>
      </c>
      <c r="R606" s="29" t="inlineStr"/>
      <c r="S606" s="29" t="inlineStr">
        <is>
          <t>Unknown</t>
        </is>
      </c>
      <c r="T606" s="29" t="inlineStr"/>
      <c r="U606" s="29" t="inlineStr"/>
      <c r="V606" s="29" t="inlineStr"/>
      <c r="W606" s="29" t="inlineStr"/>
      <c r="X606" s="29" t="inlineStr"/>
      <c r="Y606" s="29" t="inlineStr"/>
      <c r="Z606" s="29" t="inlineStr"/>
      <c r="AA606" s="29" t="inlineStr"/>
      <c r="AB606" s="29" t="inlineStr"/>
      <c r="AC606" s="29" t="inlineStr"/>
      <c r="AD606" s="29" t="inlineStr"/>
      <c r="AE606" s="29" t="inlineStr">
        <is>
          <t>Unknown</t>
        </is>
      </c>
      <c r="AF606" s="29" t="inlineStr"/>
      <c r="AG606" s="29" t="inlineStr">
        <is>
          <t>Unknown</t>
        </is>
      </c>
      <c r="AH606" s="29" t="inlineStr">
        <is>
          <t>Unknown</t>
        </is>
      </c>
      <c r="AI606" s="29" t="inlineStr">
        <is>
          <t>No evidence found in source code</t>
        </is>
      </c>
      <c r="AJ606" s="29" t="inlineStr">
        <is>
          <t>Unknown</t>
        </is>
      </c>
      <c r="AK606" s="29" t="inlineStr"/>
      <c r="AL606" s="29" t="inlineStr"/>
      <c r="AM606" s="29" t="inlineStr"/>
      <c r="AN606" s="29" t="inlineStr"/>
      <c r="AO606" s="29" t="inlineStr">
        <is>
          <t>8bc0dcb2a1da1b21368c5536aaeef829d587f316</t>
        </is>
      </c>
      <c r="AP606" s="29" t="inlineStr">
        <is>
          <t>Unrated</t>
        </is>
      </c>
      <c r="AQ606" s="29" t="inlineStr">
        <is>
          <t>Not assessed</t>
        </is>
      </c>
      <c r="AR606" s="29" t="inlineStr">
        <is>
          <t>Not assessed</t>
        </is>
      </c>
      <c r="AS606" s="29" t="inlineStr">
        <is>
          <t>Not assessed</t>
        </is>
      </c>
      <c r="AT606" s="29" t="inlineStr">
        <is>
          <t>Not assessed</t>
        </is>
      </c>
      <c r="AU606" s="29" t="inlineStr">
        <is>
          <t>Not assessed</t>
        </is>
      </c>
      <c r="AV606" s="29" t="inlineStr">
        <is>
          <t>Not assessed</t>
        </is>
      </c>
      <c r="AW606" s="29" t="inlineStr">
        <is>
          <t>Not assessed</t>
        </is>
      </c>
      <c r="AX606" s="29" t="inlineStr">
        <is>
          <t>Not assessed</t>
        </is>
      </c>
      <c r="AY606" s="29" t="inlineStr">
        <is>
          <t>Not assessed</t>
        </is>
      </c>
      <c r="AZ606" s="29" t="inlineStr">
        <is>
          <t>Not assessed</t>
        </is>
      </c>
      <c r="BA606" s="29" t="inlineStr">
        <is>
          <t>Not assessed</t>
        </is>
      </c>
      <c r="BB606" s="29" t="inlineStr">
        <is>
          <t>Not assessed</t>
        </is>
      </c>
      <c r="BC606" s="29" t="inlineStr">
        <is>
          <t>Not assessed</t>
        </is>
      </c>
      <c r="BD606" s="29" t="inlineStr">
        <is>
          <t>Not assessed</t>
        </is>
      </c>
      <c r="BE606" s="29" t="inlineStr">
        <is>
          <t>Not assessed</t>
        </is>
      </c>
      <c r="BF606" s="29" t="inlineStr">
        <is>
          <t>Insufficient evidence to issue a production-readiness conclusion.</t>
        </is>
      </c>
      <c r="BG606" s="29" t="inlineStr"/>
      <c r="BH606" s="29" t="inlineStr"/>
      <c r="BI606" s="29" t="inlineStr"/>
      <c r="BJ606" s="29" t="inlineStr"/>
      <c r="BK606" s="29" t="inlineStr">
        <is>
          <t>Evidence reconciled against the reviewed source revision. No production approval is inferred from implementation or file presence.</t>
        </is>
      </c>
      <c r="BL606" s="29" t="inlineStr">
        <is>
          <t>2026-08-02</t>
        </is>
      </c>
    </row>
    <row r="607" ht="42" customHeight="1">
      <c r="A607" s="29" t="inlineStr">
        <is>
          <t>BLYP-30-014</t>
        </is>
      </c>
      <c r="B607" s="29" t="inlineStr"/>
      <c r="C607" s="29" t="inlineStr">
        <is>
          <t>Quality assurance and release readiness</t>
        </is>
      </c>
      <c r="D607" s="29" t="n">
        <v>30</v>
      </c>
      <c r="E607" s="29" t="n">
        <v>14</v>
      </c>
      <c r="F607" s="29" t="inlineStr">
        <is>
          <t>Acceptance criterion</t>
        </is>
      </c>
      <c r="G607" s="29" t="inlineStr">
        <is>
          <t>Interrupted-upload tests</t>
        </is>
      </c>
      <c r="H607" s="29" t="inlineStr">
        <is>
          <t>Interrupted-upload tests</t>
        </is>
      </c>
      <c r="I607" s="29" t="inlineStr">
        <is>
          <t>/home/ubuntu/blyp_product_requirements.md :: Section 30 — Quality assurance and release readiness</t>
        </is>
      </c>
      <c r="J607" s="29" t="inlineStr">
        <is>
          <t>/home/ubuntu/BLYP_COMPLETE_FEATURE_LIST.md:766</t>
        </is>
      </c>
      <c r="K607" s="29" t="inlineStr">
        <is>
          <t>Required</t>
        </is>
      </c>
      <c r="L607" s="29" t="inlineStr">
        <is>
          <t>Applicable BLYP member</t>
        </is>
      </c>
      <c r="M607" s="29" t="inlineStr">
        <is>
          <t>Production platform, service and operator controls</t>
        </is>
      </c>
      <c r="N607" s="29" t="inlineStr">
        <is>
          <t>Interrupted-upload tests</t>
        </is>
      </c>
      <c r="O607" s="29" t="inlineStr">
        <is>
          <t>Not explicitly defined in the product source; requires accountable product approval before production sign-off.</t>
        </is>
      </c>
      <c r="P607" s="29" t="inlineStr"/>
      <c r="Q607" s="29" t="inlineStr">
        <is>
          <t>Partial</t>
        </is>
      </c>
      <c r="R607" s="29" t="inlineStr"/>
      <c r="S607" s="29" t="inlineStr">
        <is>
          <t>Unknown</t>
        </is>
      </c>
      <c r="T607" s="29" t="inlineStr"/>
      <c r="U607" s="29" t="inlineStr"/>
      <c r="V607" s="29" t="inlineStr"/>
      <c r="W607" s="29" t="inlineStr"/>
      <c r="X607" s="29" t="inlineStr"/>
      <c r="Y607" s="29" t="inlineStr"/>
      <c r="Z607" s="29" t="inlineStr"/>
      <c r="AA607" s="29" t="inlineStr"/>
      <c r="AB607" s="29" t="inlineStr"/>
      <c r="AC607" s="29" t="inlineStr"/>
      <c r="AD607" s="29" t="inlineStr"/>
      <c r="AE607" s="29" t="inlineStr">
        <is>
          <t>Unknown</t>
        </is>
      </c>
      <c r="AF607" s="29" t="inlineStr"/>
      <c r="AG607" s="29" t="inlineStr">
        <is>
          <t>Unknown</t>
        </is>
      </c>
      <c r="AH607" s="29" t="inlineStr">
        <is>
          <t>Unknown</t>
        </is>
      </c>
      <c r="AI607" s="29" t="inlineStr">
        <is>
          <t>No evidence found in source code</t>
        </is>
      </c>
      <c r="AJ607" s="29" t="inlineStr">
        <is>
          <t>Unknown</t>
        </is>
      </c>
      <c r="AK607" s="29" t="inlineStr"/>
      <c r="AL607" s="29" t="inlineStr"/>
      <c r="AM607" s="29" t="inlineStr"/>
      <c r="AN607" s="29" t="inlineStr"/>
      <c r="AO607" s="29" t="inlineStr">
        <is>
          <t>8bc0dcb2a1da1b21368c5536aaeef829d587f316</t>
        </is>
      </c>
      <c r="AP607" s="29" t="inlineStr">
        <is>
          <t>Unrated</t>
        </is>
      </c>
      <c r="AQ607" s="29" t="inlineStr">
        <is>
          <t>Not assessed</t>
        </is>
      </c>
      <c r="AR607" s="29" t="inlineStr">
        <is>
          <t>Not assessed</t>
        </is>
      </c>
      <c r="AS607" s="29" t="inlineStr">
        <is>
          <t>Not assessed</t>
        </is>
      </c>
      <c r="AT607" s="29" t="inlineStr">
        <is>
          <t>Not assessed</t>
        </is>
      </c>
      <c r="AU607" s="29" t="inlineStr">
        <is>
          <t>Not assessed</t>
        </is>
      </c>
      <c r="AV607" s="29" t="inlineStr">
        <is>
          <t>Not assessed</t>
        </is>
      </c>
      <c r="AW607" s="29" t="inlineStr">
        <is>
          <t>Not assessed</t>
        </is>
      </c>
      <c r="AX607" s="29" t="inlineStr">
        <is>
          <t>Not assessed</t>
        </is>
      </c>
      <c r="AY607" s="29" t="inlineStr">
        <is>
          <t>Not assessed</t>
        </is>
      </c>
      <c r="AZ607" s="29" t="inlineStr">
        <is>
          <t>Not assessed</t>
        </is>
      </c>
      <c r="BA607" s="29" t="inlineStr">
        <is>
          <t>Not assessed</t>
        </is>
      </c>
      <c r="BB607" s="29" t="inlineStr">
        <is>
          <t>Not assessed</t>
        </is>
      </c>
      <c r="BC607" s="29" t="inlineStr">
        <is>
          <t>Not assessed</t>
        </is>
      </c>
      <c r="BD607" s="29" t="inlineStr">
        <is>
          <t>Not assessed</t>
        </is>
      </c>
      <c r="BE607" s="29" t="inlineStr">
        <is>
          <t>Not assessed</t>
        </is>
      </c>
      <c r="BF607" s="29" t="inlineStr">
        <is>
          <t>Insufficient evidence to issue a production-readiness conclusion.</t>
        </is>
      </c>
      <c r="BG607" s="29" t="inlineStr"/>
      <c r="BH607" s="29" t="inlineStr"/>
      <c r="BI607" s="29" t="inlineStr"/>
      <c r="BJ607" s="29" t="inlineStr"/>
      <c r="BK607" s="29" t="inlineStr">
        <is>
          <t>Evidence reconciled against the reviewed source revision. No production approval is inferred from implementation or file presence.</t>
        </is>
      </c>
      <c r="BL607" s="29" t="inlineStr">
        <is>
          <t>2026-08-02</t>
        </is>
      </c>
    </row>
    <row r="608" ht="42" customHeight="1">
      <c r="A608" s="29" t="inlineStr">
        <is>
          <t>BLYP-30-015</t>
        </is>
      </c>
      <c r="B608" s="29" t="inlineStr"/>
      <c r="C608" s="29" t="inlineStr">
        <is>
          <t>Quality assurance and release readiness</t>
        </is>
      </c>
      <c r="D608" s="29" t="n">
        <v>30</v>
      </c>
      <c r="E608" s="29" t="n">
        <v>15</v>
      </c>
      <c r="F608" s="29" t="inlineStr">
        <is>
          <t>Acceptance criterion</t>
        </is>
      </c>
      <c r="G608" s="29" t="inlineStr">
        <is>
          <t>Live-room-capacity tests</t>
        </is>
      </c>
      <c r="H608" s="29" t="inlineStr">
        <is>
          <t>Live-room-capacity tests</t>
        </is>
      </c>
      <c r="I608" s="29" t="inlineStr">
        <is>
          <t>/home/ubuntu/blyp_product_requirements.md :: Section 30 — Quality assurance and release readiness</t>
        </is>
      </c>
      <c r="J608" s="29" t="inlineStr">
        <is>
          <t>/home/ubuntu/BLYP_COMPLETE_FEATURE_LIST.md:767</t>
        </is>
      </c>
      <c r="K608" s="29" t="inlineStr">
        <is>
          <t>Required</t>
        </is>
      </c>
      <c r="L608" s="29" t="inlineStr">
        <is>
          <t>Applicable BLYP member</t>
        </is>
      </c>
      <c r="M608" s="29" t="inlineStr">
        <is>
          <t>Production platform, service and operator controls</t>
        </is>
      </c>
      <c r="N608" s="29" t="inlineStr">
        <is>
          <t>Live-room-capacity tests</t>
        </is>
      </c>
      <c r="O608" s="29" t="inlineStr">
        <is>
          <t>Not explicitly defined in the product source; requires accountable product approval before production sign-off.</t>
        </is>
      </c>
      <c r="P608" s="29" t="inlineStr"/>
      <c r="Q608" s="29" t="inlineStr">
        <is>
          <t>Partial</t>
        </is>
      </c>
      <c r="R608" s="29" t="inlineStr"/>
      <c r="S608" s="29" t="inlineStr">
        <is>
          <t>Unknown</t>
        </is>
      </c>
      <c r="T608" s="29" t="inlineStr"/>
      <c r="U608" s="29" t="inlineStr"/>
      <c r="V608" s="29" t="inlineStr"/>
      <c r="W608" s="29" t="inlineStr"/>
      <c r="X608" s="29" t="inlineStr"/>
      <c r="Y608" s="29" t="inlineStr"/>
      <c r="Z608" s="29" t="inlineStr"/>
      <c r="AA608" s="29" t="inlineStr"/>
      <c r="AB608" s="29" t="inlineStr"/>
      <c r="AC608" s="29" t="inlineStr"/>
      <c r="AD608" s="29" t="inlineStr"/>
      <c r="AE608" s="29" t="inlineStr">
        <is>
          <t>Unknown</t>
        </is>
      </c>
      <c r="AF608" s="29" t="inlineStr"/>
      <c r="AG608" s="29" t="inlineStr">
        <is>
          <t>Unknown</t>
        </is>
      </c>
      <c r="AH608" s="29" t="inlineStr">
        <is>
          <t>Unknown</t>
        </is>
      </c>
      <c r="AI608" s="29" t="inlineStr">
        <is>
          <t>No evidence found in source code</t>
        </is>
      </c>
      <c r="AJ608" s="29" t="inlineStr">
        <is>
          <t>Unknown</t>
        </is>
      </c>
      <c r="AK608" s="29" t="inlineStr"/>
      <c r="AL608" s="29" t="inlineStr"/>
      <c r="AM608" s="29" t="inlineStr"/>
      <c r="AN608" s="29" t="inlineStr"/>
      <c r="AO608" s="29" t="inlineStr">
        <is>
          <t>8bc0dcb2a1da1b21368c5536aaeef829d587f316</t>
        </is>
      </c>
      <c r="AP608" s="29" t="inlineStr">
        <is>
          <t>Unrated</t>
        </is>
      </c>
      <c r="AQ608" s="29" t="inlineStr">
        <is>
          <t>Not assessed</t>
        </is>
      </c>
      <c r="AR608" s="29" t="inlineStr">
        <is>
          <t>Not assessed</t>
        </is>
      </c>
      <c r="AS608" s="29" t="inlineStr">
        <is>
          <t>Not assessed</t>
        </is>
      </c>
      <c r="AT608" s="29" t="inlineStr">
        <is>
          <t>Not assessed</t>
        </is>
      </c>
      <c r="AU608" s="29" t="inlineStr">
        <is>
          <t>Not assessed</t>
        </is>
      </c>
      <c r="AV608" s="29" t="inlineStr">
        <is>
          <t>Not assessed</t>
        </is>
      </c>
      <c r="AW608" s="29" t="inlineStr">
        <is>
          <t>Not assessed</t>
        </is>
      </c>
      <c r="AX608" s="29" t="inlineStr">
        <is>
          <t>Not assessed</t>
        </is>
      </c>
      <c r="AY608" s="29" t="inlineStr">
        <is>
          <t>Not assessed</t>
        </is>
      </c>
      <c r="AZ608" s="29" t="inlineStr">
        <is>
          <t>Not assessed</t>
        </is>
      </c>
      <c r="BA608" s="29" t="inlineStr">
        <is>
          <t>Not assessed</t>
        </is>
      </c>
      <c r="BB608" s="29" t="inlineStr">
        <is>
          <t>Not assessed</t>
        </is>
      </c>
      <c r="BC608" s="29" t="inlineStr">
        <is>
          <t>Not assessed</t>
        </is>
      </c>
      <c r="BD608" s="29" t="inlineStr">
        <is>
          <t>Not assessed</t>
        </is>
      </c>
      <c r="BE608" s="29" t="inlineStr">
        <is>
          <t>Not assessed</t>
        </is>
      </c>
      <c r="BF608" s="29" t="inlineStr">
        <is>
          <t>Insufficient evidence to issue a production-readiness conclusion.</t>
        </is>
      </c>
      <c r="BG608" s="29" t="inlineStr"/>
      <c r="BH608" s="29" t="inlineStr"/>
      <c r="BI608" s="29" t="inlineStr"/>
      <c r="BJ608" s="29" t="inlineStr"/>
      <c r="BK608" s="29" t="inlineStr">
        <is>
          <t>Evidence reconciled against the reviewed source revision. No production approval is inferred from implementation or file presence.</t>
        </is>
      </c>
      <c r="BL608" s="29" t="inlineStr">
        <is>
          <t>2026-08-02</t>
        </is>
      </c>
    </row>
    <row r="609" ht="42" customHeight="1">
      <c r="A609" s="29" t="inlineStr">
        <is>
          <t>BLYP-30-016</t>
        </is>
      </c>
      <c r="B609" s="29" t="inlineStr"/>
      <c r="C609" s="29" t="inlineStr">
        <is>
          <t>Quality assurance and release readiness</t>
        </is>
      </c>
      <c r="D609" s="29" t="n">
        <v>30</v>
      </c>
      <c r="E609" s="29" t="n">
        <v>16</v>
      </c>
      <c r="F609" s="29" t="inlineStr">
        <is>
          <t>Acceptance criterion</t>
        </is>
      </c>
      <c r="G609" s="29" t="inlineStr">
        <is>
          <t>Gifting-integrity tests</t>
        </is>
      </c>
      <c r="H609" s="29" t="inlineStr">
        <is>
          <t>Gifting-integrity tests</t>
        </is>
      </c>
      <c r="I609" s="29" t="inlineStr">
        <is>
          <t>/home/ubuntu/blyp_product_requirements.md :: Section 30 — Quality assurance and release readiness</t>
        </is>
      </c>
      <c r="J609" s="29" t="inlineStr">
        <is>
          <t>/home/ubuntu/BLYP_COMPLETE_FEATURE_LIST.md:768</t>
        </is>
      </c>
      <c r="K609" s="29" t="inlineStr">
        <is>
          <t>Required</t>
        </is>
      </c>
      <c r="L609" s="29" t="inlineStr">
        <is>
          <t>Applicable BLYP member</t>
        </is>
      </c>
      <c r="M609" s="29" t="inlineStr">
        <is>
          <t>Production platform, service and operator controls</t>
        </is>
      </c>
      <c r="N609" s="29" t="inlineStr">
        <is>
          <t>Gifting-integrity tests</t>
        </is>
      </c>
      <c r="O609" s="29" t="inlineStr">
        <is>
          <t>Not explicitly defined in the product source; requires accountable product approval before production sign-off.</t>
        </is>
      </c>
      <c r="P609" s="29" t="inlineStr"/>
      <c r="Q609" s="29" t="inlineStr">
        <is>
          <t>Yes</t>
        </is>
      </c>
      <c r="R609" s="29" t="inlineStr">
        <is>
          <t>economy invariant tests exist.</t>
        </is>
      </c>
      <c r="S609" s="29" t="inlineStr">
        <is>
          <t>Unknown</t>
        </is>
      </c>
      <c r="T609" s="29" t="inlineStr"/>
      <c r="U609" s="29" t="inlineStr"/>
      <c r="V609" s="29" t="inlineStr"/>
      <c r="W609" s="29" t="inlineStr"/>
      <c r="X609" s="29" t="inlineStr"/>
      <c r="Y609" s="29" t="inlineStr"/>
      <c r="Z609" s="29" t="inlineStr"/>
      <c r="AA609" s="29" t="inlineStr"/>
      <c r="AB609" s="29" t="inlineStr"/>
      <c r="AC609" s="29" t="inlineStr"/>
      <c r="AD609" s="29" t="inlineStr"/>
      <c r="AE609" s="29" t="inlineStr">
        <is>
          <t>Unknown</t>
        </is>
      </c>
      <c r="AF609" s="29" t="inlineStr"/>
      <c r="AG609" s="29" t="inlineStr">
        <is>
          <t>Unknown</t>
        </is>
      </c>
      <c r="AH609" s="29" t="inlineStr">
        <is>
          <t>Unknown</t>
        </is>
      </c>
      <c r="AI609" s="29" t="inlineStr">
        <is>
          <t>No evidence found in source code</t>
        </is>
      </c>
      <c r="AJ609" s="29" t="inlineStr">
        <is>
          <t>Unknown</t>
        </is>
      </c>
      <c r="AK609" s="29" t="inlineStr"/>
      <c r="AL609" s="29" t="inlineStr"/>
      <c r="AM609" s="29" t="inlineStr"/>
      <c r="AN609" s="29" t="inlineStr"/>
      <c r="AO609" s="29" t="inlineStr">
        <is>
          <t>8bc0dcb2a1da1b21368c5536aaeef829d587f316</t>
        </is>
      </c>
      <c r="AP609" s="29" t="inlineStr">
        <is>
          <t>Unrated</t>
        </is>
      </c>
      <c r="AQ609" s="29" t="inlineStr">
        <is>
          <t>Not assessed</t>
        </is>
      </c>
      <c r="AR609" s="29" t="inlineStr">
        <is>
          <t>Not assessed</t>
        </is>
      </c>
      <c r="AS609" s="29" t="inlineStr">
        <is>
          <t>Not assessed</t>
        </is>
      </c>
      <c r="AT609" s="29" t="inlineStr">
        <is>
          <t>Not assessed</t>
        </is>
      </c>
      <c r="AU609" s="29" t="inlineStr">
        <is>
          <t>Not assessed</t>
        </is>
      </c>
      <c r="AV609" s="29" t="inlineStr">
        <is>
          <t>Not assessed</t>
        </is>
      </c>
      <c r="AW609" s="29" t="inlineStr">
        <is>
          <t>Not assessed</t>
        </is>
      </c>
      <c r="AX609" s="29" t="inlineStr">
        <is>
          <t>Not assessed</t>
        </is>
      </c>
      <c r="AY609" s="29" t="inlineStr">
        <is>
          <t>Not assessed</t>
        </is>
      </c>
      <c r="AZ609" s="29" t="inlineStr">
        <is>
          <t>Not assessed</t>
        </is>
      </c>
      <c r="BA609" s="29" t="inlineStr">
        <is>
          <t>Not assessed</t>
        </is>
      </c>
      <c r="BB609" s="29" t="inlineStr">
        <is>
          <t>Not assessed</t>
        </is>
      </c>
      <c r="BC609" s="29" t="inlineStr">
        <is>
          <t>Not assessed</t>
        </is>
      </c>
      <c r="BD609" s="29" t="inlineStr">
        <is>
          <t>Not assessed</t>
        </is>
      </c>
      <c r="BE609" s="29" t="inlineStr">
        <is>
          <t>Not assessed</t>
        </is>
      </c>
      <c r="BF609" s="29" t="inlineStr">
        <is>
          <t>Insufficient evidence to issue a production-readiness conclusion.</t>
        </is>
      </c>
      <c r="BG609" s="29" t="inlineStr"/>
      <c r="BH609" s="29" t="inlineStr"/>
      <c r="BI609" s="29" t="inlineStr"/>
      <c r="BJ609" s="29" t="inlineStr"/>
      <c r="BK609" s="29" t="inlineStr">
        <is>
          <t>Evidence reconciled against the reviewed source revision. No production approval is inferred from implementation or file presence.</t>
        </is>
      </c>
      <c r="BL609" s="29" t="inlineStr">
        <is>
          <t>2026-08-02</t>
        </is>
      </c>
    </row>
    <row r="610" ht="42" customHeight="1">
      <c r="A610" s="29" t="inlineStr">
        <is>
          <t>BLYP-30-017</t>
        </is>
      </c>
      <c r="B610" s="29" t="inlineStr"/>
      <c r="C610" s="29" t="inlineStr">
        <is>
          <t>Quality assurance and release readiness</t>
        </is>
      </c>
      <c r="D610" s="29" t="n">
        <v>30</v>
      </c>
      <c r="E610" s="29" t="n">
        <v>17</v>
      </c>
      <c r="F610" s="29" t="inlineStr">
        <is>
          <t>Acceptance criterion</t>
        </is>
      </c>
      <c r="G610" s="29" t="inlineStr">
        <is>
          <t>Coin-integrity tests</t>
        </is>
      </c>
      <c r="H610" s="29" t="inlineStr">
        <is>
          <t>Coin-integrity tests</t>
        </is>
      </c>
      <c r="I610" s="29" t="inlineStr">
        <is>
          <t>/home/ubuntu/blyp_product_requirements.md :: Section 30 — Quality assurance and release readiness</t>
        </is>
      </c>
      <c r="J610" s="29" t="inlineStr">
        <is>
          <t>/home/ubuntu/BLYP_COMPLETE_FEATURE_LIST.md:769</t>
        </is>
      </c>
      <c r="K610" s="29" t="inlineStr">
        <is>
          <t>Required</t>
        </is>
      </c>
      <c r="L610" s="29" t="inlineStr">
        <is>
          <t>Applicable BLYP member</t>
        </is>
      </c>
      <c r="M610" s="29" t="inlineStr">
        <is>
          <t>Production platform, service and operator controls</t>
        </is>
      </c>
      <c r="N610" s="29" t="inlineStr">
        <is>
          <t>Coin-integrity tests</t>
        </is>
      </c>
      <c r="O610" s="29" t="inlineStr">
        <is>
          <t>Not explicitly defined in the product source; requires accountable product approval before production sign-off.</t>
        </is>
      </c>
      <c r="P610" s="29" t="inlineStr"/>
      <c r="Q610" s="29" t="inlineStr">
        <is>
          <t>Yes</t>
        </is>
      </c>
      <c r="R610" s="29" t="inlineStr">
        <is>
          <t>economy invariant tests exist.</t>
        </is>
      </c>
      <c r="S610" s="29" t="inlineStr">
        <is>
          <t>Unknown</t>
        </is>
      </c>
      <c r="T610" s="29" t="inlineStr"/>
      <c r="U610" s="29" t="inlineStr"/>
      <c r="V610" s="29" t="inlineStr"/>
      <c r="W610" s="29" t="inlineStr"/>
      <c r="X610" s="29" t="inlineStr"/>
      <c r="Y610" s="29" t="inlineStr"/>
      <c r="Z610" s="29" t="inlineStr"/>
      <c r="AA610" s="29" t="inlineStr"/>
      <c r="AB610" s="29" t="inlineStr"/>
      <c r="AC610" s="29" t="inlineStr"/>
      <c r="AD610" s="29" t="inlineStr"/>
      <c r="AE610" s="29" t="inlineStr">
        <is>
          <t>Unknown</t>
        </is>
      </c>
      <c r="AF610" s="29" t="inlineStr"/>
      <c r="AG610" s="29" t="inlineStr">
        <is>
          <t>Unknown</t>
        </is>
      </c>
      <c r="AH610" s="29" t="inlineStr">
        <is>
          <t>Unknown</t>
        </is>
      </c>
      <c r="AI610" s="29" t="inlineStr">
        <is>
          <t>No evidence found in source code</t>
        </is>
      </c>
      <c r="AJ610" s="29" t="inlineStr">
        <is>
          <t>Unknown</t>
        </is>
      </c>
      <c r="AK610" s="29" t="inlineStr"/>
      <c r="AL610" s="29" t="inlineStr"/>
      <c r="AM610" s="29" t="inlineStr"/>
      <c r="AN610" s="29" t="inlineStr"/>
      <c r="AO610" s="29" t="inlineStr">
        <is>
          <t>8bc0dcb2a1da1b21368c5536aaeef829d587f316</t>
        </is>
      </c>
      <c r="AP610" s="29" t="inlineStr">
        <is>
          <t>Unrated</t>
        </is>
      </c>
      <c r="AQ610" s="29" t="inlineStr">
        <is>
          <t>Not assessed</t>
        </is>
      </c>
      <c r="AR610" s="29" t="inlineStr">
        <is>
          <t>Not assessed</t>
        </is>
      </c>
      <c r="AS610" s="29" t="inlineStr">
        <is>
          <t>Not assessed</t>
        </is>
      </c>
      <c r="AT610" s="29" t="inlineStr">
        <is>
          <t>Not assessed</t>
        </is>
      </c>
      <c r="AU610" s="29" t="inlineStr">
        <is>
          <t>Not assessed</t>
        </is>
      </c>
      <c r="AV610" s="29" t="inlineStr">
        <is>
          <t>Not assessed</t>
        </is>
      </c>
      <c r="AW610" s="29" t="inlineStr">
        <is>
          <t>Not assessed</t>
        </is>
      </c>
      <c r="AX610" s="29" t="inlineStr">
        <is>
          <t>Not assessed</t>
        </is>
      </c>
      <c r="AY610" s="29" t="inlineStr">
        <is>
          <t>Not assessed</t>
        </is>
      </c>
      <c r="AZ610" s="29" t="inlineStr">
        <is>
          <t>Not assessed</t>
        </is>
      </c>
      <c r="BA610" s="29" t="inlineStr">
        <is>
          <t>Not assessed</t>
        </is>
      </c>
      <c r="BB610" s="29" t="inlineStr">
        <is>
          <t>Not assessed</t>
        </is>
      </c>
      <c r="BC610" s="29" t="inlineStr">
        <is>
          <t>Not assessed</t>
        </is>
      </c>
      <c r="BD610" s="29" t="inlineStr">
        <is>
          <t>Not assessed</t>
        </is>
      </c>
      <c r="BE610" s="29" t="inlineStr">
        <is>
          <t>Not assessed</t>
        </is>
      </c>
      <c r="BF610" s="29" t="inlineStr">
        <is>
          <t>Insufficient evidence to issue a production-readiness conclusion.</t>
        </is>
      </c>
      <c r="BG610" s="29" t="inlineStr"/>
      <c r="BH610" s="29" t="inlineStr"/>
      <c r="BI610" s="29" t="inlineStr"/>
      <c r="BJ610" s="29" t="inlineStr"/>
      <c r="BK610" s="29" t="inlineStr">
        <is>
          <t>Evidence reconciled against the reviewed source revision. No production approval is inferred from implementation or file presence.</t>
        </is>
      </c>
      <c r="BL610" s="29" t="inlineStr">
        <is>
          <t>2026-08-02</t>
        </is>
      </c>
    </row>
    <row r="611" ht="42" customHeight="1">
      <c r="A611" s="29" t="inlineStr">
        <is>
          <t>BLYP-30-018</t>
        </is>
      </c>
      <c r="B611" s="29" t="inlineStr"/>
      <c r="C611" s="29" t="inlineStr">
        <is>
          <t>Quality assurance and release readiness</t>
        </is>
      </c>
      <c r="D611" s="29" t="n">
        <v>30</v>
      </c>
      <c r="E611" s="29" t="n">
        <v>18</v>
      </c>
      <c r="F611" s="29" t="inlineStr">
        <is>
          <t>Acceptance criterion</t>
        </is>
      </c>
      <c r="G611" s="29" t="inlineStr">
        <is>
          <t>AI-allowance tests</t>
        </is>
      </c>
      <c r="H611" s="29" t="inlineStr">
        <is>
          <t>AI-allowance tests</t>
        </is>
      </c>
      <c r="I611" s="29" t="inlineStr">
        <is>
          <t>/home/ubuntu/blyp_product_requirements.md :: Section 30 — Quality assurance and release readiness</t>
        </is>
      </c>
      <c r="J611" s="29" t="inlineStr">
        <is>
          <t>/home/ubuntu/BLYP_COMPLETE_FEATURE_LIST.md:770</t>
        </is>
      </c>
      <c r="K611" s="29" t="inlineStr">
        <is>
          <t>Required</t>
        </is>
      </c>
      <c r="L611" s="29" t="inlineStr">
        <is>
          <t>Applicable BLYP member</t>
        </is>
      </c>
      <c r="M611" s="29" t="inlineStr">
        <is>
          <t>Production platform, service and operator controls</t>
        </is>
      </c>
      <c r="N611" s="29" t="inlineStr">
        <is>
          <t>AI-allowance tests</t>
        </is>
      </c>
      <c r="O611" s="29" t="inlineStr">
        <is>
          <t>Not explicitly defined in the product source; requires accountable product approval before production sign-off.</t>
        </is>
      </c>
      <c r="P611" s="29" t="inlineStr"/>
      <c r="Q611" s="29" t="inlineStr">
        <is>
          <t>Partial</t>
        </is>
      </c>
      <c r="R611" s="29" t="inlineStr"/>
      <c r="S611" s="29" t="inlineStr">
        <is>
          <t>Unknown</t>
        </is>
      </c>
      <c r="T611" s="29" t="inlineStr"/>
      <c r="U611" s="29" t="inlineStr"/>
      <c r="V611" s="29" t="inlineStr"/>
      <c r="W611" s="29" t="inlineStr"/>
      <c r="X611" s="29" t="inlineStr"/>
      <c r="Y611" s="29" t="inlineStr"/>
      <c r="Z611" s="29" t="inlineStr"/>
      <c r="AA611" s="29" t="inlineStr"/>
      <c r="AB611" s="29" t="inlineStr"/>
      <c r="AC611" s="29" t="inlineStr"/>
      <c r="AD611" s="29" t="inlineStr"/>
      <c r="AE611" s="29" t="inlineStr">
        <is>
          <t>Unknown</t>
        </is>
      </c>
      <c r="AF611" s="29" t="inlineStr"/>
      <c r="AG611" s="29" t="inlineStr">
        <is>
          <t>Unknown</t>
        </is>
      </c>
      <c r="AH611" s="29" t="inlineStr">
        <is>
          <t>Unknown</t>
        </is>
      </c>
      <c r="AI611" s="29" t="inlineStr">
        <is>
          <t>No evidence found in source code</t>
        </is>
      </c>
      <c r="AJ611" s="29" t="inlineStr">
        <is>
          <t>Unknown</t>
        </is>
      </c>
      <c r="AK611" s="29" t="inlineStr"/>
      <c r="AL611" s="29" t="inlineStr"/>
      <c r="AM611" s="29" t="inlineStr"/>
      <c r="AN611" s="29" t="inlineStr"/>
      <c r="AO611" s="29" t="inlineStr">
        <is>
          <t>8bc0dcb2a1da1b21368c5536aaeef829d587f316</t>
        </is>
      </c>
      <c r="AP611" s="29" t="inlineStr">
        <is>
          <t>Unrated</t>
        </is>
      </c>
      <c r="AQ611" s="29" t="inlineStr">
        <is>
          <t>Not assessed</t>
        </is>
      </c>
      <c r="AR611" s="29" t="inlineStr">
        <is>
          <t>Not assessed</t>
        </is>
      </c>
      <c r="AS611" s="29" t="inlineStr">
        <is>
          <t>Not assessed</t>
        </is>
      </c>
      <c r="AT611" s="29" t="inlineStr">
        <is>
          <t>Not assessed</t>
        </is>
      </c>
      <c r="AU611" s="29" t="inlineStr">
        <is>
          <t>Not assessed</t>
        </is>
      </c>
      <c r="AV611" s="29" t="inlineStr">
        <is>
          <t>Not assessed</t>
        </is>
      </c>
      <c r="AW611" s="29" t="inlineStr">
        <is>
          <t>Not assessed</t>
        </is>
      </c>
      <c r="AX611" s="29" t="inlineStr">
        <is>
          <t>Not assessed</t>
        </is>
      </c>
      <c r="AY611" s="29" t="inlineStr">
        <is>
          <t>Not assessed</t>
        </is>
      </c>
      <c r="AZ611" s="29" t="inlineStr">
        <is>
          <t>Not assessed</t>
        </is>
      </c>
      <c r="BA611" s="29" t="inlineStr">
        <is>
          <t>Not assessed</t>
        </is>
      </c>
      <c r="BB611" s="29" t="inlineStr">
        <is>
          <t>Not assessed</t>
        </is>
      </c>
      <c r="BC611" s="29" t="inlineStr">
        <is>
          <t>Not assessed</t>
        </is>
      </c>
      <c r="BD611" s="29" t="inlineStr">
        <is>
          <t>Not assessed</t>
        </is>
      </c>
      <c r="BE611" s="29" t="inlineStr">
        <is>
          <t>Not assessed</t>
        </is>
      </c>
      <c r="BF611" s="29" t="inlineStr">
        <is>
          <t>Insufficient evidence to issue a production-readiness conclusion.</t>
        </is>
      </c>
      <c r="BG611" s="29" t="inlineStr"/>
      <c r="BH611" s="29" t="inlineStr"/>
      <c r="BI611" s="29" t="inlineStr"/>
      <c r="BJ611" s="29" t="inlineStr"/>
      <c r="BK611" s="29" t="inlineStr">
        <is>
          <t>Evidence reconciled against the reviewed source revision. No production approval is inferred from implementation or file presence.</t>
        </is>
      </c>
      <c r="BL611" s="29" t="inlineStr">
        <is>
          <t>2026-08-02</t>
        </is>
      </c>
    </row>
    <row r="612" ht="42" customHeight="1">
      <c r="A612" s="29" t="inlineStr">
        <is>
          <t>BLYP-30-019</t>
        </is>
      </c>
      <c r="B612" s="29" t="inlineStr"/>
      <c r="C612" s="29" t="inlineStr">
        <is>
          <t>Quality assurance and release readiness</t>
        </is>
      </c>
      <c r="D612" s="29" t="n">
        <v>30</v>
      </c>
      <c r="E612" s="29" t="n">
        <v>19</v>
      </c>
      <c r="F612" s="29" t="inlineStr">
        <is>
          <t>Acceptance criterion</t>
        </is>
      </c>
      <c r="G612" s="29" t="inlineStr">
        <is>
          <t>Dating-boundary tests</t>
        </is>
      </c>
      <c r="H612" s="29" t="inlineStr">
        <is>
          <t>Dating-boundary tests</t>
        </is>
      </c>
      <c r="I612" s="29" t="inlineStr">
        <is>
          <t>/home/ubuntu/blyp_product_requirements.md :: Section 30 — Quality assurance and release readiness</t>
        </is>
      </c>
      <c r="J612" s="29" t="inlineStr">
        <is>
          <t>/home/ubuntu/BLYP_COMPLETE_FEATURE_LIST.md:771</t>
        </is>
      </c>
      <c r="K612" s="29" t="inlineStr">
        <is>
          <t>Required</t>
        </is>
      </c>
      <c r="L612" s="29" t="inlineStr">
        <is>
          <t>Applicable BLYP member</t>
        </is>
      </c>
      <c r="M612" s="29" t="inlineStr">
        <is>
          <t>Production platform, service and operator controls</t>
        </is>
      </c>
      <c r="N612" s="29" t="inlineStr">
        <is>
          <t>Dating-boundary tests</t>
        </is>
      </c>
      <c r="O612" s="29" t="inlineStr">
        <is>
          <t>Not explicitly defined in the product source; requires accountable product approval before production sign-off.</t>
        </is>
      </c>
      <c r="P612" s="29" t="inlineStr"/>
      <c r="Q612" s="29" t="inlineStr">
        <is>
          <t>No evidence</t>
        </is>
      </c>
      <c r="R612" s="29" t="inlineStr"/>
      <c r="S612" s="29" t="inlineStr">
        <is>
          <t>Unknown</t>
        </is>
      </c>
      <c r="T612" s="29" t="inlineStr"/>
      <c r="U612" s="29" t="inlineStr"/>
      <c r="V612" s="29" t="inlineStr"/>
      <c r="W612" s="29" t="inlineStr"/>
      <c r="X612" s="29" t="inlineStr"/>
      <c r="Y612" s="29" t="inlineStr"/>
      <c r="Z612" s="29" t="inlineStr"/>
      <c r="AA612" s="29" t="inlineStr"/>
      <c r="AB612" s="29" t="inlineStr"/>
      <c r="AC612" s="29" t="inlineStr"/>
      <c r="AD612" s="29" t="inlineStr"/>
      <c r="AE612" s="29" t="inlineStr">
        <is>
          <t>Unknown</t>
        </is>
      </c>
      <c r="AF612" s="29" t="inlineStr"/>
      <c r="AG612" s="29" t="inlineStr">
        <is>
          <t>Unknown</t>
        </is>
      </c>
      <c r="AH612" s="29" t="inlineStr">
        <is>
          <t>Unknown</t>
        </is>
      </c>
      <c r="AI612" s="29" t="inlineStr">
        <is>
          <t>No evidence found in source code</t>
        </is>
      </c>
      <c r="AJ612" s="29" t="inlineStr">
        <is>
          <t>Unknown</t>
        </is>
      </c>
      <c r="AK612" s="29" t="inlineStr"/>
      <c r="AL612" s="29" t="inlineStr"/>
      <c r="AM612" s="29" t="inlineStr"/>
      <c r="AN612" s="29" t="inlineStr"/>
      <c r="AO612" s="29" t="inlineStr">
        <is>
          <t>8bc0dcb2a1da1b21368c5536aaeef829d587f316</t>
        </is>
      </c>
      <c r="AP612" s="29" t="inlineStr">
        <is>
          <t>Unrated</t>
        </is>
      </c>
      <c r="AQ612" s="29" t="inlineStr">
        <is>
          <t>Not assessed</t>
        </is>
      </c>
      <c r="AR612" s="29" t="inlineStr">
        <is>
          <t>Not assessed</t>
        </is>
      </c>
      <c r="AS612" s="29" t="inlineStr">
        <is>
          <t>Not assessed</t>
        </is>
      </c>
      <c r="AT612" s="29" t="inlineStr">
        <is>
          <t>Not assessed</t>
        </is>
      </c>
      <c r="AU612" s="29" t="inlineStr">
        <is>
          <t>Not assessed</t>
        </is>
      </c>
      <c r="AV612" s="29" t="inlineStr">
        <is>
          <t>Not assessed</t>
        </is>
      </c>
      <c r="AW612" s="29" t="inlineStr">
        <is>
          <t>Not assessed</t>
        </is>
      </c>
      <c r="AX612" s="29" t="inlineStr">
        <is>
          <t>Not assessed</t>
        </is>
      </c>
      <c r="AY612" s="29" t="inlineStr">
        <is>
          <t>Not assessed</t>
        </is>
      </c>
      <c r="AZ612" s="29" t="inlineStr">
        <is>
          <t>Not assessed</t>
        </is>
      </c>
      <c r="BA612" s="29" t="inlineStr">
        <is>
          <t>Not assessed</t>
        </is>
      </c>
      <c r="BB612" s="29" t="inlineStr">
        <is>
          <t>Not assessed</t>
        </is>
      </c>
      <c r="BC612" s="29" t="inlineStr">
        <is>
          <t>Not assessed</t>
        </is>
      </c>
      <c r="BD612" s="29" t="inlineStr">
        <is>
          <t>Not assessed</t>
        </is>
      </c>
      <c r="BE612" s="29" t="inlineStr">
        <is>
          <t>Not assessed</t>
        </is>
      </c>
      <c r="BF612" s="29" t="inlineStr">
        <is>
          <t>Insufficient evidence to issue a production-readiness conclusion.</t>
        </is>
      </c>
      <c r="BG612" s="29" t="inlineStr"/>
      <c r="BH612" s="29" t="inlineStr"/>
      <c r="BI612" s="29" t="inlineStr"/>
      <c r="BJ612" s="29" t="inlineStr"/>
      <c r="BK612" s="29" t="inlineStr">
        <is>
          <t>Evidence reconciled against the reviewed source revision. No production approval is inferred from implementation or file presence.</t>
        </is>
      </c>
      <c r="BL612" s="29" t="inlineStr">
        <is>
          <t>2026-08-02</t>
        </is>
      </c>
    </row>
    <row r="613" ht="42" customHeight="1">
      <c r="A613" s="29" t="inlineStr">
        <is>
          <t>BLYP-30-020</t>
        </is>
      </c>
      <c r="B613" s="29" t="inlineStr"/>
      <c r="C613" s="29" t="inlineStr">
        <is>
          <t>Quality assurance and release readiness</t>
        </is>
      </c>
      <c r="D613" s="29" t="n">
        <v>30</v>
      </c>
      <c r="E613" s="29" t="n">
        <v>20</v>
      </c>
      <c r="F613" s="29" t="inlineStr">
        <is>
          <t>Acceptance criterion</t>
        </is>
      </c>
      <c r="G613" s="29" t="inlineStr">
        <is>
          <t>Notification tests</t>
        </is>
      </c>
      <c r="H613" s="29" t="inlineStr">
        <is>
          <t>Notification tests</t>
        </is>
      </c>
      <c r="I613" s="29" t="inlineStr">
        <is>
          <t>/home/ubuntu/blyp_product_requirements.md :: Section 30 — Quality assurance and release readiness</t>
        </is>
      </c>
      <c r="J613" s="29" t="inlineStr">
        <is>
          <t>/home/ubuntu/BLYP_COMPLETE_FEATURE_LIST.md:772</t>
        </is>
      </c>
      <c r="K613" s="29" t="inlineStr">
        <is>
          <t>Required</t>
        </is>
      </c>
      <c r="L613" s="29" t="inlineStr">
        <is>
          <t>Applicable BLYP member</t>
        </is>
      </c>
      <c r="M613" s="29" t="inlineStr">
        <is>
          <t>Production platform, service and operator controls</t>
        </is>
      </c>
      <c r="N613" s="29" t="inlineStr">
        <is>
          <t>Notification tests</t>
        </is>
      </c>
      <c r="O613" s="29" t="inlineStr">
        <is>
          <t>Not explicitly defined in the product source; requires accountable product approval before production sign-off.</t>
        </is>
      </c>
      <c r="P613" s="29" t="inlineStr"/>
      <c r="Q613" s="29" t="inlineStr">
        <is>
          <t>Partial</t>
        </is>
      </c>
      <c r="R613" s="29" t="inlineStr"/>
      <c r="S613" s="29" t="inlineStr">
        <is>
          <t>Unknown</t>
        </is>
      </c>
      <c r="T613" s="29" t="inlineStr"/>
      <c r="U613" s="29" t="inlineStr"/>
      <c r="V613" s="29" t="inlineStr"/>
      <c r="W613" s="29" t="inlineStr"/>
      <c r="X613" s="29" t="inlineStr"/>
      <c r="Y613" s="29" t="inlineStr"/>
      <c r="Z613" s="29" t="inlineStr"/>
      <c r="AA613" s="29" t="inlineStr"/>
      <c r="AB613" s="29" t="inlineStr"/>
      <c r="AC613" s="29" t="inlineStr"/>
      <c r="AD613" s="29" t="inlineStr"/>
      <c r="AE613" s="29" t="inlineStr">
        <is>
          <t>Unknown</t>
        </is>
      </c>
      <c r="AF613" s="29" t="inlineStr"/>
      <c r="AG613" s="29" t="inlineStr">
        <is>
          <t>Unknown</t>
        </is>
      </c>
      <c r="AH613" s="29" t="inlineStr">
        <is>
          <t>Unknown</t>
        </is>
      </c>
      <c r="AI613" s="29" t="inlineStr">
        <is>
          <t>No evidence found in source code</t>
        </is>
      </c>
      <c r="AJ613" s="29" t="inlineStr">
        <is>
          <t>Unknown</t>
        </is>
      </c>
      <c r="AK613" s="29" t="inlineStr"/>
      <c r="AL613" s="29" t="inlineStr"/>
      <c r="AM613" s="29" t="inlineStr"/>
      <c r="AN613" s="29" t="inlineStr"/>
      <c r="AO613" s="29" t="inlineStr">
        <is>
          <t>8bc0dcb2a1da1b21368c5536aaeef829d587f316</t>
        </is>
      </c>
      <c r="AP613" s="29" t="inlineStr">
        <is>
          <t>Unrated</t>
        </is>
      </c>
      <c r="AQ613" s="29" t="inlineStr">
        <is>
          <t>Not assessed</t>
        </is>
      </c>
      <c r="AR613" s="29" t="inlineStr">
        <is>
          <t>Not assessed</t>
        </is>
      </c>
      <c r="AS613" s="29" t="inlineStr">
        <is>
          <t>Not assessed</t>
        </is>
      </c>
      <c r="AT613" s="29" t="inlineStr">
        <is>
          <t>Not assessed</t>
        </is>
      </c>
      <c r="AU613" s="29" t="inlineStr">
        <is>
          <t>Not assessed</t>
        </is>
      </c>
      <c r="AV613" s="29" t="inlineStr">
        <is>
          <t>Not assessed</t>
        </is>
      </c>
      <c r="AW613" s="29" t="inlineStr">
        <is>
          <t>Not assessed</t>
        </is>
      </c>
      <c r="AX613" s="29" t="inlineStr">
        <is>
          <t>Not assessed</t>
        </is>
      </c>
      <c r="AY613" s="29" t="inlineStr">
        <is>
          <t>Not assessed</t>
        </is>
      </c>
      <c r="AZ613" s="29" t="inlineStr">
        <is>
          <t>Not assessed</t>
        </is>
      </c>
      <c r="BA613" s="29" t="inlineStr">
        <is>
          <t>Not assessed</t>
        </is>
      </c>
      <c r="BB613" s="29" t="inlineStr">
        <is>
          <t>Not assessed</t>
        </is>
      </c>
      <c r="BC613" s="29" t="inlineStr">
        <is>
          <t>Not assessed</t>
        </is>
      </c>
      <c r="BD613" s="29" t="inlineStr">
        <is>
          <t>Not assessed</t>
        </is>
      </c>
      <c r="BE613" s="29" t="inlineStr">
        <is>
          <t>Not assessed</t>
        </is>
      </c>
      <c r="BF613" s="29" t="inlineStr">
        <is>
          <t>Insufficient evidence to issue a production-readiness conclusion.</t>
        </is>
      </c>
      <c r="BG613" s="29" t="inlineStr"/>
      <c r="BH613" s="29" t="inlineStr"/>
      <c r="BI613" s="29" t="inlineStr"/>
      <c r="BJ613" s="29" t="inlineStr"/>
      <c r="BK613" s="29" t="inlineStr">
        <is>
          <t>Evidence reconciled against the reviewed source revision. No production approval is inferred from implementation or file presence.</t>
        </is>
      </c>
      <c r="BL613" s="29" t="inlineStr">
        <is>
          <t>2026-08-02</t>
        </is>
      </c>
    </row>
    <row r="614" ht="42" customHeight="1">
      <c r="A614" s="29" t="inlineStr">
        <is>
          <t>BLYP-30-021</t>
        </is>
      </c>
      <c r="B614" s="29" t="inlineStr"/>
      <c r="C614" s="29" t="inlineStr">
        <is>
          <t>Quality assurance and release readiness</t>
        </is>
      </c>
      <c r="D614" s="29" t="n">
        <v>30</v>
      </c>
      <c r="E614" s="29" t="n">
        <v>21</v>
      </c>
      <c r="F614" s="29" t="inlineStr">
        <is>
          <t>Acceptance criterion</t>
        </is>
      </c>
      <c r="G614" s="29" t="inlineStr">
        <is>
          <t>Account-deletion tests</t>
        </is>
      </c>
      <c r="H614" s="29" t="inlineStr">
        <is>
          <t>Account-deletion tests</t>
        </is>
      </c>
      <c r="I614" s="29" t="inlineStr">
        <is>
          <t>/home/ubuntu/blyp_product_requirements.md :: Section 30 — Quality assurance and release readiness</t>
        </is>
      </c>
      <c r="J614" s="29" t="inlineStr">
        <is>
          <t>/home/ubuntu/BLYP_COMPLETE_FEATURE_LIST.md:773</t>
        </is>
      </c>
      <c r="K614" s="29" t="inlineStr">
        <is>
          <t>Required</t>
        </is>
      </c>
      <c r="L614" s="29" t="inlineStr">
        <is>
          <t>Applicable BLYP member</t>
        </is>
      </c>
      <c r="M614" s="29" t="inlineStr">
        <is>
          <t>Production platform, service and operator controls</t>
        </is>
      </c>
      <c r="N614" s="29" t="inlineStr">
        <is>
          <t>Account-deletion tests</t>
        </is>
      </c>
      <c r="O614" s="29" t="inlineStr">
        <is>
          <t>Not explicitly defined in the product source; requires accountable product approval before production sign-off.</t>
        </is>
      </c>
      <c r="P614" s="29" t="inlineStr"/>
      <c r="Q614" s="29" t="inlineStr">
        <is>
          <t>Partial</t>
        </is>
      </c>
      <c r="R614" s="29" t="inlineStr"/>
      <c r="S614" s="29" t="inlineStr">
        <is>
          <t>Unknown</t>
        </is>
      </c>
      <c r="T614" s="29" t="inlineStr"/>
      <c r="U614" s="29" t="inlineStr"/>
      <c r="V614" s="29" t="inlineStr"/>
      <c r="W614" s="29" t="inlineStr"/>
      <c r="X614" s="29" t="inlineStr"/>
      <c r="Y614" s="29" t="inlineStr"/>
      <c r="Z614" s="29" t="inlineStr"/>
      <c r="AA614" s="29" t="inlineStr"/>
      <c r="AB614" s="29" t="inlineStr"/>
      <c r="AC614" s="29" t="inlineStr"/>
      <c r="AD614" s="29" t="inlineStr"/>
      <c r="AE614" s="29" t="inlineStr">
        <is>
          <t>Unknown</t>
        </is>
      </c>
      <c r="AF614" s="29" t="inlineStr"/>
      <c r="AG614" s="29" t="inlineStr">
        <is>
          <t>Unknown</t>
        </is>
      </c>
      <c r="AH614" s="29" t="inlineStr">
        <is>
          <t>Unknown</t>
        </is>
      </c>
      <c r="AI614" s="29" t="inlineStr">
        <is>
          <t>No evidence found in source code</t>
        </is>
      </c>
      <c r="AJ614" s="29" t="inlineStr">
        <is>
          <t>Unknown</t>
        </is>
      </c>
      <c r="AK614" s="29" t="inlineStr"/>
      <c r="AL614" s="29" t="inlineStr"/>
      <c r="AM614" s="29" t="inlineStr"/>
      <c r="AN614" s="29" t="inlineStr"/>
      <c r="AO614" s="29" t="inlineStr">
        <is>
          <t>8bc0dcb2a1da1b21368c5536aaeef829d587f316</t>
        </is>
      </c>
      <c r="AP614" s="29" t="inlineStr">
        <is>
          <t>Unrated</t>
        </is>
      </c>
      <c r="AQ614" s="29" t="inlineStr">
        <is>
          <t>Not assessed</t>
        </is>
      </c>
      <c r="AR614" s="29" t="inlineStr">
        <is>
          <t>Not assessed</t>
        </is>
      </c>
      <c r="AS614" s="29" t="inlineStr">
        <is>
          <t>Not assessed</t>
        </is>
      </c>
      <c r="AT614" s="29" t="inlineStr">
        <is>
          <t>Not assessed</t>
        </is>
      </c>
      <c r="AU614" s="29" t="inlineStr">
        <is>
          <t>Not assessed</t>
        </is>
      </c>
      <c r="AV614" s="29" t="inlineStr">
        <is>
          <t>Not assessed</t>
        </is>
      </c>
      <c r="AW614" s="29" t="inlineStr">
        <is>
          <t>Not assessed</t>
        </is>
      </c>
      <c r="AX614" s="29" t="inlineStr">
        <is>
          <t>Not assessed</t>
        </is>
      </c>
      <c r="AY614" s="29" t="inlineStr">
        <is>
          <t>Not assessed</t>
        </is>
      </c>
      <c r="AZ614" s="29" t="inlineStr">
        <is>
          <t>Not assessed</t>
        </is>
      </c>
      <c r="BA614" s="29" t="inlineStr">
        <is>
          <t>Not assessed</t>
        </is>
      </c>
      <c r="BB614" s="29" t="inlineStr">
        <is>
          <t>Not assessed</t>
        </is>
      </c>
      <c r="BC614" s="29" t="inlineStr">
        <is>
          <t>Not assessed</t>
        </is>
      </c>
      <c r="BD614" s="29" t="inlineStr">
        <is>
          <t>Not assessed</t>
        </is>
      </c>
      <c r="BE614" s="29" t="inlineStr">
        <is>
          <t>Not assessed</t>
        </is>
      </c>
      <c r="BF614" s="29" t="inlineStr">
        <is>
          <t>Insufficient evidence to issue a production-readiness conclusion.</t>
        </is>
      </c>
      <c r="BG614" s="29" t="inlineStr"/>
      <c r="BH614" s="29" t="inlineStr"/>
      <c r="BI614" s="29" t="inlineStr"/>
      <c r="BJ614" s="29" t="inlineStr"/>
      <c r="BK614" s="29" t="inlineStr">
        <is>
          <t>Evidence reconciled against the reviewed source revision. No production approval is inferred from implementation or file presence.</t>
        </is>
      </c>
      <c r="BL614" s="29" t="inlineStr">
        <is>
          <t>2026-08-02</t>
        </is>
      </c>
    </row>
    <row r="615" ht="42" customHeight="1">
      <c r="A615" s="29" t="inlineStr">
        <is>
          <t>BLYP-30-022</t>
        </is>
      </c>
      <c r="B615" s="29" t="inlineStr"/>
      <c r="C615" s="29" t="inlineStr">
        <is>
          <t>Quality assurance and release readiness</t>
        </is>
      </c>
      <c r="D615" s="29" t="n">
        <v>30</v>
      </c>
      <c r="E615" s="29" t="n">
        <v>22</v>
      </c>
      <c r="F615" s="29" t="inlineStr">
        <is>
          <t>Acceptance criterion</t>
        </is>
      </c>
      <c r="G615" s="29" t="inlineStr">
        <is>
          <t>Cross-posting tests</t>
        </is>
      </c>
      <c r="H615" s="29" t="inlineStr">
        <is>
          <t>Cross-posting tests</t>
        </is>
      </c>
      <c r="I615" s="29" t="inlineStr">
        <is>
          <t>/home/ubuntu/blyp_product_requirements.md :: Section 30 — Quality assurance and release readiness</t>
        </is>
      </c>
      <c r="J615" s="29" t="inlineStr">
        <is>
          <t>/home/ubuntu/BLYP_COMPLETE_FEATURE_LIST.md:774</t>
        </is>
      </c>
      <c r="K615" s="29" t="inlineStr">
        <is>
          <t>Required</t>
        </is>
      </c>
      <c r="L615" s="29" t="inlineStr">
        <is>
          <t>Applicable BLYP member</t>
        </is>
      </c>
      <c r="M615" s="29" t="inlineStr">
        <is>
          <t>Production platform, service and operator controls</t>
        </is>
      </c>
      <c r="N615" s="29" t="inlineStr">
        <is>
          <t>Cross-posting tests</t>
        </is>
      </c>
      <c r="O615" s="29" t="inlineStr">
        <is>
          <t>Not explicitly defined in the product source; requires accountable product approval before production sign-off.</t>
        </is>
      </c>
      <c r="P615" s="29" t="inlineStr"/>
      <c r="Q615" s="29" t="inlineStr">
        <is>
          <t>No evidence</t>
        </is>
      </c>
      <c r="R615" s="29" t="inlineStr"/>
      <c r="S615" s="29" t="inlineStr">
        <is>
          <t>Unknown</t>
        </is>
      </c>
      <c r="T615" s="29" t="inlineStr"/>
      <c r="U615" s="29" t="inlineStr"/>
      <c r="V615" s="29" t="inlineStr"/>
      <c r="W615" s="29" t="inlineStr"/>
      <c r="X615" s="29" t="inlineStr"/>
      <c r="Y615" s="29" t="inlineStr"/>
      <c r="Z615" s="29" t="inlineStr"/>
      <c r="AA615" s="29" t="inlineStr"/>
      <c r="AB615" s="29" t="inlineStr"/>
      <c r="AC615" s="29" t="inlineStr"/>
      <c r="AD615" s="29" t="inlineStr"/>
      <c r="AE615" s="29" t="inlineStr">
        <is>
          <t>Unknown</t>
        </is>
      </c>
      <c r="AF615" s="29" t="inlineStr"/>
      <c r="AG615" s="29" t="inlineStr">
        <is>
          <t>Unknown</t>
        </is>
      </c>
      <c r="AH615" s="29" t="inlineStr">
        <is>
          <t>Unknown</t>
        </is>
      </c>
      <c r="AI615" s="29" t="inlineStr">
        <is>
          <t>No evidence found in source code</t>
        </is>
      </c>
      <c r="AJ615" s="29" t="inlineStr">
        <is>
          <t>Unknown</t>
        </is>
      </c>
      <c r="AK615" s="29" t="inlineStr"/>
      <c r="AL615" s="29" t="inlineStr"/>
      <c r="AM615" s="29" t="inlineStr"/>
      <c r="AN615" s="29" t="inlineStr"/>
      <c r="AO615" s="29" t="inlineStr">
        <is>
          <t>8bc0dcb2a1da1b21368c5536aaeef829d587f316</t>
        </is>
      </c>
      <c r="AP615" s="29" t="inlineStr">
        <is>
          <t>Unrated</t>
        </is>
      </c>
      <c r="AQ615" s="29" t="inlineStr">
        <is>
          <t>Not assessed</t>
        </is>
      </c>
      <c r="AR615" s="29" t="inlineStr">
        <is>
          <t>Not assessed</t>
        </is>
      </c>
      <c r="AS615" s="29" t="inlineStr">
        <is>
          <t>Not assessed</t>
        </is>
      </c>
      <c r="AT615" s="29" t="inlineStr">
        <is>
          <t>Not assessed</t>
        </is>
      </c>
      <c r="AU615" s="29" t="inlineStr">
        <is>
          <t>Not assessed</t>
        </is>
      </c>
      <c r="AV615" s="29" t="inlineStr">
        <is>
          <t>Not assessed</t>
        </is>
      </c>
      <c r="AW615" s="29" t="inlineStr">
        <is>
          <t>Not assessed</t>
        </is>
      </c>
      <c r="AX615" s="29" t="inlineStr">
        <is>
          <t>Not assessed</t>
        </is>
      </c>
      <c r="AY615" s="29" t="inlineStr">
        <is>
          <t>Not assessed</t>
        </is>
      </c>
      <c r="AZ615" s="29" t="inlineStr">
        <is>
          <t>Not assessed</t>
        </is>
      </c>
      <c r="BA615" s="29" t="inlineStr">
        <is>
          <t>Not assessed</t>
        </is>
      </c>
      <c r="BB615" s="29" t="inlineStr">
        <is>
          <t>Not assessed</t>
        </is>
      </c>
      <c r="BC615" s="29" t="inlineStr">
        <is>
          <t>Not assessed</t>
        </is>
      </c>
      <c r="BD615" s="29" t="inlineStr">
        <is>
          <t>Not assessed</t>
        </is>
      </c>
      <c r="BE615" s="29" t="inlineStr">
        <is>
          <t>Not assessed</t>
        </is>
      </c>
      <c r="BF615" s="29" t="inlineStr">
        <is>
          <t>Insufficient evidence to issue a production-readiness conclusion.</t>
        </is>
      </c>
      <c r="BG615" s="29" t="inlineStr"/>
      <c r="BH615" s="29" t="inlineStr"/>
      <c r="BI615" s="29" t="inlineStr"/>
      <c r="BJ615" s="29" t="inlineStr"/>
      <c r="BK615" s="29" t="inlineStr">
        <is>
          <t>Evidence reconciled against the reviewed source revision. No production approval is inferred from implementation or file presence.</t>
        </is>
      </c>
      <c r="BL615" s="29" t="inlineStr">
        <is>
          <t>2026-08-02</t>
        </is>
      </c>
    </row>
    <row r="616" ht="42" customHeight="1">
      <c r="A616" s="29" t="inlineStr">
        <is>
          <t>BLYP-30-023</t>
        </is>
      </c>
      <c r="B616" s="29" t="inlineStr"/>
      <c r="C616" s="29" t="inlineStr">
        <is>
          <t>Quality assurance and release readiness</t>
        </is>
      </c>
      <c r="D616" s="29" t="n">
        <v>30</v>
      </c>
      <c r="E616" s="29" t="n">
        <v>23</v>
      </c>
      <c r="F616" s="29" t="inlineStr">
        <is>
          <t>Acceptance criterion</t>
        </is>
      </c>
      <c r="G616" s="29" t="inlineStr">
        <is>
          <t>Accessibility tests</t>
        </is>
      </c>
      <c r="H616" s="29" t="inlineStr">
        <is>
          <t>Accessibility tests</t>
        </is>
      </c>
      <c r="I616" s="29" t="inlineStr">
        <is>
          <t>/home/ubuntu/blyp_product_requirements.md :: Section 30 — Quality assurance and release readiness</t>
        </is>
      </c>
      <c r="J616" s="29" t="inlineStr">
        <is>
          <t>/home/ubuntu/BLYP_COMPLETE_FEATURE_LIST.md:775</t>
        </is>
      </c>
      <c r="K616" s="29" t="inlineStr">
        <is>
          <t>Required</t>
        </is>
      </c>
      <c r="L616" s="29" t="inlineStr">
        <is>
          <t>Applicable BLYP member</t>
        </is>
      </c>
      <c r="M616" s="29" t="inlineStr">
        <is>
          <t>Production platform, service and operator controls</t>
        </is>
      </c>
      <c r="N616" s="29" t="inlineStr">
        <is>
          <t>Accessibility tests</t>
        </is>
      </c>
      <c r="O616" s="29" t="inlineStr">
        <is>
          <t>Not explicitly defined in the product source; requires accountable product approval before production sign-off.</t>
        </is>
      </c>
      <c r="P616" s="29" t="inlineStr"/>
      <c r="Q616" s="29" t="inlineStr">
        <is>
          <t>No evidence</t>
        </is>
      </c>
      <c r="R616" s="29" t="inlineStr"/>
      <c r="S616" s="29" t="inlineStr">
        <is>
          <t>Unknown</t>
        </is>
      </c>
      <c r="T616" s="29" t="inlineStr"/>
      <c r="U616" s="29" t="inlineStr"/>
      <c r="V616" s="29" t="inlineStr"/>
      <c r="W616" s="29" t="inlineStr"/>
      <c r="X616" s="29" t="inlineStr"/>
      <c r="Y616" s="29" t="inlineStr"/>
      <c r="Z616" s="29" t="inlineStr"/>
      <c r="AA616" s="29" t="inlineStr"/>
      <c r="AB616" s="29" t="inlineStr"/>
      <c r="AC616" s="29" t="inlineStr"/>
      <c r="AD616" s="29" t="inlineStr"/>
      <c r="AE616" s="29" t="inlineStr">
        <is>
          <t>Unknown</t>
        </is>
      </c>
      <c r="AF616" s="29" t="inlineStr"/>
      <c r="AG616" s="29" t="inlineStr">
        <is>
          <t>Unknown</t>
        </is>
      </c>
      <c r="AH616" s="29" t="inlineStr">
        <is>
          <t>Unknown</t>
        </is>
      </c>
      <c r="AI616" s="29" t="inlineStr">
        <is>
          <t>No evidence found in source code</t>
        </is>
      </c>
      <c r="AJ616" s="29" t="inlineStr">
        <is>
          <t>Unknown</t>
        </is>
      </c>
      <c r="AK616" s="29" t="inlineStr"/>
      <c r="AL616" s="29" t="inlineStr"/>
      <c r="AM616" s="29" t="inlineStr"/>
      <c r="AN616" s="29" t="inlineStr"/>
      <c r="AO616" s="29" t="inlineStr">
        <is>
          <t>8bc0dcb2a1da1b21368c5536aaeef829d587f316</t>
        </is>
      </c>
      <c r="AP616" s="29" t="inlineStr">
        <is>
          <t>Unrated</t>
        </is>
      </c>
      <c r="AQ616" s="29" t="inlineStr">
        <is>
          <t>Not assessed</t>
        </is>
      </c>
      <c r="AR616" s="29" t="inlineStr">
        <is>
          <t>Not assessed</t>
        </is>
      </c>
      <c r="AS616" s="29" t="inlineStr">
        <is>
          <t>Not assessed</t>
        </is>
      </c>
      <c r="AT616" s="29" t="inlineStr">
        <is>
          <t>Not assessed</t>
        </is>
      </c>
      <c r="AU616" s="29" t="inlineStr">
        <is>
          <t>Not assessed</t>
        </is>
      </c>
      <c r="AV616" s="29" t="inlineStr">
        <is>
          <t>Not assessed</t>
        </is>
      </c>
      <c r="AW616" s="29" t="inlineStr">
        <is>
          <t>Not assessed</t>
        </is>
      </c>
      <c r="AX616" s="29" t="inlineStr">
        <is>
          <t>Not assessed</t>
        </is>
      </c>
      <c r="AY616" s="29" t="inlineStr">
        <is>
          <t>Not assessed</t>
        </is>
      </c>
      <c r="AZ616" s="29" t="inlineStr">
        <is>
          <t>Not assessed</t>
        </is>
      </c>
      <c r="BA616" s="29" t="inlineStr">
        <is>
          <t>Not assessed</t>
        </is>
      </c>
      <c r="BB616" s="29" t="inlineStr">
        <is>
          <t>Not assessed</t>
        </is>
      </c>
      <c r="BC616" s="29" t="inlineStr">
        <is>
          <t>Not assessed</t>
        </is>
      </c>
      <c r="BD616" s="29" t="inlineStr">
        <is>
          <t>Not assessed</t>
        </is>
      </c>
      <c r="BE616" s="29" t="inlineStr">
        <is>
          <t>Not assessed</t>
        </is>
      </c>
      <c r="BF616" s="29" t="inlineStr">
        <is>
          <t>Insufficient evidence to issue a production-readiness conclusion.</t>
        </is>
      </c>
      <c r="BG616" s="29" t="inlineStr"/>
      <c r="BH616" s="29" t="inlineStr"/>
      <c r="BI616" s="29" t="inlineStr"/>
      <c r="BJ616" s="29" t="inlineStr"/>
      <c r="BK616" s="29" t="inlineStr">
        <is>
          <t>Evidence reconciled against the reviewed source revision. No production approval is inferred from implementation or file presence.</t>
        </is>
      </c>
      <c r="BL616" s="29" t="inlineStr">
        <is>
          <t>2026-08-02</t>
        </is>
      </c>
    </row>
    <row r="617" ht="42" customHeight="1">
      <c r="A617" s="29" t="inlineStr">
        <is>
          <t>BLYP-30-024</t>
        </is>
      </c>
      <c r="B617" s="29" t="inlineStr"/>
      <c r="C617" s="29" t="inlineStr">
        <is>
          <t>Quality assurance and release readiness</t>
        </is>
      </c>
      <c r="D617" s="29" t="n">
        <v>30</v>
      </c>
      <c r="E617" s="29" t="n">
        <v>24</v>
      </c>
      <c r="F617" s="29" t="inlineStr">
        <is>
          <t>Acceptance criterion</t>
        </is>
      </c>
      <c r="G617" s="29" t="inlineStr">
        <is>
          <t>Automated critical-journey tests</t>
        </is>
      </c>
      <c r="H617" s="29" t="inlineStr">
        <is>
          <t>Automated critical-journey tests</t>
        </is>
      </c>
      <c r="I617" s="29" t="inlineStr">
        <is>
          <t>/home/ubuntu/blyp_product_requirements.md :: Section 30 — Quality assurance and release readiness</t>
        </is>
      </c>
      <c r="J617" s="29" t="inlineStr">
        <is>
          <t>/home/ubuntu/BLYP_COMPLETE_FEATURE_LIST.md:776</t>
        </is>
      </c>
      <c r="K617" s="29" t="inlineStr">
        <is>
          <t>Required</t>
        </is>
      </c>
      <c r="L617" s="29" t="inlineStr">
        <is>
          <t>Applicable BLYP member</t>
        </is>
      </c>
      <c r="M617" s="29" t="inlineStr">
        <is>
          <t>Production platform, service and operator controls</t>
        </is>
      </c>
      <c r="N617" s="29" t="inlineStr">
        <is>
          <t>Automated critical-journey tests</t>
        </is>
      </c>
      <c r="O617" s="29" t="inlineStr">
        <is>
          <t>Not explicitly defined in the product source; requires accountable product approval before production sign-off.</t>
        </is>
      </c>
      <c r="P617" s="29" t="inlineStr"/>
      <c r="Q617" s="29" t="inlineStr">
        <is>
          <t>Partial</t>
        </is>
      </c>
      <c r="R617" s="29" t="inlineStr"/>
      <c r="S617" s="29" t="inlineStr">
        <is>
          <t>Unknown</t>
        </is>
      </c>
      <c r="T617" s="29" t="inlineStr"/>
      <c r="U617" s="29" t="inlineStr"/>
      <c r="V617" s="29" t="inlineStr"/>
      <c r="W617" s="29" t="inlineStr"/>
      <c r="X617" s="29" t="inlineStr"/>
      <c r="Y617" s="29" t="inlineStr"/>
      <c r="Z617" s="29" t="inlineStr"/>
      <c r="AA617" s="29" t="inlineStr"/>
      <c r="AB617" s="29" t="inlineStr"/>
      <c r="AC617" s="29" t="inlineStr"/>
      <c r="AD617" s="29" t="inlineStr"/>
      <c r="AE617" s="29" t="inlineStr">
        <is>
          <t>Unknown</t>
        </is>
      </c>
      <c r="AF617" s="29" t="inlineStr"/>
      <c r="AG617" s="29" t="inlineStr">
        <is>
          <t>Unknown</t>
        </is>
      </c>
      <c r="AH617" s="29" t="inlineStr">
        <is>
          <t>Unknown</t>
        </is>
      </c>
      <c r="AI617" s="29" t="inlineStr">
        <is>
          <t>No evidence found in source code</t>
        </is>
      </c>
      <c r="AJ617" s="29" t="inlineStr">
        <is>
          <t>Conflicting evidence</t>
        </is>
      </c>
      <c r="AK617" s="29" t="inlineStr"/>
      <c r="AL617" s="29" t="inlineStr">
        <is>
          <t>EV-RUN-0001</t>
        </is>
      </c>
      <c r="AM617" s="29" t="inlineStr"/>
      <c r="AN617" s="29" t="inlineStr">
        <is>
          <t>2026-08-02</t>
        </is>
      </c>
      <c r="AO617" s="29" t="inlineStr">
        <is>
          <t>8bc0dcb2a1da1b21368c5536aaeef829d587f316 + pre-existing working-tree change</t>
        </is>
      </c>
      <c r="AP617" s="29" t="inlineStr">
        <is>
          <t>Unrated</t>
        </is>
      </c>
      <c r="AQ617" s="29" t="inlineStr">
        <is>
          <t>Not assessed</t>
        </is>
      </c>
      <c r="AR617" s="29" t="inlineStr">
        <is>
          <t>Not assessed</t>
        </is>
      </c>
      <c r="AS617" s="29" t="inlineStr">
        <is>
          <t>Not assessed</t>
        </is>
      </c>
      <c r="AT617" s="29" t="inlineStr">
        <is>
          <t>Not assessed</t>
        </is>
      </c>
      <c r="AU617" s="29" t="inlineStr">
        <is>
          <t>Not assessed</t>
        </is>
      </c>
      <c r="AV617" s="29" t="inlineStr">
        <is>
          <t>Not assessed</t>
        </is>
      </c>
      <c r="AW617" s="29" t="inlineStr">
        <is>
          <t>Not assessed</t>
        </is>
      </c>
      <c r="AX617" s="29" t="inlineStr">
        <is>
          <t>Not assessed</t>
        </is>
      </c>
      <c r="AY617" s="29" t="inlineStr">
        <is>
          <t>Not assessed</t>
        </is>
      </c>
      <c r="AZ617" s="29" t="inlineStr">
        <is>
          <t>Not assessed</t>
        </is>
      </c>
      <c r="BA617" s="29" t="inlineStr">
        <is>
          <t>Not assessed</t>
        </is>
      </c>
      <c r="BB617" s="29" t="inlineStr">
        <is>
          <t>Not assessed</t>
        </is>
      </c>
      <c r="BC617" s="29" t="inlineStr">
        <is>
          <t>Not assessed</t>
        </is>
      </c>
      <c r="BD617" s="29" t="inlineStr">
        <is>
          <t>Fail</t>
        </is>
      </c>
      <c r="BE617" s="29" t="inlineStr">
        <is>
          <t>Not assessed</t>
        </is>
      </c>
      <c r="BF617" s="29" t="inlineStr">
        <is>
          <t>Insufficient evidence to issue a production-readiness conclusion.</t>
        </is>
      </c>
      <c r="BG617" s="29" t="inlineStr"/>
      <c r="BH617" s="29" t="inlineStr"/>
      <c r="BI617" s="29" t="inlineStr"/>
      <c r="BJ617" s="29" t="inlineStr"/>
      <c r="BK617" s="29" t="inlineStr">
        <is>
          <t>Evidence reconciled against the reviewed source revision. No production approval is inferred from implementation or file presence.</t>
        </is>
      </c>
      <c r="BL617" s="29" t="inlineStr">
        <is>
          <t>2026-08-02</t>
        </is>
      </c>
    </row>
    <row r="618" ht="42" customHeight="1">
      <c r="A618" s="29" t="inlineStr">
        <is>
          <t>BLYP-30-025</t>
        </is>
      </c>
      <c r="B618" s="29" t="inlineStr"/>
      <c r="C618" s="29" t="inlineStr">
        <is>
          <t>Quality assurance and release readiness</t>
        </is>
      </c>
      <c r="D618" s="29" t="n">
        <v>30</v>
      </c>
      <c r="E618" s="29" t="n">
        <v>25</v>
      </c>
      <c r="F618" s="29" t="inlineStr">
        <is>
          <t>Acceptance criterion</t>
        </is>
      </c>
      <c r="G618" s="29" t="inlineStr">
        <is>
          <t>Real-device camera tests</t>
        </is>
      </c>
      <c r="H618" s="29" t="inlineStr">
        <is>
          <t>Real-device camera tests</t>
        </is>
      </c>
      <c r="I618" s="29" t="inlineStr">
        <is>
          <t>/home/ubuntu/blyp_product_requirements.md :: Section 30 — Quality assurance and release readiness</t>
        </is>
      </c>
      <c r="J618" s="29" t="inlineStr">
        <is>
          <t>/home/ubuntu/BLYP_COMPLETE_FEATURE_LIST.md:777</t>
        </is>
      </c>
      <c r="K618" s="29" t="inlineStr">
        <is>
          <t>Required</t>
        </is>
      </c>
      <c r="L618" s="29" t="inlineStr">
        <is>
          <t>Applicable BLYP member</t>
        </is>
      </c>
      <c r="M618" s="29" t="inlineStr">
        <is>
          <t>Production platform, service and operator controls</t>
        </is>
      </c>
      <c r="N618" s="29" t="inlineStr">
        <is>
          <t>Real-device camera tests</t>
        </is>
      </c>
      <c r="O618" s="29" t="inlineStr">
        <is>
          <t>Not explicitly defined in the product source; requires accountable product approval before production sign-off.</t>
        </is>
      </c>
      <c r="P618" s="29" t="inlineStr"/>
      <c r="Q618" s="29" t="inlineStr">
        <is>
          <t>No evidence</t>
        </is>
      </c>
      <c r="R618" s="29" t="inlineStr"/>
      <c r="S618" s="29" t="inlineStr">
        <is>
          <t>Unknown</t>
        </is>
      </c>
      <c r="T618" s="29" t="inlineStr"/>
      <c r="U618" s="29" t="inlineStr"/>
      <c r="V618" s="29" t="inlineStr"/>
      <c r="W618" s="29" t="inlineStr"/>
      <c r="X618" s="29" t="inlineStr"/>
      <c r="Y618" s="29" t="inlineStr"/>
      <c r="Z618" s="29" t="inlineStr"/>
      <c r="AA618" s="29" t="inlineStr"/>
      <c r="AB618" s="29" t="inlineStr"/>
      <c r="AC618" s="29" t="inlineStr"/>
      <c r="AD618" s="29" t="inlineStr"/>
      <c r="AE618" s="29" t="inlineStr">
        <is>
          <t>Unknown</t>
        </is>
      </c>
      <c r="AF618" s="29" t="inlineStr"/>
      <c r="AG618" s="29" t="inlineStr">
        <is>
          <t>Unknown</t>
        </is>
      </c>
      <c r="AH618" s="29" t="inlineStr">
        <is>
          <t>Unknown</t>
        </is>
      </c>
      <c r="AI618" s="29" t="inlineStr">
        <is>
          <t>No evidence found in source code</t>
        </is>
      </c>
      <c r="AJ618" s="29" t="inlineStr">
        <is>
          <t>Conflicting evidence</t>
        </is>
      </c>
      <c r="AK618" s="29" t="inlineStr"/>
      <c r="AL618" s="29" t="inlineStr"/>
      <c r="AM618" s="29" t="inlineStr">
        <is>
          <t>EV-RUN-0005;EV-RUN-0006;EV-RUN-0007;EV-RUN-0008;EV-RUN-0012</t>
        </is>
      </c>
      <c r="AN618" s="29" t="inlineStr">
        <is>
          <t>2026-08-02</t>
        </is>
      </c>
      <c r="AO618" s="29" t="inlineStr">
        <is>
          <t>com.blyp.mobile 1.0.1; versionCode 2026303428; Galaxy Z Fold7 SM-F966B | Signed Fold7 candidate; run live_fix_fresh_verified_20260731_023116 | APK SHA-256 6EA90E5AFED49AD2752D3323E34DDD695C1BEB68E0F6A026FCB38D0003B24B87 | Candidate SHA-256 E7552810C2F40081DC434649DEA6FD6D6927190803A5DD4410301E896FD2E341 | Current verification session</t>
        </is>
      </c>
      <c r="AP618" s="29" t="inlineStr">
        <is>
          <t>Unrated</t>
        </is>
      </c>
      <c r="AQ618" s="29" t="inlineStr">
        <is>
          <t>Not assessed</t>
        </is>
      </c>
      <c r="AR618" s="29" t="inlineStr">
        <is>
          <t>Not assessed</t>
        </is>
      </c>
      <c r="AS618" s="29" t="inlineStr">
        <is>
          <t>Not assessed</t>
        </is>
      </c>
      <c r="AT618" s="29" t="inlineStr">
        <is>
          <t>Not assessed</t>
        </is>
      </c>
      <c r="AU618" s="29" t="inlineStr">
        <is>
          <t>Not assessed</t>
        </is>
      </c>
      <c r="AV618" s="29" t="inlineStr">
        <is>
          <t>Not assessed</t>
        </is>
      </c>
      <c r="AW618" s="29" t="inlineStr">
        <is>
          <t>Not assessed</t>
        </is>
      </c>
      <c r="AX618" s="29" t="inlineStr">
        <is>
          <t>Not assessed</t>
        </is>
      </c>
      <c r="AY618" s="29" t="inlineStr">
        <is>
          <t>Not assessed</t>
        </is>
      </c>
      <c r="AZ618" s="29" t="inlineStr">
        <is>
          <t>Not assessed</t>
        </is>
      </c>
      <c r="BA618" s="29" t="inlineStr">
        <is>
          <t>Not assessed</t>
        </is>
      </c>
      <c r="BB618" s="29" t="inlineStr">
        <is>
          <t>Not assessed</t>
        </is>
      </c>
      <c r="BC618" s="29" t="inlineStr">
        <is>
          <t>Not assessed</t>
        </is>
      </c>
      <c r="BD618" s="29" t="inlineStr">
        <is>
          <t>Fail</t>
        </is>
      </c>
      <c r="BE618" s="29" t="inlineStr">
        <is>
          <t>Not assessed</t>
        </is>
      </c>
      <c r="BF618" s="29" t="inlineStr">
        <is>
          <t>Insufficient evidence to issue a production-readiness conclusion.</t>
        </is>
      </c>
      <c r="BG618" s="29" t="inlineStr"/>
      <c r="BH618" s="29" t="inlineStr"/>
      <c r="BI618" s="29" t="inlineStr"/>
      <c r="BJ618" s="29" t="inlineStr"/>
      <c r="BK618" s="29" t="inlineStr">
        <is>
          <t>Evidence reconciled against the reviewed source revision. No production approval is inferred from implementation or file presence.</t>
        </is>
      </c>
      <c r="BL618" s="29" t="inlineStr">
        <is>
          <t>2026-08-02</t>
        </is>
      </c>
    </row>
    <row r="619" ht="42" customHeight="1">
      <c r="A619" s="29" t="inlineStr">
        <is>
          <t>BLYP-30-026</t>
        </is>
      </c>
      <c r="B619" s="29" t="inlineStr"/>
      <c r="C619" s="29" t="inlineStr">
        <is>
          <t>Quality assurance and release readiness</t>
        </is>
      </c>
      <c r="D619" s="29" t="n">
        <v>30</v>
      </c>
      <c r="E619" s="29" t="n">
        <v>26</v>
      </c>
      <c r="F619" s="29" t="inlineStr">
        <is>
          <t>Acceptance criterion</t>
        </is>
      </c>
      <c r="G619" s="29" t="inlineStr">
        <is>
          <t>Real-device microphone tests</t>
        </is>
      </c>
      <c r="H619" s="29" t="inlineStr">
        <is>
          <t>Real-device microphone tests</t>
        </is>
      </c>
      <c r="I619" s="29" t="inlineStr">
        <is>
          <t>/home/ubuntu/blyp_product_requirements.md :: Section 30 — Quality assurance and release readiness</t>
        </is>
      </c>
      <c r="J619" s="29" t="inlineStr">
        <is>
          <t>/home/ubuntu/BLYP_COMPLETE_FEATURE_LIST.md:778</t>
        </is>
      </c>
      <c r="K619" s="29" t="inlineStr">
        <is>
          <t>Required</t>
        </is>
      </c>
      <c r="L619" s="29" t="inlineStr">
        <is>
          <t>Applicable BLYP member</t>
        </is>
      </c>
      <c r="M619" s="29" t="inlineStr">
        <is>
          <t>Production platform, service and operator controls</t>
        </is>
      </c>
      <c r="N619" s="29" t="inlineStr">
        <is>
          <t>Real-device microphone tests</t>
        </is>
      </c>
      <c r="O619" s="29" t="inlineStr">
        <is>
          <t>Not explicitly defined in the product source; requires accountable product approval before production sign-off.</t>
        </is>
      </c>
      <c r="P619" s="29" t="inlineStr"/>
      <c r="Q619" s="29" t="inlineStr">
        <is>
          <t>No evidence</t>
        </is>
      </c>
      <c r="R619" s="29" t="inlineStr"/>
      <c r="S619" s="29" t="inlineStr">
        <is>
          <t>Unknown</t>
        </is>
      </c>
      <c r="T619" s="29" t="inlineStr"/>
      <c r="U619" s="29" t="inlineStr"/>
      <c r="V619" s="29" t="inlineStr"/>
      <c r="W619" s="29" t="inlineStr"/>
      <c r="X619" s="29" t="inlineStr"/>
      <c r="Y619" s="29" t="inlineStr"/>
      <c r="Z619" s="29" t="inlineStr"/>
      <c r="AA619" s="29" t="inlineStr"/>
      <c r="AB619" s="29" t="inlineStr"/>
      <c r="AC619" s="29" t="inlineStr"/>
      <c r="AD619" s="29" t="inlineStr"/>
      <c r="AE619" s="29" t="inlineStr">
        <is>
          <t>Unknown</t>
        </is>
      </c>
      <c r="AF619" s="29" t="inlineStr"/>
      <c r="AG619" s="29" t="inlineStr">
        <is>
          <t>Unknown</t>
        </is>
      </c>
      <c r="AH619" s="29" t="inlineStr">
        <is>
          <t>Unknown</t>
        </is>
      </c>
      <c r="AI619" s="29" t="inlineStr">
        <is>
          <t>No evidence found in source code</t>
        </is>
      </c>
      <c r="AJ619" s="29" t="inlineStr">
        <is>
          <t>Unknown</t>
        </is>
      </c>
      <c r="AK619" s="29" t="inlineStr"/>
      <c r="AL619" s="29" t="inlineStr"/>
      <c r="AM619" s="29" t="inlineStr">
        <is>
          <t>EV-RUN-0012</t>
        </is>
      </c>
      <c r="AN619" s="29" t="inlineStr">
        <is>
          <t>2026-08-02</t>
        </is>
      </c>
      <c r="AO619" s="29" t="inlineStr">
        <is>
          <t>Current verification session</t>
        </is>
      </c>
      <c r="AP619" s="29" t="inlineStr">
        <is>
          <t>Unrated</t>
        </is>
      </c>
      <c r="AQ619" s="29" t="inlineStr">
        <is>
          <t>Not assessed</t>
        </is>
      </c>
      <c r="AR619" s="29" t="inlineStr">
        <is>
          <t>Not assessed</t>
        </is>
      </c>
      <c r="AS619" s="29" t="inlineStr">
        <is>
          <t>Not assessed</t>
        </is>
      </c>
      <c r="AT619" s="29" t="inlineStr">
        <is>
          <t>Not assessed</t>
        </is>
      </c>
      <c r="AU619" s="29" t="inlineStr">
        <is>
          <t>Not assessed</t>
        </is>
      </c>
      <c r="AV619" s="29" t="inlineStr">
        <is>
          <t>Not assessed</t>
        </is>
      </c>
      <c r="AW619" s="29" t="inlineStr">
        <is>
          <t>Not assessed</t>
        </is>
      </c>
      <c r="AX619" s="29" t="inlineStr">
        <is>
          <t>Not assessed</t>
        </is>
      </c>
      <c r="AY619" s="29" t="inlineStr">
        <is>
          <t>Not assessed</t>
        </is>
      </c>
      <c r="AZ619" s="29" t="inlineStr">
        <is>
          <t>Not assessed</t>
        </is>
      </c>
      <c r="BA619" s="29" t="inlineStr">
        <is>
          <t>Not assessed</t>
        </is>
      </c>
      <c r="BB619" s="29" t="inlineStr">
        <is>
          <t>Not assessed</t>
        </is>
      </c>
      <c r="BC619" s="29" t="inlineStr">
        <is>
          <t>Not assessed</t>
        </is>
      </c>
      <c r="BD619" s="29" t="inlineStr">
        <is>
          <t>Not assessed</t>
        </is>
      </c>
      <c r="BE619" s="29" t="inlineStr">
        <is>
          <t>Not assessed</t>
        </is>
      </c>
      <c r="BF619" s="29" t="inlineStr">
        <is>
          <t>Insufficient evidence to issue a production-readiness conclusion.</t>
        </is>
      </c>
      <c r="BG619" s="29" t="inlineStr"/>
      <c r="BH619" s="29" t="inlineStr"/>
      <c r="BI619" s="29" t="inlineStr"/>
      <c r="BJ619" s="29" t="inlineStr"/>
      <c r="BK619" s="29" t="inlineStr">
        <is>
          <t>Evidence reconciled against the reviewed source revision. No production approval is inferred from implementation or file presence.</t>
        </is>
      </c>
      <c r="BL619" s="29" t="inlineStr">
        <is>
          <t>2026-08-02</t>
        </is>
      </c>
    </row>
    <row r="620" ht="42" customHeight="1">
      <c r="A620" s="29" t="inlineStr">
        <is>
          <t>BLYP-30-027</t>
        </is>
      </c>
      <c r="B620" s="29" t="inlineStr"/>
      <c r="C620" s="29" t="inlineStr">
        <is>
          <t>Quality assurance and release readiness</t>
        </is>
      </c>
      <c r="D620" s="29" t="n">
        <v>30</v>
      </c>
      <c r="E620" s="29" t="n">
        <v>27</v>
      </c>
      <c r="F620" s="29" t="inlineStr">
        <is>
          <t>Acceptance criterion</t>
        </is>
      </c>
      <c r="G620" s="29" t="inlineStr">
        <is>
          <t>Real-device notification tests</t>
        </is>
      </c>
      <c r="H620" s="29" t="inlineStr">
        <is>
          <t>Real-device notification tests</t>
        </is>
      </c>
      <c r="I620" s="29" t="inlineStr">
        <is>
          <t>/home/ubuntu/blyp_product_requirements.md :: Section 30 — Quality assurance and release readiness</t>
        </is>
      </c>
      <c r="J620" s="29" t="inlineStr">
        <is>
          <t>/home/ubuntu/BLYP_COMPLETE_FEATURE_LIST.md:779</t>
        </is>
      </c>
      <c r="K620" s="29" t="inlineStr">
        <is>
          <t>Required</t>
        </is>
      </c>
      <c r="L620" s="29" t="inlineStr">
        <is>
          <t>Applicable BLYP member</t>
        </is>
      </c>
      <c r="M620" s="29" t="inlineStr">
        <is>
          <t>Production platform, service and operator controls</t>
        </is>
      </c>
      <c r="N620" s="29" t="inlineStr">
        <is>
          <t>Real-device notification tests</t>
        </is>
      </c>
      <c r="O620" s="29" t="inlineStr">
        <is>
          <t>Not explicitly defined in the product source; requires accountable product approval before production sign-off.</t>
        </is>
      </c>
      <c r="P620" s="29" t="inlineStr"/>
      <c r="Q620" s="29" t="inlineStr">
        <is>
          <t>No evidence</t>
        </is>
      </c>
      <c r="R620" s="29" t="inlineStr"/>
      <c r="S620" s="29" t="inlineStr">
        <is>
          <t>Unknown</t>
        </is>
      </c>
      <c r="T620" s="29" t="inlineStr"/>
      <c r="U620" s="29" t="inlineStr"/>
      <c r="V620" s="29" t="inlineStr"/>
      <c r="W620" s="29" t="inlineStr"/>
      <c r="X620" s="29" t="inlineStr"/>
      <c r="Y620" s="29" t="inlineStr"/>
      <c r="Z620" s="29" t="inlineStr"/>
      <c r="AA620" s="29" t="inlineStr"/>
      <c r="AB620" s="29" t="inlineStr"/>
      <c r="AC620" s="29" t="inlineStr"/>
      <c r="AD620" s="29" t="inlineStr"/>
      <c r="AE620" s="29" t="inlineStr">
        <is>
          <t>Unknown</t>
        </is>
      </c>
      <c r="AF620" s="29" t="inlineStr"/>
      <c r="AG620" s="29" t="inlineStr">
        <is>
          <t>Unknown</t>
        </is>
      </c>
      <c r="AH620" s="29" t="inlineStr">
        <is>
          <t>Unknown</t>
        </is>
      </c>
      <c r="AI620" s="29" t="inlineStr">
        <is>
          <t>No evidence found in source code</t>
        </is>
      </c>
      <c r="AJ620" s="29" t="inlineStr">
        <is>
          <t>Unknown</t>
        </is>
      </c>
      <c r="AK620" s="29" t="inlineStr"/>
      <c r="AL620" s="29" t="inlineStr"/>
      <c r="AM620" s="29" t="inlineStr">
        <is>
          <t>EV-RUN-0012</t>
        </is>
      </c>
      <c r="AN620" s="29" t="inlineStr">
        <is>
          <t>2026-08-02</t>
        </is>
      </c>
      <c r="AO620" s="29" t="inlineStr">
        <is>
          <t>Current verification session</t>
        </is>
      </c>
      <c r="AP620" s="29" t="inlineStr">
        <is>
          <t>Unrated</t>
        </is>
      </c>
      <c r="AQ620" s="29" t="inlineStr">
        <is>
          <t>Not assessed</t>
        </is>
      </c>
      <c r="AR620" s="29" t="inlineStr">
        <is>
          <t>Not assessed</t>
        </is>
      </c>
      <c r="AS620" s="29" t="inlineStr">
        <is>
          <t>Not assessed</t>
        </is>
      </c>
      <c r="AT620" s="29" t="inlineStr">
        <is>
          <t>Not assessed</t>
        </is>
      </c>
      <c r="AU620" s="29" t="inlineStr">
        <is>
          <t>Not assessed</t>
        </is>
      </c>
      <c r="AV620" s="29" t="inlineStr">
        <is>
          <t>Not assessed</t>
        </is>
      </c>
      <c r="AW620" s="29" t="inlineStr">
        <is>
          <t>Not assessed</t>
        </is>
      </c>
      <c r="AX620" s="29" t="inlineStr">
        <is>
          <t>Not assessed</t>
        </is>
      </c>
      <c r="AY620" s="29" t="inlineStr">
        <is>
          <t>Not assessed</t>
        </is>
      </c>
      <c r="AZ620" s="29" t="inlineStr">
        <is>
          <t>Not assessed</t>
        </is>
      </c>
      <c r="BA620" s="29" t="inlineStr">
        <is>
          <t>Not assessed</t>
        </is>
      </c>
      <c r="BB620" s="29" t="inlineStr">
        <is>
          <t>Not assessed</t>
        </is>
      </c>
      <c r="BC620" s="29" t="inlineStr">
        <is>
          <t>Not assessed</t>
        </is>
      </c>
      <c r="BD620" s="29" t="inlineStr">
        <is>
          <t>Not assessed</t>
        </is>
      </c>
      <c r="BE620" s="29" t="inlineStr">
        <is>
          <t>Not assessed</t>
        </is>
      </c>
      <c r="BF620" s="29" t="inlineStr">
        <is>
          <t>Insufficient evidence to issue a production-readiness conclusion.</t>
        </is>
      </c>
      <c r="BG620" s="29" t="inlineStr"/>
      <c r="BH620" s="29" t="inlineStr"/>
      <c r="BI620" s="29" t="inlineStr"/>
      <c r="BJ620" s="29" t="inlineStr"/>
      <c r="BK620" s="29" t="inlineStr">
        <is>
          <t>Evidence reconciled against the reviewed source revision. No production approval is inferred from implementation or file presence.</t>
        </is>
      </c>
      <c r="BL620" s="29" t="inlineStr">
        <is>
          <t>2026-08-02</t>
        </is>
      </c>
    </row>
    <row r="621" ht="42" customHeight="1">
      <c r="A621" s="29" t="inlineStr">
        <is>
          <t>BLYP-30-028</t>
        </is>
      </c>
      <c r="B621" s="29" t="inlineStr"/>
      <c r="C621" s="29" t="inlineStr">
        <is>
          <t>Quality assurance and release readiness</t>
        </is>
      </c>
      <c r="D621" s="29" t="n">
        <v>30</v>
      </c>
      <c r="E621" s="29" t="n">
        <v>28</v>
      </c>
      <c r="F621" s="29" t="inlineStr">
        <is>
          <t>Acceptance criterion</t>
        </is>
      </c>
      <c r="G621" s="29" t="inlineStr">
        <is>
          <t>Real-device purchase tests</t>
        </is>
      </c>
      <c r="H621" s="29" t="inlineStr">
        <is>
          <t>Real-device purchase tests</t>
        </is>
      </c>
      <c r="I621" s="29" t="inlineStr">
        <is>
          <t>/home/ubuntu/blyp_product_requirements.md :: Section 30 — Quality assurance and release readiness</t>
        </is>
      </c>
      <c r="J621" s="29" t="inlineStr">
        <is>
          <t>/home/ubuntu/BLYP_COMPLETE_FEATURE_LIST.md:780</t>
        </is>
      </c>
      <c r="K621" s="29" t="inlineStr">
        <is>
          <t>Required</t>
        </is>
      </c>
      <c r="L621" s="29" t="inlineStr">
        <is>
          <t>Applicable BLYP member</t>
        </is>
      </c>
      <c r="M621" s="29" t="inlineStr">
        <is>
          <t>Production platform, service and operator controls</t>
        </is>
      </c>
      <c r="N621" s="29" t="inlineStr">
        <is>
          <t>Real-device purchase tests</t>
        </is>
      </c>
      <c r="O621" s="29" t="inlineStr">
        <is>
          <t>Not explicitly defined in the product source; requires accountable product approval before production sign-off.</t>
        </is>
      </c>
      <c r="P621" s="29" t="inlineStr"/>
      <c r="Q621" s="29" t="inlineStr">
        <is>
          <t>No evidence</t>
        </is>
      </c>
      <c r="R621" s="29" t="inlineStr"/>
      <c r="S621" s="29" t="inlineStr">
        <is>
          <t>Unknown</t>
        </is>
      </c>
      <c r="T621" s="29" t="inlineStr"/>
      <c r="U621" s="29" t="inlineStr"/>
      <c r="V621" s="29" t="inlineStr"/>
      <c r="W621" s="29" t="inlineStr"/>
      <c r="X621" s="29" t="inlineStr"/>
      <c r="Y621" s="29" t="inlineStr"/>
      <c r="Z621" s="29" t="inlineStr"/>
      <c r="AA621" s="29" t="inlineStr"/>
      <c r="AB621" s="29" t="inlineStr"/>
      <c r="AC621" s="29" t="inlineStr"/>
      <c r="AD621" s="29" t="inlineStr"/>
      <c r="AE621" s="29" t="inlineStr">
        <is>
          <t>Unknown</t>
        </is>
      </c>
      <c r="AF621" s="29" t="inlineStr"/>
      <c r="AG621" s="29" t="inlineStr">
        <is>
          <t>Unknown</t>
        </is>
      </c>
      <c r="AH621" s="29" t="inlineStr">
        <is>
          <t>Unknown</t>
        </is>
      </c>
      <c r="AI621" s="29" t="inlineStr">
        <is>
          <t>No evidence found in source code</t>
        </is>
      </c>
      <c r="AJ621" s="29" t="inlineStr">
        <is>
          <t>Conflicting evidence</t>
        </is>
      </c>
      <c r="AK621" s="29" t="inlineStr">
        <is>
          <t>EV-RUN-0011</t>
        </is>
      </c>
      <c r="AL621" s="29" t="inlineStr"/>
      <c r="AM621" s="29" t="inlineStr">
        <is>
          <t>EV-RUN-0012</t>
        </is>
      </c>
      <c r="AN621" s="29" t="inlineStr">
        <is>
          <t>2026-08-02</t>
        </is>
      </c>
      <c r="AO621" s="29" t="inlineStr">
        <is>
          <t>Build 2026032308; report dated 2026-03-24 | Current verification session</t>
        </is>
      </c>
      <c r="AP621" s="29" t="inlineStr">
        <is>
          <t>Unrated</t>
        </is>
      </c>
      <c r="AQ621" s="29" t="inlineStr">
        <is>
          <t>Not assessed</t>
        </is>
      </c>
      <c r="AR621" s="29" t="inlineStr">
        <is>
          <t>Not assessed</t>
        </is>
      </c>
      <c r="AS621" s="29" t="inlineStr">
        <is>
          <t>Not assessed</t>
        </is>
      </c>
      <c r="AT621" s="29" t="inlineStr">
        <is>
          <t>Not assessed</t>
        </is>
      </c>
      <c r="AU621" s="29" t="inlineStr">
        <is>
          <t>Not assessed</t>
        </is>
      </c>
      <c r="AV621" s="29" t="inlineStr">
        <is>
          <t>Not assessed</t>
        </is>
      </c>
      <c r="AW621" s="29" t="inlineStr">
        <is>
          <t>Not assessed</t>
        </is>
      </c>
      <c r="AX621" s="29" t="inlineStr">
        <is>
          <t>Not assessed</t>
        </is>
      </c>
      <c r="AY621" s="29" t="inlineStr">
        <is>
          <t>Not assessed</t>
        </is>
      </c>
      <c r="AZ621" s="29" t="inlineStr">
        <is>
          <t>Not assessed</t>
        </is>
      </c>
      <c r="BA621" s="29" t="inlineStr">
        <is>
          <t>Not assessed</t>
        </is>
      </c>
      <c r="BB621" s="29" t="inlineStr">
        <is>
          <t>Not assessed</t>
        </is>
      </c>
      <c r="BC621" s="29" t="inlineStr">
        <is>
          <t>Not assessed</t>
        </is>
      </c>
      <c r="BD621" s="29" t="inlineStr">
        <is>
          <t>Fail</t>
        </is>
      </c>
      <c r="BE621" s="29" t="inlineStr">
        <is>
          <t>Not assessed</t>
        </is>
      </c>
      <c r="BF621" s="29" t="inlineStr">
        <is>
          <t>Insufficient evidence to issue a production-readiness conclusion.</t>
        </is>
      </c>
      <c r="BG621" s="29" t="inlineStr"/>
      <c r="BH621" s="29" t="inlineStr"/>
      <c r="BI621" s="29" t="inlineStr"/>
      <c r="BJ621" s="29" t="inlineStr"/>
      <c r="BK621" s="29" t="inlineStr">
        <is>
          <t>Evidence reconciled against the reviewed source revision. No production approval is inferred from implementation or file presence.</t>
        </is>
      </c>
      <c r="BL621" s="29" t="inlineStr">
        <is>
          <t>2026-08-02</t>
        </is>
      </c>
    </row>
    <row r="622" ht="42" customHeight="1">
      <c r="A622" s="29" t="inlineStr">
        <is>
          <t>BLYP-30-029</t>
        </is>
      </c>
      <c r="B622" s="29" t="inlineStr"/>
      <c r="C622" s="29" t="inlineStr">
        <is>
          <t>Quality assurance and release readiness</t>
        </is>
      </c>
      <c r="D622" s="29" t="n">
        <v>30</v>
      </c>
      <c r="E622" s="29" t="n">
        <v>29</v>
      </c>
      <c r="F622" s="29" t="inlineStr">
        <is>
          <t>Acceptance criterion</t>
        </is>
      </c>
      <c r="G622" s="29" t="inlineStr">
        <is>
          <t>Real-device live-video tests</t>
        </is>
      </c>
      <c r="H622" s="29" t="inlineStr">
        <is>
          <t>Real-device live-video tests</t>
        </is>
      </c>
      <c r="I622" s="29" t="inlineStr">
        <is>
          <t>/home/ubuntu/blyp_product_requirements.md :: Section 30 — Quality assurance and release readiness</t>
        </is>
      </c>
      <c r="J622" s="29" t="inlineStr">
        <is>
          <t>/home/ubuntu/BLYP_COMPLETE_FEATURE_LIST.md:781</t>
        </is>
      </c>
      <c r="K622" s="29" t="inlineStr">
        <is>
          <t>Required</t>
        </is>
      </c>
      <c r="L622" s="29" t="inlineStr">
        <is>
          <t>Applicable BLYP member</t>
        </is>
      </c>
      <c r="M622" s="29" t="inlineStr">
        <is>
          <t>Production platform, service and operator controls</t>
        </is>
      </c>
      <c r="N622" s="29" t="inlineStr">
        <is>
          <t>Real-device live-video tests</t>
        </is>
      </c>
      <c r="O622" s="29" t="inlineStr">
        <is>
          <t>Not explicitly defined in the product source; requires accountable product approval before production sign-off.</t>
        </is>
      </c>
      <c r="P622" s="29" t="inlineStr"/>
      <c r="Q622" s="29" t="inlineStr">
        <is>
          <t>No evidence</t>
        </is>
      </c>
      <c r="R622" s="29" t="inlineStr"/>
      <c r="S622" s="29" t="inlineStr">
        <is>
          <t>Unknown</t>
        </is>
      </c>
      <c r="T622" s="29" t="inlineStr"/>
      <c r="U622" s="29" t="inlineStr"/>
      <c r="V622" s="29" t="inlineStr"/>
      <c r="W622" s="29" t="inlineStr"/>
      <c r="X622" s="29" t="inlineStr"/>
      <c r="Y622" s="29" t="inlineStr"/>
      <c r="Z622" s="29" t="inlineStr"/>
      <c r="AA622" s="29" t="inlineStr"/>
      <c r="AB622" s="29" t="inlineStr"/>
      <c r="AC622" s="29" t="inlineStr"/>
      <c r="AD622" s="29" t="inlineStr"/>
      <c r="AE622" s="29" t="inlineStr">
        <is>
          <t>Unknown</t>
        </is>
      </c>
      <c r="AF622" s="29" t="inlineStr"/>
      <c r="AG622" s="29" t="inlineStr">
        <is>
          <t>Unknown</t>
        </is>
      </c>
      <c r="AH622" s="29" t="inlineStr">
        <is>
          <t>Unknown</t>
        </is>
      </c>
      <c r="AI622" s="29" t="inlineStr">
        <is>
          <t>No evidence found in source code</t>
        </is>
      </c>
      <c r="AJ622" s="29" t="inlineStr">
        <is>
          <t>Unknown</t>
        </is>
      </c>
      <c r="AK622" s="29" t="inlineStr"/>
      <c r="AL622" s="29" t="inlineStr"/>
      <c r="AM622" s="29" t="inlineStr"/>
      <c r="AN622" s="29" t="inlineStr"/>
      <c r="AO622" s="29" t="inlineStr">
        <is>
          <t>8bc0dcb2a1da1b21368c5536aaeef829d587f316</t>
        </is>
      </c>
      <c r="AP622" s="29" t="inlineStr">
        <is>
          <t>Unrated</t>
        </is>
      </c>
      <c r="AQ622" s="29" t="inlineStr">
        <is>
          <t>Not assessed</t>
        </is>
      </c>
      <c r="AR622" s="29" t="inlineStr">
        <is>
          <t>Not assessed</t>
        </is>
      </c>
      <c r="AS622" s="29" t="inlineStr">
        <is>
          <t>Not assessed</t>
        </is>
      </c>
      <c r="AT622" s="29" t="inlineStr">
        <is>
          <t>Not assessed</t>
        </is>
      </c>
      <c r="AU622" s="29" t="inlineStr">
        <is>
          <t>Not assessed</t>
        </is>
      </c>
      <c r="AV622" s="29" t="inlineStr">
        <is>
          <t>Not assessed</t>
        </is>
      </c>
      <c r="AW622" s="29" t="inlineStr">
        <is>
          <t>Not assessed</t>
        </is>
      </c>
      <c r="AX622" s="29" t="inlineStr">
        <is>
          <t>Not assessed</t>
        </is>
      </c>
      <c r="AY622" s="29" t="inlineStr">
        <is>
          <t>Not assessed</t>
        </is>
      </c>
      <c r="AZ622" s="29" t="inlineStr">
        <is>
          <t>Not assessed</t>
        </is>
      </c>
      <c r="BA622" s="29" t="inlineStr">
        <is>
          <t>Not assessed</t>
        </is>
      </c>
      <c r="BB622" s="29" t="inlineStr">
        <is>
          <t>Not assessed</t>
        </is>
      </c>
      <c r="BC622" s="29" t="inlineStr">
        <is>
          <t>Not assessed</t>
        </is>
      </c>
      <c r="BD622" s="29" t="inlineStr">
        <is>
          <t>Not assessed</t>
        </is>
      </c>
      <c r="BE622" s="29" t="inlineStr">
        <is>
          <t>Not assessed</t>
        </is>
      </c>
      <c r="BF622" s="29" t="inlineStr">
        <is>
          <t>Insufficient evidence to issue a production-readiness conclusion.</t>
        </is>
      </c>
      <c r="BG622" s="29" t="inlineStr"/>
      <c r="BH622" s="29" t="inlineStr"/>
      <c r="BI622" s="29" t="inlineStr"/>
      <c r="BJ622" s="29" t="inlineStr"/>
      <c r="BK622" s="29" t="inlineStr">
        <is>
          <t>Evidence reconciled against the reviewed source revision. No production approval is inferred from implementation or file presence.</t>
        </is>
      </c>
      <c r="BL622" s="29" t="inlineStr">
        <is>
          <t>2026-08-02</t>
        </is>
      </c>
    </row>
    <row r="623" ht="42" customHeight="1">
      <c r="A623" s="29" t="inlineStr">
        <is>
          <t>BLYP-30-030</t>
        </is>
      </c>
      <c r="B623" s="29" t="inlineStr"/>
      <c r="C623" s="29" t="inlineStr">
        <is>
          <t>Quality assurance and release readiness</t>
        </is>
      </c>
      <c r="D623" s="29" t="n">
        <v>30</v>
      </c>
      <c r="E623" s="29" t="n">
        <v>30</v>
      </c>
      <c r="F623" s="29" t="inlineStr">
        <is>
          <t>Acceptance criterion</t>
        </is>
      </c>
      <c r="G623" s="29" t="inlineStr">
        <is>
          <t>Security checks</t>
        </is>
      </c>
      <c r="H623" s="29" t="inlineStr">
        <is>
          <t>Security checks</t>
        </is>
      </c>
      <c r="I623" s="29" t="inlineStr">
        <is>
          <t>/home/ubuntu/blyp_product_requirements.md :: Section 30 — Quality assurance and release readiness</t>
        </is>
      </c>
      <c r="J623" s="29" t="inlineStr">
        <is>
          <t>/home/ubuntu/BLYP_COMPLETE_FEATURE_LIST.md:782</t>
        </is>
      </c>
      <c r="K623" s="29" t="inlineStr">
        <is>
          <t>Required</t>
        </is>
      </c>
      <c r="L623" s="29" t="inlineStr">
        <is>
          <t>Applicable BLYP member</t>
        </is>
      </c>
      <c r="M623" s="29" t="inlineStr">
        <is>
          <t>Production platform, service and operator controls</t>
        </is>
      </c>
      <c r="N623" s="29" t="inlineStr">
        <is>
          <t>Security checks</t>
        </is>
      </c>
      <c r="O623" s="29" t="inlineStr">
        <is>
          <t>Not explicitly defined in the product source; requires accountable product approval before production sign-off.</t>
        </is>
      </c>
      <c r="P623" s="29" t="inlineStr"/>
      <c r="Q623" s="29" t="inlineStr">
        <is>
          <t>Partial</t>
        </is>
      </c>
      <c r="R623" s="29" t="inlineStr"/>
      <c r="S623" s="29" t="inlineStr">
        <is>
          <t>Unknown</t>
        </is>
      </c>
      <c r="T623" s="29" t="inlineStr"/>
      <c r="U623" s="29" t="inlineStr"/>
      <c r="V623" s="29" t="inlineStr"/>
      <c r="W623" s="29" t="inlineStr"/>
      <c r="X623" s="29" t="inlineStr"/>
      <c r="Y623" s="29" t="inlineStr"/>
      <c r="Z623" s="29" t="inlineStr"/>
      <c r="AA623" s="29" t="inlineStr"/>
      <c r="AB623" s="29" t="inlineStr"/>
      <c r="AC623" s="29" t="inlineStr"/>
      <c r="AD623" s="29" t="inlineStr"/>
      <c r="AE623" s="29" t="inlineStr">
        <is>
          <t>Unknown</t>
        </is>
      </c>
      <c r="AF623" s="29" t="inlineStr"/>
      <c r="AG623" s="29" t="inlineStr">
        <is>
          <t>Unknown</t>
        </is>
      </c>
      <c r="AH623" s="29" t="inlineStr">
        <is>
          <t>Unknown</t>
        </is>
      </c>
      <c r="AI623" s="29" t="inlineStr">
        <is>
          <t>No evidence found in source code</t>
        </is>
      </c>
      <c r="AJ623" s="29" t="inlineStr">
        <is>
          <t>Unknown</t>
        </is>
      </c>
      <c r="AK623" s="29" t="inlineStr"/>
      <c r="AL623" s="29" t="inlineStr"/>
      <c r="AM623" s="29" t="inlineStr"/>
      <c r="AN623" s="29" t="inlineStr"/>
      <c r="AO623" s="29" t="inlineStr">
        <is>
          <t>8bc0dcb2a1da1b21368c5536aaeef829d587f316</t>
        </is>
      </c>
      <c r="AP623" s="29" t="inlineStr">
        <is>
          <t>Unrated</t>
        </is>
      </c>
      <c r="AQ623" s="29" t="inlineStr">
        <is>
          <t>Not assessed</t>
        </is>
      </c>
      <c r="AR623" s="29" t="inlineStr">
        <is>
          <t>Not assessed</t>
        </is>
      </c>
      <c r="AS623" s="29" t="inlineStr">
        <is>
          <t>Not assessed</t>
        </is>
      </c>
      <c r="AT623" s="29" t="inlineStr">
        <is>
          <t>Not assessed</t>
        </is>
      </c>
      <c r="AU623" s="29" t="inlineStr">
        <is>
          <t>Not assessed</t>
        </is>
      </c>
      <c r="AV623" s="29" t="inlineStr">
        <is>
          <t>Not assessed</t>
        </is>
      </c>
      <c r="AW623" s="29" t="inlineStr">
        <is>
          <t>Not assessed</t>
        </is>
      </c>
      <c r="AX623" s="29" t="inlineStr">
        <is>
          <t>Not assessed</t>
        </is>
      </c>
      <c r="AY623" s="29" t="inlineStr">
        <is>
          <t>Not assessed</t>
        </is>
      </c>
      <c r="AZ623" s="29" t="inlineStr">
        <is>
          <t>Not assessed</t>
        </is>
      </c>
      <c r="BA623" s="29" t="inlineStr">
        <is>
          <t>Not assessed</t>
        </is>
      </c>
      <c r="BB623" s="29" t="inlineStr">
        <is>
          <t>Not assessed</t>
        </is>
      </c>
      <c r="BC623" s="29" t="inlineStr">
        <is>
          <t>Not assessed</t>
        </is>
      </c>
      <c r="BD623" s="29" t="inlineStr">
        <is>
          <t>Not assessed</t>
        </is>
      </c>
      <c r="BE623" s="29" t="inlineStr">
        <is>
          <t>Not assessed</t>
        </is>
      </c>
      <c r="BF623" s="29" t="inlineStr">
        <is>
          <t>Insufficient evidence to issue a production-readiness conclusion.</t>
        </is>
      </c>
      <c r="BG623" s="29" t="inlineStr"/>
      <c r="BH623" s="29" t="inlineStr"/>
      <c r="BI623" s="29" t="inlineStr"/>
      <c r="BJ623" s="29" t="inlineStr"/>
      <c r="BK623" s="29" t="inlineStr">
        <is>
          <t>Evidence reconciled against the reviewed source revision. No production approval is inferred from implementation or file presence.</t>
        </is>
      </c>
      <c r="BL623" s="29" t="inlineStr">
        <is>
          <t>2026-08-02</t>
        </is>
      </c>
    </row>
    <row r="624" ht="42" customHeight="1">
      <c r="A624" s="29" t="inlineStr">
        <is>
          <t>BLYP-30-031</t>
        </is>
      </c>
      <c r="B624" s="29" t="inlineStr"/>
      <c r="C624" s="29" t="inlineStr">
        <is>
          <t>Quality assurance and release readiness</t>
        </is>
      </c>
      <c r="D624" s="29" t="n">
        <v>30</v>
      </c>
      <c r="E624" s="29" t="n">
        <v>31</v>
      </c>
      <c r="F624" s="29" t="inlineStr">
        <is>
          <t>Acceptance criterion</t>
        </is>
      </c>
      <c r="G624" s="29" t="inlineStr">
        <is>
          <t>Performance checks</t>
        </is>
      </c>
      <c r="H624" s="29" t="inlineStr">
        <is>
          <t>Performance checks</t>
        </is>
      </c>
      <c r="I624" s="29" t="inlineStr">
        <is>
          <t>/home/ubuntu/blyp_product_requirements.md :: Section 30 — Quality assurance and release readiness</t>
        </is>
      </c>
      <c r="J624" s="29" t="inlineStr">
        <is>
          <t>/home/ubuntu/BLYP_COMPLETE_FEATURE_LIST.md:783</t>
        </is>
      </c>
      <c r="K624" s="29" t="inlineStr">
        <is>
          <t>Required</t>
        </is>
      </c>
      <c r="L624" s="29" t="inlineStr">
        <is>
          <t>Applicable BLYP member</t>
        </is>
      </c>
      <c r="M624" s="29" t="inlineStr">
        <is>
          <t>Production platform, service and operator controls</t>
        </is>
      </c>
      <c r="N624" s="29" t="inlineStr">
        <is>
          <t>Performance checks</t>
        </is>
      </c>
      <c r="O624" s="29" t="inlineStr">
        <is>
          <t>Not explicitly defined in the product source; requires accountable product approval before production sign-off.</t>
        </is>
      </c>
      <c r="P624" s="29" t="inlineStr"/>
      <c r="Q624" s="29" t="inlineStr">
        <is>
          <t>Partial</t>
        </is>
      </c>
      <c r="R624" s="29" t="inlineStr"/>
      <c r="S624" s="29" t="inlineStr">
        <is>
          <t>Unknown</t>
        </is>
      </c>
      <c r="T624" s="29" t="inlineStr"/>
      <c r="U624" s="29" t="inlineStr"/>
      <c r="V624" s="29" t="inlineStr"/>
      <c r="W624" s="29" t="inlineStr"/>
      <c r="X624" s="29" t="inlineStr"/>
      <c r="Y624" s="29" t="inlineStr"/>
      <c r="Z624" s="29" t="inlineStr"/>
      <c r="AA624" s="29" t="inlineStr"/>
      <c r="AB624" s="29" t="inlineStr"/>
      <c r="AC624" s="29" t="inlineStr"/>
      <c r="AD624" s="29" t="inlineStr"/>
      <c r="AE624" s="29" t="inlineStr">
        <is>
          <t>Unknown</t>
        </is>
      </c>
      <c r="AF624" s="29" t="inlineStr"/>
      <c r="AG624" s="29" t="inlineStr">
        <is>
          <t>Unknown</t>
        </is>
      </c>
      <c r="AH624" s="29" t="inlineStr">
        <is>
          <t>Unknown</t>
        </is>
      </c>
      <c r="AI624" s="29" t="inlineStr">
        <is>
          <t>No evidence found in source code</t>
        </is>
      </c>
      <c r="AJ624" s="29" t="inlineStr">
        <is>
          <t>Unknown</t>
        </is>
      </c>
      <c r="AK624" s="29" t="inlineStr"/>
      <c r="AL624" s="29" t="inlineStr"/>
      <c r="AM624" s="29" t="inlineStr"/>
      <c r="AN624" s="29" t="inlineStr"/>
      <c r="AO624" s="29" t="inlineStr">
        <is>
          <t>8bc0dcb2a1da1b21368c5536aaeef829d587f316</t>
        </is>
      </c>
      <c r="AP624" s="29" t="inlineStr">
        <is>
          <t>Unrated</t>
        </is>
      </c>
      <c r="AQ624" s="29" t="inlineStr">
        <is>
          <t>Not assessed</t>
        </is>
      </c>
      <c r="AR624" s="29" t="inlineStr">
        <is>
          <t>Not assessed</t>
        </is>
      </c>
      <c r="AS624" s="29" t="inlineStr">
        <is>
          <t>Not assessed</t>
        </is>
      </c>
      <c r="AT624" s="29" t="inlineStr">
        <is>
          <t>Not assessed</t>
        </is>
      </c>
      <c r="AU624" s="29" t="inlineStr">
        <is>
          <t>Not assessed</t>
        </is>
      </c>
      <c r="AV624" s="29" t="inlineStr">
        <is>
          <t>Not assessed</t>
        </is>
      </c>
      <c r="AW624" s="29" t="inlineStr">
        <is>
          <t>Not assessed</t>
        </is>
      </c>
      <c r="AX624" s="29" t="inlineStr">
        <is>
          <t>Not assessed</t>
        </is>
      </c>
      <c r="AY624" s="29" t="inlineStr">
        <is>
          <t>Not assessed</t>
        </is>
      </c>
      <c r="AZ624" s="29" t="inlineStr">
        <is>
          <t>Not assessed</t>
        </is>
      </c>
      <c r="BA624" s="29" t="inlineStr">
        <is>
          <t>Not assessed</t>
        </is>
      </c>
      <c r="BB624" s="29" t="inlineStr">
        <is>
          <t>Not assessed</t>
        </is>
      </c>
      <c r="BC624" s="29" t="inlineStr">
        <is>
          <t>Not assessed</t>
        </is>
      </c>
      <c r="BD624" s="29" t="inlineStr">
        <is>
          <t>Not assessed</t>
        </is>
      </c>
      <c r="BE624" s="29" t="inlineStr">
        <is>
          <t>Not assessed</t>
        </is>
      </c>
      <c r="BF624" s="29" t="inlineStr">
        <is>
          <t>Insufficient evidence to issue a production-readiness conclusion.</t>
        </is>
      </c>
      <c r="BG624" s="29" t="inlineStr"/>
      <c r="BH624" s="29" t="inlineStr"/>
      <c r="BI624" s="29" t="inlineStr"/>
      <c r="BJ624" s="29" t="inlineStr"/>
      <c r="BK624" s="29" t="inlineStr">
        <is>
          <t>Evidence reconciled against the reviewed source revision. No production approval is inferred from implementation or file presence.</t>
        </is>
      </c>
      <c r="BL624" s="29" t="inlineStr">
        <is>
          <t>2026-08-02</t>
        </is>
      </c>
    </row>
    <row r="625" ht="42" customHeight="1">
      <c r="A625" s="29" t="inlineStr">
        <is>
          <t>BLYP-30-032</t>
        </is>
      </c>
      <c r="B625" s="29" t="inlineStr"/>
      <c r="C625" s="29" t="inlineStr">
        <is>
          <t>Quality assurance and release readiness</t>
        </is>
      </c>
      <c r="D625" s="29" t="n">
        <v>30</v>
      </c>
      <c r="E625" s="29" t="n">
        <v>32</v>
      </c>
      <c r="F625" s="29" t="inlineStr">
        <is>
          <t>Acceptance criterion</t>
        </is>
      </c>
      <c r="G625" s="29" t="inlineStr">
        <is>
          <t>Database-restoration tests</t>
        </is>
      </c>
      <c r="H625" s="29" t="inlineStr">
        <is>
          <t>Database-restoration tests</t>
        </is>
      </c>
      <c r="I625" s="29" t="inlineStr">
        <is>
          <t>/home/ubuntu/blyp_product_requirements.md :: Section 30 — Quality assurance and release readiness</t>
        </is>
      </c>
      <c r="J625" s="29" t="inlineStr">
        <is>
          <t>/home/ubuntu/BLYP_COMPLETE_FEATURE_LIST.md:784</t>
        </is>
      </c>
      <c r="K625" s="29" t="inlineStr">
        <is>
          <t>Required</t>
        </is>
      </c>
      <c r="L625" s="29" t="inlineStr">
        <is>
          <t>Applicable BLYP member</t>
        </is>
      </c>
      <c r="M625" s="29" t="inlineStr">
        <is>
          <t>Production platform, service and operator controls</t>
        </is>
      </c>
      <c r="N625" s="29" t="inlineStr">
        <is>
          <t>Database-restoration tests</t>
        </is>
      </c>
      <c r="O625" s="29" t="inlineStr">
        <is>
          <t>Not explicitly defined in the product source; requires accountable product approval before production sign-off.</t>
        </is>
      </c>
      <c r="P625" s="29" t="inlineStr"/>
      <c r="Q625" s="29" t="inlineStr">
        <is>
          <t>Partial</t>
        </is>
      </c>
      <c r="R625" s="29" t="inlineStr"/>
      <c r="S625" s="29" t="inlineStr">
        <is>
          <t>Unknown</t>
        </is>
      </c>
      <c r="T625" s="29" t="inlineStr"/>
      <c r="U625" s="29" t="inlineStr"/>
      <c r="V625" s="29" t="inlineStr"/>
      <c r="W625" s="29" t="inlineStr"/>
      <c r="X625" s="29" t="inlineStr"/>
      <c r="Y625" s="29" t="inlineStr"/>
      <c r="Z625" s="29" t="inlineStr"/>
      <c r="AA625" s="29" t="inlineStr"/>
      <c r="AB625" s="29" t="inlineStr"/>
      <c r="AC625" s="29" t="inlineStr"/>
      <c r="AD625" s="29" t="inlineStr"/>
      <c r="AE625" s="29" t="inlineStr">
        <is>
          <t>Unknown</t>
        </is>
      </c>
      <c r="AF625" s="29" t="inlineStr"/>
      <c r="AG625" s="29" t="inlineStr">
        <is>
          <t>Unknown</t>
        </is>
      </c>
      <c r="AH625" s="29" t="inlineStr">
        <is>
          <t>Unknown</t>
        </is>
      </c>
      <c r="AI625" s="29" t="inlineStr">
        <is>
          <t>No evidence found in source code</t>
        </is>
      </c>
      <c r="AJ625" s="29" t="inlineStr">
        <is>
          <t>Unknown</t>
        </is>
      </c>
      <c r="AK625" s="29" t="inlineStr"/>
      <c r="AL625" s="29" t="inlineStr"/>
      <c r="AM625" s="29" t="inlineStr"/>
      <c r="AN625" s="29" t="inlineStr"/>
      <c r="AO625" s="29" t="inlineStr">
        <is>
          <t>8bc0dcb2a1da1b21368c5536aaeef829d587f316</t>
        </is>
      </c>
      <c r="AP625" s="29" t="inlineStr">
        <is>
          <t>Unrated</t>
        </is>
      </c>
      <c r="AQ625" s="29" t="inlineStr">
        <is>
          <t>Not assessed</t>
        </is>
      </c>
      <c r="AR625" s="29" t="inlineStr">
        <is>
          <t>Not assessed</t>
        </is>
      </c>
      <c r="AS625" s="29" t="inlineStr">
        <is>
          <t>Not assessed</t>
        </is>
      </c>
      <c r="AT625" s="29" t="inlineStr">
        <is>
          <t>Not assessed</t>
        </is>
      </c>
      <c r="AU625" s="29" t="inlineStr">
        <is>
          <t>Not assessed</t>
        </is>
      </c>
      <c r="AV625" s="29" t="inlineStr">
        <is>
          <t>Not assessed</t>
        </is>
      </c>
      <c r="AW625" s="29" t="inlineStr">
        <is>
          <t>Not assessed</t>
        </is>
      </c>
      <c r="AX625" s="29" t="inlineStr">
        <is>
          <t>Not assessed</t>
        </is>
      </c>
      <c r="AY625" s="29" t="inlineStr">
        <is>
          <t>Not assessed</t>
        </is>
      </c>
      <c r="AZ625" s="29" t="inlineStr">
        <is>
          <t>Not assessed</t>
        </is>
      </c>
      <c r="BA625" s="29" t="inlineStr">
        <is>
          <t>Not assessed</t>
        </is>
      </c>
      <c r="BB625" s="29" t="inlineStr">
        <is>
          <t>Not assessed</t>
        </is>
      </c>
      <c r="BC625" s="29" t="inlineStr">
        <is>
          <t>Not assessed</t>
        </is>
      </c>
      <c r="BD625" s="29" t="inlineStr">
        <is>
          <t>Not assessed</t>
        </is>
      </c>
      <c r="BE625" s="29" t="inlineStr">
        <is>
          <t>Not assessed</t>
        </is>
      </c>
      <c r="BF625" s="29" t="inlineStr">
        <is>
          <t>Insufficient evidence to issue a production-readiness conclusion.</t>
        </is>
      </c>
      <c r="BG625" s="29" t="inlineStr"/>
      <c r="BH625" s="29" t="inlineStr"/>
      <c r="BI625" s="29" t="inlineStr"/>
      <c r="BJ625" s="29" t="inlineStr"/>
      <c r="BK625" s="29" t="inlineStr">
        <is>
          <t>Evidence reconciled against the reviewed source revision. No production approval is inferred from implementation or file presence.</t>
        </is>
      </c>
      <c r="BL625" s="29" t="inlineStr">
        <is>
          <t>2026-08-02</t>
        </is>
      </c>
    </row>
    <row r="626" ht="42" customHeight="1">
      <c r="A626" s="29" t="inlineStr">
        <is>
          <t>BLYP-30-033</t>
        </is>
      </c>
      <c r="B626" s="29" t="inlineStr"/>
      <c r="C626" s="29" t="inlineStr">
        <is>
          <t>Quality assurance and release readiness</t>
        </is>
      </c>
      <c r="D626" s="29" t="n">
        <v>30</v>
      </c>
      <c r="E626" s="29" t="n">
        <v>33</v>
      </c>
      <c r="F626" s="29" t="inlineStr">
        <is>
          <t>Feature</t>
        </is>
      </c>
      <c r="G626" s="29" t="inlineStr">
        <is>
          <t>Staged rollout controls</t>
        </is>
      </c>
      <c r="H626" s="29" t="inlineStr">
        <is>
          <t>Staged rollout controls</t>
        </is>
      </c>
      <c r="I626" s="29" t="inlineStr">
        <is>
          <t>/home/ubuntu/blyp_product_requirements.md :: Section 30 — Quality assurance and release readiness</t>
        </is>
      </c>
      <c r="J626" s="29" t="inlineStr">
        <is>
          <t>/home/ubuntu/BLYP_COMPLETE_FEATURE_LIST.md:785</t>
        </is>
      </c>
      <c r="K626" s="29" t="inlineStr">
        <is>
          <t>Required</t>
        </is>
      </c>
      <c r="L626" s="29" t="inlineStr">
        <is>
          <t>Applicable BLYP member</t>
        </is>
      </c>
      <c r="M626" s="29" t="inlineStr">
        <is>
          <t>Production platform, service and operator controls</t>
        </is>
      </c>
      <c r="N626" s="29" t="inlineStr">
        <is>
          <t>Staged rollout controls</t>
        </is>
      </c>
      <c r="O626" s="29" t="inlineStr">
        <is>
          <t>Not explicitly defined in the product source; requires accountable product approval before production sign-off.</t>
        </is>
      </c>
      <c r="P626" s="29" t="inlineStr"/>
      <c r="Q626" s="29" t="inlineStr">
        <is>
          <t>Yes</t>
        </is>
      </c>
      <c r="R626" s="29" t="inlineStr"/>
      <c r="S626" s="29" t="inlineStr">
        <is>
          <t>Unknown</t>
        </is>
      </c>
      <c r="T626" s="29" t="inlineStr"/>
      <c r="U626" s="29" t="inlineStr"/>
      <c r="V626" s="29" t="inlineStr"/>
      <c r="W626" s="29" t="inlineStr"/>
      <c r="X626" s="29" t="inlineStr"/>
      <c r="Y626" s="29" t="inlineStr"/>
      <c r="Z626" s="29" t="inlineStr"/>
      <c r="AA626" s="29" t="inlineStr"/>
      <c r="AB626" s="29" t="inlineStr"/>
      <c r="AC626" s="29" t="inlineStr"/>
      <c r="AD626" s="29" t="inlineStr"/>
      <c r="AE626" s="29" t="inlineStr">
        <is>
          <t>Unknown</t>
        </is>
      </c>
      <c r="AF626" s="29" t="inlineStr"/>
      <c r="AG626" s="29" t="inlineStr">
        <is>
          <t>Unknown</t>
        </is>
      </c>
      <c r="AH626" s="29" t="inlineStr">
        <is>
          <t>Unknown</t>
        </is>
      </c>
      <c r="AI626" s="29" t="inlineStr">
        <is>
          <t>No evidence found in source code</t>
        </is>
      </c>
      <c r="AJ626" s="29" t="inlineStr">
        <is>
          <t>Unknown</t>
        </is>
      </c>
      <c r="AK626" s="29" t="inlineStr"/>
      <c r="AL626" s="29" t="inlineStr"/>
      <c r="AM626" s="29" t="inlineStr"/>
      <c r="AN626" s="29" t="inlineStr"/>
      <c r="AO626" s="29" t="inlineStr">
        <is>
          <t>8bc0dcb2a1da1b21368c5536aaeef829d587f316</t>
        </is>
      </c>
      <c r="AP626" s="29" t="inlineStr">
        <is>
          <t>Unrated</t>
        </is>
      </c>
      <c r="AQ626" s="29" t="inlineStr">
        <is>
          <t>Not assessed</t>
        </is>
      </c>
      <c r="AR626" s="29" t="inlineStr">
        <is>
          <t>Not assessed</t>
        </is>
      </c>
      <c r="AS626" s="29" t="inlineStr">
        <is>
          <t>Not assessed</t>
        </is>
      </c>
      <c r="AT626" s="29" t="inlineStr">
        <is>
          <t>Not assessed</t>
        </is>
      </c>
      <c r="AU626" s="29" t="inlineStr">
        <is>
          <t>Not assessed</t>
        </is>
      </c>
      <c r="AV626" s="29" t="inlineStr">
        <is>
          <t>Not assessed</t>
        </is>
      </c>
      <c r="AW626" s="29" t="inlineStr">
        <is>
          <t>Not assessed</t>
        </is>
      </c>
      <c r="AX626" s="29" t="inlineStr">
        <is>
          <t>Not assessed</t>
        </is>
      </c>
      <c r="AY626" s="29" t="inlineStr">
        <is>
          <t>Not assessed</t>
        </is>
      </c>
      <c r="AZ626" s="29" t="inlineStr">
        <is>
          <t>Not assessed</t>
        </is>
      </c>
      <c r="BA626" s="29" t="inlineStr">
        <is>
          <t>Not assessed</t>
        </is>
      </c>
      <c r="BB626" s="29" t="inlineStr">
        <is>
          <t>Not assessed</t>
        </is>
      </c>
      <c r="BC626" s="29" t="inlineStr">
        <is>
          <t>Not assessed</t>
        </is>
      </c>
      <c r="BD626" s="29" t="inlineStr">
        <is>
          <t>Not assessed</t>
        </is>
      </c>
      <c r="BE626" s="29" t="inlineStr">
        <is>
          <t>Not assessed</t>
        </is>
      </c>
      <c r="BF626" s="29" t="inlineStr">
        <is>
          <t>Insufficient evidence to issue a production-readiness conclusion.</t>
        </is>
      </c>
      <c r="BG626" s="29" t="inlineStr"/>
      <c r="BH626" s="29" t="inlineStr"/>
      <c r="BI626" s="29" t="inlineStr"/>
      <c r="BJ626" s="29" t="inlineStr"/>
      <c r="BK626" s="29" t="inlineStr">
        <is>
          <t>Evidence reconciled against the reviewed source revision. No production approval is inferred from implementation or file presence.</t>
        </is>
      </c>
      <c r="BL626" s="29" t="inlineStr">
        <is>
          <t>2026-08-02</t>
        </is>
      </c>
    </row>
    <row r="627" ht="42" customHeight="1">
      <c r="A627" s="29" t="inlineStr">
        <is>
          <t>BLYP-30-034</t>
        </is>
      </c>
      <c r="B627" s="29" t="inlineStr"/>
      <c r="C627" s="29" t="inlineStr">
        <is>
          <t>Quality assurance and release readiness</t>
        </is>
      </c>
      <c r="D627" s="29" t="n">
        <v>30</v>
      </c>
      <c r="E627" s="29" t="n">
        <v>34</v>
      </c>
      <c r="F627" s="29" t="inlineStr">
        <is>
          <t>Operational requirement</t>
        </is>
      </c>
      <c r="G627" s="29" t="inlineStr">
        <is>
          <t>Monitoring controls</t>
        </is>
      </c>
      <c r="H627" s="29" t="inlineStr">
        <is>
          <t>Monitoring controls</t>
        </is>
      </c>
      <c r="I627" s="29" t="inlineStr">
        <is>
          <t>/home/ubuntu/blyp_product_requirements.md :: Section 30 — Quality assurance and release readiness</t>
        </is>
      </c>
      <c r="J627" s="29" t="inlineStr">
        <is>
          <t>/home/ubuntu/BLYP_COMPLETE_FEATURE_LIST.md:786</t>
        </is>
      </c>
      <c r="K627" s="29" t="inlineStr">
        <is>
          <t>Required</t>
        </is>
      </c>
      <c r="L627" s="29" t="inlineStr">
        <is>
          <t>Authorized operator or accountable service owner</t>
        </is>
      </c>
      <c r="M627" s="29" t="inlineStr">
        <is>
          <t>Production platform and operations</t>
        </is>
      </c>
      <c r="N627" s="29" t="inlineStr">
        <is>
          <t>Monitoring controls</t>
        </is>
      </c>
      <c r="O627" s="29" t="inlineStr">
        <is>
          <t>Not explicitly defined in the product source; requires accountable product approval before production sign-off.</t>
        </is>
      </c>
      <c r="P627" s="29" t="inlineStr"/>
      <c r="Q627" s="29" t="inlineStr">
        <is>
          <t>Partial</t>
        </is>
      </c>
      <c r="R627" s="29" t="inlineStr"/>
      <c r="S627" s="29" t="inlineStr">
        <is>
          <t>Unknown</t>
        </is>
      </c>
      <c r="T627" s="29" t="inlineStr"/>
      <c r="U627" s="29" t="inlineStr"/>
      <c r="V627" s="29" t="inlineStr"/>
      <c r="W627" s="29" t="inlineStr"/>
      <c r="X627" s="29" t="inlineStr"/>
      <c r="Y627" s="29" t="inlineStr"/>
      <c r="Z627" s="29" t="inlineStr"/>
      <c r="AA627" s="29" t="inlineStr"/>
      <c r="AB627" s="29" t="inlineStr"/>
      <c r="AC627" s="29" t="inlineStr"/>
      <c r="AD627" s="29" t="inlineStr"/>
      <c r="AE627" s="29" t="inlineStr">
        <is>
          <t>Unknown</t>
        </is>
      </c>
      <c r="AF627" s="29" t="inlineStr"/>
      <c r="AG627" s="29" t="inlineStr">
        <is>
          <t>Unknown</t>
        </is>
      </c>
      <c r="AH627" s="29" t="inlineStr">
        <is>
          <t>Unknown</t>
        </is>
      </c>
      <c r="AI627" s="29" t="inlineStr">
        <is>
          <t>No evidence found in source code</t>
        </is>
      </c>
      <c r="AJ627" s="29" t="inlineStr">
        <is>
          <t>Unknown</t>
        </is>
      </c>
      <c r="AK627" s="29" t="inlineStr"/>
      <c r="AL627" s="29" t="inlineStr"/>
      <c r="AM627" s="29" t="inlineStr"/>
      <c r="AN627" s="29" t="inlineStr"/>
      <c r="AO627" s="29" t="inlineStr">
        <is>
          <t>8bc0dcb2a1da1b21368c5536aaeef829d587f316</t>
        </is>
      </c>
      <c r="AP627" s="29" t="inlineStr">
        <is>
          <t>Unrated</t>
        </is>
      </c>
      <c r="AQ627" s="29" t="inlineStr">
        <is>
          <t>Not assessed</t>
        </is>
      </c>
      <c r="AR627" s="29" t="inlineStr">
        <is>
          <t>Not assessed</t>
        </is>
      </c>
      <c r="AS627" s="29" t="inlineStr">
        <is>
          <t>Not assessed</t>
        </is>
      </c>
      <c r="AT627" s="29" t="inlineStr">
        <is>
          <t>Not assessed</t>
        </is>
      </c>
      <c r="AU627" s="29" t="inlineStr">
        <is>
          <t>Not assessed</t>
        </is>
      </c>
      <c r="AV627" s="29" t="inlineStr">
        <is>
          <t>Not assessed</t>
        </is>
      </c>
      <c r="AW627" s="29" t="inlineStr">
        <is>
          <t>Not assessed</t>
        </is>
      </c>
      <c r="AX627" s="29" t="inlineStr">
        <is>
          <t>Not assessed</t>
        </is>
      </c>
      <c r="AY627" s="29" t="inlineStr">
        <is>
          <t>Not assessed</t>
        </is>
      </c>
      <c r="AZ627" s="29" t="inlineStr">
        <is>
          <t>Not assessed</t>
        </is>
      </c>
      <c r="BA627" s="29" t="inlineStr">
        <is>
          <t>Not assessed</t>
        </is>
      </c>
      <c r="BB627" s="29" t="inlineStr">
        <is>
          <t>Not assessed</t>
        </is>
      </c>
      <c r="BC627" s="29" t="inlineStr">
        <is>
          <t>Not assessed</t>
        </is>
      </c>
      <c r="BD627" s="29" t="inlineStr">
        <is>
          <t>Not assessed</t>
        </is>
      </c>
      <c r="BE627" s="29" t="inlineStr">
        <is>
          <t>Not assessed</t>
        </is>
      </c>
      <c r="BF627" s="29" t="inlineStr">
        <is>
          <t>Insufficient evidence to issue a production-readiness conclusion.</t>
        </is>
      </c>
      <c r="BG627" s="29" t="inlineStr"/>
      <c r="BH627" s="29" t="inlineStr"/>
      <c r="BI627" s="29" t="inlineStr"/>
      <c r="BJ627" s="29" t="inlineStr"/>
      <c r="BK627" s="29" t="inlineStr">
        <is>
          <t>Evidence reconciled against the reviewed source revision. No production approval is inferred from implementation or file presence.</t>
        </is>
      </c>
      <c r="BL627" s="29" t="inlineStr">
        <is>
          <t>2026-08-02</t>
        </is>
      </c>
    </row>
    <row r="628" ht="42" customHeight="1">
      <c r="A628" s="29" t="inlineStr">
        <is>
          <t>BLYP-30-035</t>
        </is>
      </c>
      <c r="B628" s="29" t="inlineStr"/>
      <c r="C628" s="29" t="inlineStr">
        <is>
          <t>Quality assurance and release readiness</t>
        </is>
      </c>
      <c r="D628" s="29" t="n">
        <v>30</v>
      </c>
      <c r="E628" s="29" t="n">
        <v>35</v>
      </c>
      <c r="F628" s="29" t="inlineStr">
        <is>
          <t>Operational requirement</t>
        </is>
      </c>
      <c r="G628" s="29" t="inlineStr">
        <is>
          <t>Stop controls</t>
        </is>
      </c>
      <c r="H628" s="29" t="inlineStr">
        <is>
          <t>Stop controls</t>
        </is>
      </c>
      <c r="I628" s="29" t="inlineStr">
        <is>
          <t>/home/ubuntu/blyp_product_requirements.md :: Section 30 — Quality assurance and release readiness</t>
        </is>
      </c>
      <c r="J628" s="29" t="inlineStr">
        <is>
          <t>/home/ubuntu/BLYP_COMPLETE_FEATURE_LIST.md:787</t>
        </is>
      </c>
      <c r="K628" s="29" t="inlineStr">
        <is>
          <t>Required</t>
        </is>
      </c>
      <c r="L628" s="29" t="inlineStr">
        <is>
          <t>Authorized operator or accountable service owner</t>
        </is>
      </c>
      <c r="M628" s="29" t="inlineStr">
        <is>
          <t>Production platform and operations</t>
        </is>
      </c>
      <c r="N628" s="29" t="inlineStr">
        <is>
          <t>Stop controls</t>
        </is>
      </c>
      <c r="O628" s="29" t="inlineStr">
        <is>
          <t>Not explicitly defined in the product source; requires accountable product approval before production sign-off.</t>
        </is>
      </c>
      <c r="P628" s="29" t="inlineStr"/>
      <c r="Q628" s="29" t="inlineStr">
        <is>
          <t>Yes</t>
        </is>
      </c>
      <c r="R628" s="29" t="inlineStr"/>
      <c r="S628" s="29" t="inlineStr">
        <is>
          <t>Unknown</t>
        </is>
      </c>
      <c r="T628" s="29" t="inlineStr"/>
      <c r="U628" s="29" t="inlineStr"/>
      <c r="V628" s="29" t="inlineStr"/>
      <c r="W628" s="29" t="inlineStr"/>
      <c r="X628" s="29" t="inlineStr"/>
      <c r="Y628" s="29" t="inlineStr"/>
      <c r="Z628" s="29" t="inlineStr"/>
      <c r="AA628" s="29" t="inlineStr"/>
      <c r="AB628" s="29" t="inlineStr"/>
      <c r="AC628" s="29" t="inlineStr"/>
      <c r="AD628" s="29" t="inlineStr"/>
      <c r="AE628" s="29" t="inlineStr">
        <is>
          <t>Unknown</t>
        </is>
      </c>
      <c r="AF628" s="29" t="inlineStr"/>
      <c r="AG628" s="29" t="inlineStr">
        <is>
          <t>Unknown</t>
        </is>
      </c>
      <c r="AH628" s="29" t="inlineStr">
        <is>
          <t>Unknown</t>
        </is>
      </c>
      <c r="AI628" s="29" t="inlineStr">
        <is>
          <t>No evidence found in source code</t>
        </is>
      </c>
      <c r="AJ628" s="29" t="inlineStr">
        <is>
          <t>Unknown</t>
        </is>
      </c>
      <c r="AK628" s="29" t="inlineStr"/>
      <c r="AL628" s="29" t="inlineStr"/>
      <c r="AM628" s="29" t="inlineStr"/>
      <c r="AN628" s="29" t="inlineStr"/>
      <c r="AO628" s="29" t="inlineStr">
        <is>
          <t>8bc0dcb2a1da1b21368c5536aaeef829d587f316</t>
        </is>
      </c>
      <c r="AP628" s="29" t="inlineStr">
        <is>
          <t>Unrated</t>
        </is>
      </c>
      <c r="AQ628" s="29" t="inlineStr">
        <is>
          <t>Not assessed</t>
        </is>
      </c>
      <c r="AR628" s="29" t="inlineStr">
        <is>
          <t>Not assessed</t>
        </is>
      </c>
      <c r="AS628" s="29" t="inlineStr">
        <is>
          <t>Not assessed</t>
        </is>
      </c>
      <c r="AT628" s="29" t="inlineStr">
        <is>
          <t>Not assessed</t>
        </is>
      </c>
      <c r="AU628" s="29" t="inlineStr">
        <is>
          <t>Not assessed</t>
        </is>
      </c>
      <c r="AV628" s="29" t="inlineStr">
        <is>
          <t>Not assessed</t>
        </is>
      </c>
      <c r="AW628" s="29" t="inlineStr">
        <is>
          <t>Not assessed</t>
        </is>
      </c>
      <c r="AX628" s="29" t="inlineStr">
        <is>
          <t>Not assessed</t>
        </is>
      </c>
      <c r="AY628" s="29" t="inlineStr">
        <is>
          <t>Not assessed</t>
        </is>
      </c>
      <c r="AZ628" s="29" t="inlineStr">
        <is>
          <t>Not assessed</t>
        </is>
      </c>
      <c r="BA628" s="29" t="inlineStr">
        <is>
          <t>Not assessed</t>
        </is>
      </c>
      <c r="BB628" s="29" t="inlineStr">
        <is>
          <t>Not assessed</t>
        </is>
      </c>
      <c r="BC628" s="29" t="inlineStr">
        <is>
          <t>Not assessed</t>
        </is>
      </c>
      <c r="BD628" s="29" t="inlineStr">
        <is>
          <t>Not assessed</t>
        </is>
      </c>
      <c r="BE628" s="29" t="inlineStr">
        <is>
          <t>Not assessed</t>
        </is>
      </c>
      <c r="BF628" s="29" t="inlineStr">
        <is>
          <t>Insufficient evidence to issue a production-readiness conclusion.</t>
        </is>
      </c>
      <c r="BG628" s="29" t="inlineStr"/>
      <c r="BH628" s="29" t="inlineStr"/>
      <c r="BI628" s="29" t="inlineStr"/>
      <c r="BJ628" s="29" t="inlineStr"/>
      <c r="BK628" s="29" t="inlineStr">
        <is>
          <t>Evidence reconciled against the reviewed source revision. No production approval is inferred from implementation or file presence.</t>
        </is>
      </c>
      <c r="BL628" s="29" t="inlineStr">
        <is>
          <t>2026-08-02</t>
        </is>
      </c>
    </row>
    <row r="629" ht="42" customHeight="1">
      <c r="A629" s="29" t="inlineStr">
        <is>
          <t>BLYP-30-036</t>
        </is>
      </c>
      <c r="B629" s="29" t="inlineStr"/>
      <c r="C629" s="29" t="inlineStr">
        <is>
          <t>Quality assurance and release readiness</t>
        </is>
      </c>
      <c r="D629" s="29" t="n">
        <v>30</v>
      </c>
      <c r="E629" s="29" t="n">
        <v>36</v>
      </c>
      <c r="F629" s="29" t="inlineStr">
        <is>
          <t>Operational requirement</t>
        </is>
      </c>
      <c r="G629" s="29" t="inlineStr">
        <is>
          <t>Rollback controls</t>
        </is>
      </c>
      <c r="H629" s="29" t="inlineStr">
        <is>
          <t>Rollback controls</t>
        </is>
      </c>
      <c r="I629" s="29" t="inlineStr">
        <is>
          <t>/home/ubuntu/blyp_product_requirements.md :: Section 30 — Quality assurance and release readiness</t>
        </is>
      </c>
      <c r="J629" s="29" t="inlineStr">
        <is>
          <t>/home/ubuntu/BLYP_COMPLETE_FEATURE_LIST.md:788</t>
        </is>
      </c>
      <c r="K629" s="29" t="inlineStr">
        <is>
          <t>Required</t>
        </is>
      </c>
      <c r="L629" s="29" t="inlineStr">
        <is>
          <t>Authorized operator or accountable service owner</t>
        </is>
      </c>
      <c r="M629" s="29" t="inlineStr">
        <is>
          <t>Production platform and operations</t>
        </is>
      </c>
      <c r="N629" s="29" t="inlineStr">
        <is>
          <t>Rollback controls</t>
        </is>
      </c>
      <c r="O629" s="29" t="inlineStr">
        <is>
          <t>Not explicitly defined in the product source; requires accountable product approval before production sign-off.</t>
        </is>
      </c>
      <c r="P629" s="29" t="inlineStr"/>
      <c r="Q629" s="29" t="inlineStr">
        <is>
          <t>Yes</t>
        </is>
      </c>
      <c r="R629" s="29" t="inlineStr"/>
      <c r="S629" s="29" t="inlineStr">
        <is>
          <t>Unknown</t>
        </is>
      </c>
      <c r="T629" s="29" t="inlineStr"/>
      <c r="U629" s="29" t="inlineStr"/>
      <c r="V629" s="29" t="inlineStr"/>
      <c r="W629" s="29" t="inlineStr"/>
      <c r="X629" s="29" t="inlineStr"/>
      <c r="Y629" s="29" t="inlineStr"/>
      <c r="Z629" s="29" t="inlineStr"/>
      <c r="AA629" s="29" t="inlineStr"/>
      <c r="AB629" s="29" t="inlineStr"/>
      <c r="AC629" s="29" t="inlineStr"/>
      <c r="AD629" s="29" t="inlineStr"/>
      <c r="AE629" s="29" t="inlineStr">
        <is>
          <t>Unknown</t>
        </is>
      </c>
      <c r="AF629" s="29" t="inlineStr"/>
      <c r="AG629" s="29" t="inlineStr">
        <is>
          <t>Unknown</t>
        </is>
      </c>
      <c r="AH629" s="29" t="inlineStr">
        <is>
          <t>Unknown</t>
        </is>
      </c>
      <c r="AI629" s="29" t="inlineStr">
        <is>
          <t>No evidence found in source code</t>
        </is>
      </c>
      <c r="AJ629" s="29" t="inlineStr">
        <is>
          <t>Unknown</t>
        </is>
      </c>
      <c r="AK629" s="29" t="inlineStr"/>
      <c r="AL629" s="29" t="inlineStr"/>
      <c r="AM629" s="29" t="inlineStr"/>
      <c r="AN629" s="29" t="inlineStr"/>
      <c r="AO629" s="29" t="inlineStr">
        <is>
          <t>8bc0dcb2a1da1b21368c5536aaeef829d587f316</t>
        </is>
      </c>
      <c r="AP629" s="29" t="inlineStr">
        <is>
          <t>Unrated</t>
        </is>
      </c>
      <c r="AQ629" s="29" t="inlineStr">
        <is>
          <t>Not assessed</t>
        </is>
      </c>
      <c r="AR629" s="29" t="inlineStr">
        <is>
          <t>Not assessed</t>
        </is>
      </c>
      <c r="AS629" s="29" t="inlineStr">
        <is>
          <t>Not assessed</t>
        </is>
      </c>
      <c r="AT629" s="29" t="inlineStr">
        <is>
          <t>Not assessed</t>
        </is>
      </c>
      <c r="AU629" s="29" t="inlineStr">
        <is>
          <t>Not assessed</t>
        </is>
      </c>
      <c r="AV629" s="29" t="inlineStr">
        <is>
          <t>Not assessed</t>
        </is>
      </c>
      <c r="AW629" s="29" t="inlineStr">
        <is>
          <t>Not assessed</t>
        </is>
      </c>
      <c r="AX629" s="29" t="inlineStr">
        <is>
          <t>Not assessed</t>
        </is>
      </c>
      <c r="AY629" s="29" t="inlineStr">
        <is>
          <t>Not assessed</t>
        </is>
      </c>
      <c r="AZ629" s="29" t="inlineStr">
        <is>
          <t>Not assessed</t>
        </is>
      </c>
      <c r="BA629" s="29" t="inlineStr">
        <is>
          <t>Not assessed</t>
        </is>
      </c>
      <c r="BB629" s="29" t="inlineStr">
        <is>
          <t>Not assessed</t>
        </is>
      </c>
      <c r="BC629" s="29" t="inlineStr">
        <is>
          <t>Not assessed</t>
        </is>
      </c>
      <c r="BD629" s="29" t="inlineStr">
        <is>
          <t>Not assessed</t>
        </is>
      </c>
      <c r="BE629" s="29" t="inlineStr">
        <is>
          <t>Not assessed</t>
        </is>
      </c>
      <c r="BF629" s="29" t="inlineStr">
        <is>
          <t>Insufficient evidence to issue a production-readiness conclusion.</t>
        </is>
      </c>
      <c r="BG629" s="29" t="inlineStr"/>
      <c r="BH629" s="29" t="inlineStr"/>
      <c r="BI629" s="29" t="inlineStr"/>
      <c r="BJ629" s="29" t="inlineStr"/>
      <c r="BK629" s="29" t="inlineStr">
        <is>
          <t>Evidence reconciled against the reviewed source revision. No production approval is inferred from implementation or file presence.</t>
        </is>
      </c>
      <c r="BL629" s="29" t="inlineStr">
        <is>
          <t>2026-08-02</t>
        </is>
      </c>
    </row>
    <row r="630" ht="42" customHeight="1">
      <c r="A630" s="29" t="inlineStr">
        <is>
          <t>BLYP-30-037</t>
        </is>
      </c>
      <c r="B630" s="29" t="inlineStr"/>
      <c r="C630" s="29" t="inlineStr">
        <is>
          <t>Quality assurance and release readiness</t>
        </is>
      </c>
      <c r="D630" s="29" t="n">
        <v>30</v>
      </c>
      <c r="E630" s="29" t="n">
        <v>37</v>
      </c>
      <c r="F630" s="29" t="inlineStr">
        <is>
          <t>Feature</t>
        </is>
      </c>
      <c r="G630" s="29" t="inlineStr">
        <is>
          <t>EAS Android build pipeline</t>
        </is>
      </c>
      <c r="H630" s="29" t="inlineStr">
        <is>
          <t>EAS Android build pipeline</t>
        </is>
      </c>
      <c r="I630" s="29" t="inlineStr">
        <is>
          <t>/home/ubuntu/blyp_product_requirements.md :: Section 30 — Quality assurance and release readiness</t>
        </is>
      </c>
      <c r="J630" s="29" t="inlineStr">
        <is>
          <t>/home/ubuntu/BLYP_COMPLETE_FEATURE_LIST.md:789</t>
        </is>
      </c>
      <c r="K630" s="29" t="inlineStr">
        <is>
          <t>Required</t>
        </is>
      </c>
      <c r="L630" s="29" t="inlineStr">
        <is>
          <t>Applicable BLYP member</t>
        </is>
      </c>
      <c r="M630" s="29" t="inlineStr">
        <is>
          <t>Production platform, service and operator controls</t>
        </is>
      </c>
      <c r="N630" s="29" t="inlineStr">
        <is>
          <t>EAS Android build pipeline</t>
        </is>
      </c>
      <c r="O630" s="29" t="inlineStr">
        <is>
          <t>Not explicitly defined in the product source; requires accountable product approval before production sign-off.</t>
        </is>
      </c>
      <c r="P630" s="29" t="inlineStr">
        <is>
          <t>eas.json build.production.android</t>
        </is>
      </c>
      <c r="Q630" s="29" t="inlineStr">
        <is>
          <t>Yes</t>
        </is>
      </c>
      <c r="R630" s="29" t="inlineStr"/>
      <c r="S630" s="29" t="inlineStr">
        <is>
          <t>End-to-end present</t>
        </is>
      </c>
      <c r="T630" s="29" t="inlineStr"/>
      <c r="U630" s="29" t="inlineStr"/>
      <c r="V630" s="29" t="inlineStr"/>
      <c r="W630" s="29" t="inlineStr"/>
      <c r="X630" s="29" t="inlineStr"/>
      <c r="Y630" s="29" t="inlineStr"/>
      <c r="Z630" s="29" t="inlineStr"/>
      <c r="AA630" s="29" t="inlineStr">
        <is>
          <t>eas.json build.production.android</t>
        </is>
      </c>
      <c r="AB630" s="29" t="inlineStr">
        <is>
          <t>EAS Build</t>
        </is>
      </c>
      <c r="AC630" s="29" t="inlineStr"/>
      <c r="AD630" s="29" t="inlineStr">
        <is>
          <t>Operator runs eas build --platform android to build the Android app</t>
        </is>
      </c>
      <c r="AE630" s="29" t="inlineStr">
        <is>
          <t>Operator reachable</t>
        </is>
      </c>
      <c r="AF630" s="29" t="inlineStr">
        <is>
          <t>Operator runs eas build --platform android to build the Android app</t>
        </is>
      </c>
      <c r="AG630" s="29" t="inlineStr">
        <is>
          <t>Complete against stated requirement</t>
        </is>
      </c>
      <c r="AH630" s="29" t="inlineStr">
        <is>
          <t>Yes</t>
        </is>
      </c>
      <c r="AI630" s="29" t="inlineStr"/>
      <c r="AJ630" s="29" t="inlineStr">
        <is>
          <t>Source traced</t>
        </is>
      </c>
      <c r="AK630" s="29" t="inlineStr">
        <is>
          <t>EV-30-0006</t>
        </is>
      </c>
      <c r="AL630" s="29" t="inlineStr"/>
      <c r="AM630" s="29" t="inlineStr"/>
      <c r="AN630" s="29" t="inlineStr"/>
      <c r="AO630" s="29" t="inlineStr">
        <is>
          <t>8bc0dcb2a1da1b21368c5536aaeef829d587f316</t>
        </is>
      </c>
      <c r="AP630" s="29" t="inlineStr">
        <is>
          <t>High</t>
        </is>
      </c>
      <c r="AQ630" s="29" t="inlineStr">
        <is>
          <t>Not assessed</t>
        </is>
      </c>
      <c r="AR630" s="29" t="inlineStr">
        <is>
          <t>Not assessed</t>
        </is>
      </c>
      <c r="AS630" s="29" t="inlineStr">
        <is>
          <t>Not assessed</t>
        </is>
      </c>
      <c r="AT630" s="29" t="inlineStr">
        <is>
          <t>Not assessed</t>
        </is>
      </c>
      <c r="AU630" s="29" t="inlineStr">
        <is>
          <t>Not assessed</t>
        </is>
      </c>
      <c r="AV630" s="29" t="inlineStr">
        <is>
          <t>Not assessed</t>
        </is>
      </c>
      <c r="AW630" s="29" t="inlineStr">
        <is>
          <t>Not assessed</t>
        </is>
      </c>
      <c r="AX630" s="29" t="inlineStr">
        <is>
          <t>Not assessed</t>
        </is>
      </c>
      <c r="AY630" s="29" t="inlineStr">
        <is>
          <t>Not assessed</t>
        </is>
      </c>
      <c r="AZ630" s="29" t="inlineStr">
        <is>
          <t>Not assessed</t>
        </is>
      </c>
      <c r="BA630" s="29" t="inlineStr">
        <is>
          <t>Not assessed</t>
        </is>
      </c>
      <c r="BB630" s="29" t="inlineStr">
        <is>
          <t>Not assessed</t>
        </is>
      </c>
      <c r="BC630" s="29" t="inlineStr">
        <is>
          <t>Not assessed</t>
        </is>
      </c>
      <c r="BD630" s="29" t="inlineStr">
        <is>
          <t>Not assessed</t>
        </is>
      </c>
      <c r="BE630" s="29" t="inlineStr">
        <is>
          <t>Ready for production validation</t>
        </is>
      </c>
      <c r="BF630" s="29" t="inlineStr">
        <is>
          <t>Applicable production gates and acceptance checks have not been completed on an approved release candidate.</t>
        </is>
      </c>
      <c r="BG630" s="29" t="inlineStr"/>
      <c r="BH630" s="29" t="inlineStr"/>
      <c r="BI630" s="29" t="inlineStr"/>
      <c r="BJ630" s="29" t="inlineStr"/>
      <c r="BK630" s="29" t="inlineStr">
        <is>
          <t>Evidence reconciled against the reviewed source revision. No production approval is inferred from implementation or file presence.</t>
        </is>
      </c>
      <c r="BL630" s="29" t="inlineStr">
        <is>
          <t>2026-08-02</t>
        </is>
      </c>
    </row>
    <row r="631" ht="42" customHeight="1">
      <c r="A631" s="29" t="inlineStr">
        <is>
          <t>BLYP-30-038</t>
        </is>
      </c>
      <c r="B631" s="29" t="inlineStr"/>
      <c r="C631" s="29" t="inlineStr">
        <is>
          <t>Quality assurance and release readiness</t>
        </is>
      </c>
      <c r="D631" s="29" t="n">
        <v>30</v>
      </c>
      <c r="E631" s="29" t="n">
        <v>38</v>
      </c>
      <c r="F631" s="29" t="inlineStr">
        <is>
          <t>Feature</t>
        </is>
      </c>
      <c r="G631" s="29" t="inlineStr">
        <is>
          <t>Current signed Android release proof</t>
        </is>
      </c>
      <c r="H631" s="29" t="inlineStr">
        <is>
          <t>Current signed Android release proof</t>
        </is>
      </c>
      <c r="I631" s="29" t="inlineStr">
        <is>
          <t>/home/ubuntu/blyp_product_requirements.md :: Section 30 — Quality assurance and release readiness</t>
        </is>
      </c>
      <c r="J631" s="29" t="inlineStr">
        <is>
          <t>/home/ubuntu/BLYP_COMPLETE_FEATURE_LIST.md:790</t>
        </is>
      </c>
      <c r="K631" s="29" t="inlineStr">
        <is>
          <t>Required</t>
        </is>
      </c>
      <c r="L631" s="29" t="inlineStr">
        <is>
          <t>Applicable BLYP member</t>
        </is>
      </c>
      <c r="M631" s="29" t="inlineStr">
        <is>
          <t>Production platform, service and operator controls</t>
        </is>
      </c>
      <c r="N631" s="29" t="inlineStr">
        <is>
          <t>Current signed Android release proof</t>
        </is>
      </c>
      <c r="O631" s="29" t="inlineStr">
        <is>
          <t>Not explicitly defined in the product source; requires accountable product approval before production sign-off.</t>
        </is>
      </c>
      <c r="P631" s="29" t="inlineStr"/>
      <c r="Q631" s="29" t="inlineStr">
        <is>
          <t>Needs verification</t>
        </is>
      </c>
      <c r="R631" s="29" t="inlineStr"/>
      <c r="S631" s="29" t="inlineStr">
        <is>
          <t>Unknown</t>
        </is>
      </c>
      <c r="T631" s="29" t="inlineStr"/>
      <c r="U631" s="29" t="inlineStr"/>
      <c r="V631" s="29" t="inlineStr"/>
      <c r="W631" s="29" t="inlineStr"/>
      <c r="X631" s="29" t="inlineStr"/>
      <c r="Y631" s="29" t="inlineStr"/>
      <c r="Z631" s="29" t="inlineStr"/>
      <c r="AA631" s="29" t="inlineStr"/>
      <c r="AB631" s="29" t="inlineStr"/>
      <c r="AC631" s="29" t="inlineStr"/>
      <c r="AD631" s="29" t="inlineStr"/>
      <c r="AE631" s="29" t="inlineStr">
        <is>
          <t>Unknown</t>
        </is>
      </c>
      <c r="AF631" s="29" t="inlineStr"/>
      <c r="AG631" s="29" t="inlineStr">
        <is>
          <t>Unknown</t>
        </is>
      </c>
      <c r="AH631" s="29" t="inlineStr">
        <is>
          <t>Unknown</t>
        </is>
      </c>
      <c r="AI631" s="29" t="inlineStr">
        <is>
          <t>No evidence found in source code</t>
        </is>
      </c>
      <c r="AJ631" s="29" t="inlineStr">
        <is>
          <t>Unknown</t>
        </is>
      </c>
      <c r="AK631" s="29" t="inlineStr"/>
      <c r="AL631" s="29" t="inlineStr"/>
      <c r="AM631" s="29" t="inlineStr"/>
      <c r="AN631" s="29" t="inlineStr"/>
      <c r="AO631" s="29" t="inlineStr">
        <is>
          <t>8bc0dcb2a1da1b21368c5536aaeef829d587f316</t>
        </is>
      </c>
      <c r="AP631" s="29" t="inlineStr">
        <is>
          <t>Unrated</t>
        </is>
      </c>
      <c r="AQ631" s="29" t="inlineStr">
        <is>
          <t>Not assessed</t>
        </is>
      </c>
      <c r="AR631" s="29" t="inlineStr">
        <is>
          <t>Not assessed</t>
        </is>
      </c>
      <c r="AS631" s="29" t="inlineStr">
        <is>
          <t>Not assessed</t>
        </is>
      </c>
      <c r="AT631" s="29" t="inlineStr">
        <is>
          <t>Not assessed</t>
        </is>
      </c>
      <c r="AU631" s="29" t="inlineStr">
        <is>
          <t>Not assessed</t>
        </is>
      </c>
      <c r="AV631" s="29" t="inlineStr">
        <is>
          <t>Not assessed</t>
        </is>
      </c>
      <c r="AW631" s="29" t="inlineStr">
        <is>
          <t>Not assessed</t>
        </is>
      </c>
      <c r="AX631" s="29" t="inlineStr">
        <is>
          <t>Not assessed</t>
        </is>
      </c>
      <c r="AY631" s="29" t="inlineStr">
        <is>
          <t>Not assessed</t>
        </is>
      </c>
      <c r="AZ631" s="29" t="inlineStr">
        <is>
          <t>Not assessed</t>
        </is>
      </c>
      <c r="BA631" s="29" t="inlineStr">
        <is>
          <t>Not assessed</t>
        </is>
      </c>
      <c r="BB631" s="29" t="inlineStr">
        <is>
          <t>Not assessed</t>
        </is>
      </c>
      <c r="BC631" s="29" t="inlineStr">
        <is>
          <t>Not assessed</t>
        </is>
      </c>
      <c r="BD631" s="29" t="inlineStr">
        <is>
          <t>Not assessed</t>
        </is>
      </c>
      <c r="BE631" s="29" t="inlineStr">
        <is>
          <t>Not assessed</t>
        </is>
      </c>
      <c r="BF631" s="29" t="inlineStr">
        <is>
          <t>Insufficient evidence to issue a production-readiness conclusion.</t>
        </is>
      </c>
      <c r="BG631" s="29" t="inlineStr"/>
      <c r="BH631" s="29" t="inlineStr"/>
      <c r="BI631" s="29" t="inlineStr"/>
      <c r="BJ631" s="29" t="inlineStr"/>
      <c r="BK631" s="29" t="inlineStr">
        <is>
          <t>Evidence reconciled against the reviewed source revision. No production approval is inferred from implementation or file presence.</t>
        </is>
      </c>
      <c r="BL631" s="29" t="inlineStr">
        <is>
          <t>2026-08-02</t>
        </is>
      </c>
    </row>
    <row r="632" ht="42" customHeight="1">
      <c r="A632" s="29" t="inlineStr">
        <is>
          <t>BLYP-30-039</t>
        </is>
      </c>
      <c r="B632" s="29" t="inlineStr"/>
      <c r="C632" s="29" t="inlineStr">
        <is>
          <t>Quality assurance and release readiness</t>
        </is>
      </c>
      <c r="D632" s="29" t="n">
        <v>30</v>
      </c>
      <c r="E632" s="29" t="n">
        <v>39</v>
      </c>
      <c r="F632" s="29" t="inlineStr">
        <is>
          <t>Feature</t>
        </is>
      </c>
      <c r="G632" s="29" t="inlineStr">
        <is>
          <t>iOS release pipeline</t>
        </is>
      </c>
      <c r="H632" s="29" t="inlineStr">
        <is>
          <t>iOS release pipeline</t>
        </is>
      </c>
      <c r="I632" s="29" t="inlineStr">
        <is>
          <t>/home/ubuntu/blyp_product_requirements.md :: Section 30 — Quality assurance and release readiness</t>
        </is>
      </c>
      <c r="J632" s="29" t="inlineStr">
        <is>
          <t>/home/ubuntu/BLYP_COMPLETE_FEATURE_LIST.md:791</t>
        </is>
      </c>
      <c r="K632" s="29" t="inlineStr">
        <is>
          <t>Required</t>
        </is>
      </c>
      <c r="L632" s="29" t="inlineStr">
        <is>
          <t>Applicable BLYP member</t>
        </is>
      </c>
      <c r="M632" s="29" t="inlineStr">
        <is>
          <t>Production platform, service and operator controls</t>
        </is>
      </c>
      <c r="N632" s="29" t="inlineStr">
        <is>
          <t>iOS release pipeline</t>
        </is>
      </c>
      <c r="O632" s="29" t="inlineStr">
        <is>
          <t>Not explicitly defined in the product source; requires accountable product approval before production sign-off.</t>
        </is>
      </c>
      <c r="P632" s="29" t="inlineStr">
        <is>
          <t>eas.json submit.production.ios</t>
        </is>
      </c>
      <c r="Q632" s="29" t="inlineStr">
        <is>
          <t>No evidence</t>
        </is>
      </c>
      <c r="R632" s="29" t="inlineStr"/>
      <c r="S632" s="29" t="inlineStr">
        <is>
          <t>End-to-end present</t>
        </is>
      </c>
      <c r="T632" s="29" t="inlineStr"/>
      <c r="U632" s="29" t="inlineStr"/>
      <c r="V632" s="29" t="inlineStr"/>
      <c r="W632" s="29" t="inlineStr"/>
      <c r="X632" s="29" t="inlineStr"/>
      <c r="Y632" s="29" t="inlineStr"/>
      <c r="Z632" s="29" t="inlineStr"/>
      <c r="AA632" s="29" t="inlineStr">
        <is>
          <t>eas.json submit.production.ios</t>
        </is>
      </c>
      <c r="AB632" s="29" t="inlineStr">
        <is>
          <t>EAS Submit</t>
        </is>
      </c>
      <c r="AC632" s="29" t="inlineStr"/>
      <c r="AD632" s="29" t="inlineStr">
        <is>
          <t>Operator runs eas submit --platform ios to submit the iOS app</t>
        </is>
      </c>
      <c r="AE632" s="29" t="inlineStr">
        <is>
          <t>Operator reachable</t>
        </is>
      </c>
      <c r="AF632" s="29" t="inlineStr">
        <is>
          <t>Operator runs eas submit --platform ios to submit the iOS app</t>
        </is>
      </c>
      <c r="AG632" s="29" t="inlineStr">
        <is>
          <t>Complete against stated requirement</t>
        </is>
      </c>
      <c r="AH632" s="29" t="inlineStr">
        <is>
          <t>Yes</t>
        </is>
      </c>
      <c r="AI632" s="29" t="inlineStr"/>
      <c r="AJ632" s="29" t="inlineStr">
        <is>
          <t>Source traced</t>
        </is>
      </c>
      <c r="AK632" s="29" t="inlineStr">
        <is>
          <t>EV-30-0007</t>
        </is>
      </c>
      <c r="AL632" s="29" t="inlineStr"/>
      <c r="AM632" s="29" t="inlineStr"/>
      <c r="AN632" s="29" t="inlineStr"/>
      <c r="AO632" s="29" t="inlineStr">
        <is>
          <t>8bc0dcb2a1da1b21368c5536aaeef829d587f316</t>
        </is>
      </c>
      <c r="AP632" s="29" t="inlineStr">
        <is>
          <t>High</t>
        </is>
      </c>
      <c r="AQ632" s="29" t="inlineStr">
        <is>
          <t>Not assessed</t>
        </is>
      </c>
      <c r="AR632" s="29" t="inlineStr">
        <is>
          <t>Not assessed</t>
        </is>
      </c>
      <c r="AS632" s="29" t="inlineStr">
        <is>
          <t>Not assessed</t>
        </is>
      </c>
      <c r="AT632" s="29" t="inlineStr">
        <is>
          <t>Not assessed</t>
        </is>
      </c>
      <c r="AU632" s="29" t="inlineStr">
        <is>
          <t>Not assessed</t>
        </is>
      </c>
      <c r="AV632" s="29" t="inlineStr">
        <is>
          <t>Not assessed</t>
        </is>
      </c>
      <c r="AW632" s="29" t="inlineStr">
        <is>
          <t>Not assessed</t>
        </is>
      </c>
      <c r="AX632" s="29" t="inlineStr">
        <is>
          <t>Not assessed</t>
        </is>
      </c>
      <c r="AY632" s="29" t="inlineStr">
        <is>
          <t>Not assessed</t>
        </is>
      </c>
      <c r="AZ632" s="29" t="inlineStr">
        <is>
          <t>Not assessed</t>
        </is>
      </c>
      <c r="BA632" s="29" t="inlineStr">
        <is>
          <t>Not assessed</t>
        </is>
      </c>
      <c r="BB632" s="29" t="inlineStr">
        <is>
          <t>Not assessed</t>
        </is>
      </c>
      <c r="BC632" s="29" t="inlineStr">
        <is>
          <t>Not assessed</t>
        </is>
      </c>
      <c r="BD632" s="29" t="inlineStr">
        <is>
          <t>Not assessed</t>
        </is>
      </c>
      <c r="BE632" s="29" t="inlineStr">
        <is>
          <t>Ready for production validation</t>
        </is>
      </c>
      <c r="BF632" s="29" t="inlineStr">
        <is>
          <t>Applicable production gates and acceptance checks have not been completed on an approved release candidate.</t>
        </is>
      </c>
      <c r="BG632" s="29" t="inlineStr"/>
      <c r="BH632" s="29" t="inlineStr"/>
      <c r="BI632" s="29" t="inlineStr"/>
      <c r="BJ632" s="29" t="inlineStr"/>
      <c r="BK632" s="29" t="inlineStr">
        <is>
          <t>Evidence reconciled against the reviewed source revision. No production approval is inferred from implementation or file presence.</t>
        </is>
      </c>
      <c r="BL632" s="29" t="inlineStr">
        <is>
          <t>2026-08-02</t>
        </is>
      </c>
    </row>
    <row r="633" ht="42" customHeight="1">
      <c r="A633" s="29" t="inlineStr">
        <is>
          <t>BLYP-30-040</t>
        </is>
      </c>
      <c r="B633" s="29" t="inlineStr"/>
      <c r="C633" s="29" t="inlineStr">
        <is>
          <t>Quality assurance and release readiness</t>
        </is>
      </c>
      <c r="D633" s="29" t="n">
        <v>30</v>
      </c>
      <c r="E633" s="29" t="n">
        <v>40</v>
      </c>
      <c r="F633" s="29" t="inlineStr">
        <is>
          <t>Feature</t>
        </is>
      </c>
      <c r="G633" s="29" t="inlineStr">
        <is>
          <t>App-store submission guides</t>
        </is>
      </c>
      <c r="H633" s="29" t="inlineStr">
        <is>
          <t>App-store submission guides</t>
        </is>
      </c>
      <c r="I633" s="29" t="inlineStr">
        <is>
          <t>/home/ubuntu/blyp_product_requirements.md :: Section 30 — Quality assurance and release readiness</t>
        </is>
      </c>
      <c r="J633" s="29" t="inlineStr">
        <is>
          <t>/home/ubuntu/BLYP_COMPLETE_FEATURE_LIST.md:792</t>
        </is>
      </c>
      <c r="K633" s="29" t="inlineStr">
        <is>
          <t>Required</t>
        </is>
      </c>
      <c r="L633" s="29" t="inlineStr">
        <is>
          <t>Applicable BLYP member</t>
        </is>
      </c>
      <c r="M633" s="29" t="inlineStr">
        <is>
          <t>Production platform, service and operator controls</t>
        </is>
      </c>
      <c r="N633" s="29" t="inlineStr">
        <is>
          <t>App-store submission guides</t>
        </is>
      </c>
      <c r="O633" s="29" t="inlineStr">
        <is>
          <t>Not explicitly defined in the product source; requires accountable product approval before production sign-off.</t>
        </is>
      </c>
      <c r="P633" s="29" t="inlineStr"/>
      <c r="Q633" s="29" t="inlineStr">
        <is>
          <t>Yes</t>
        </is>
      </c>
      <c r="R633" s="29" t="inlineStr"/>
      <c r="S633" s="29" t="inlineStr">
        <is>
          <t>Unknown</t>
        </is>
      </c>
      <c r="T633" s="29" t="inlineStr"/>
      <c r="U633" s="29" t="inlineStr"/>
      <c r="V633" s="29" t="inlineStr"/>
      <c r="W633" s="29" t="inlineStr"/>
      <c r="X633" s="29" t="inlineStr"/>
      <c r="Y633" s="29" t="inlineStr"/>
      <c r="Z633" s="29" t="inlineStr"/>
      <c r="AA633" s="29" t="inlineStr"/>
      <c r="AB633" s="29" t="inlineStr"/>
      <c r="AC633" s="29" t="inlineStr"/>
      <c r="AD633" s="29" t="inlineStr"/>
      <c r="AE633" s="29" t="inlineStr">
        <is>
          <t>Unknown</t>
        </is>
      </c>
      <c r="AF633" s="29" t="inlineStr"/>
      <c r="AG633" s="29" t="inlineStr">
        <is>
          <t>Unknown</t>
        </is>
      </c>
      <c r="AH633" s="29" t="inlineStr">
        <is>
          <t>Unknown</t>
        </is>
      </c>
      <c r="AI633" s="29" t="inlineStr">
        <is>
          <t>No evidence found in source code</t>
        </is>
      </c>
      <c r="AJ633" s="29" t="inlineStr">
        <is>
          <t>Unknown</t>
        </is>
      </c>
      <c r="AK633" s="29" t="inlineStr"/>
      <c r="AL633" s="29" t="inlineStr"/>
      <c r="AM633" s="29" t="inlineStr"/>
      <c r="AN633" s="29" t="inlineStr"/>
      <c r="AO633" s="29" t="inlineStr">
        <is>
          <t>8bc0dcb2a1da1b21368c5536aaeef829d587f316</t>
        </is>
      </c>
      <c r="AP633" s="29" t="inlineStr">
        <is>
          <t>Unrated</t>
        </is>
      </c>
      <c r="AQ633" s="29" t="inlineStr">
        <is>
          <t>Not assessed</t>
        </is>
      </c>
      <c r="AR633" s="29" t="inlineStr">
        <is>
          <t>Not assessed</t>
        </is>
      </c>
      <c r="AS633" s="29" t="inlineStr">
        <is>
          <t>Not assessed</t>
        </is>
      </c>
      <c r="AT633" s="29" t="inlineStr">
        <is>
          <t>Not assessed</t>
        </is>
      </c>
      <c r="AU633" s="29" t="inlineStr">
        <is>
          <t>Not assessed</t>
        </is>
      </c>
      <c r="AV633" s="29" t="inlineStr">
        <is>
          <t>Not assessed</t>
        </is>
      </c>
      <c r="AW633" s="29" t="inlineStr">
        <is>
          <t>Not assessed</t>
        </is>
      </c>
      <c r="AX633" s="29" t="inlineStr">
        <is>
          <t>Not assessed</t>
        </is>
      </c>
      <c r="AY633" s="29" t="inlineStr">
        <is>
          <t>Not assessed</t>
        </is>
      </c>
      <c r="AZ633" s="29" t="inlineStr">
        <is>
          <t>Not assessed</t>
        </is>
      </c>
      <c r="BA633" s="29" t="inlineStr">
        <is>
          <t>Not assessed</t>
        </is>
      </c>
      <c r="BB633" s="29" t="inlineStr">
        <is>
          <t>Not assessed</t>
        </is>
      </c>
      <c r="BC633" s="29" t="inlineStr">
        <is>
          <t>Not assessed</t>
        </is>
      </c>
      <c r="BD633" s="29" t="inlineStr">
        <is>
          <t>Not assessed</t>
        </is>
      </c>
      <c r="BE633" s="29" t="inlineStr">
        <is>
          <t>Not assessed</t>
        </is>
      </c>
      <c r="BF633" s="29" t="inlineStr">
        <is>
          <t>Insufficient evidence to issue a production-readiness conclusion.</t>
        </is>
      </c>
      <c r="BG633" s="29" t="inlineStr"/>
      <c r="BH633" s="29" t="inlineStr"/>
      <c r="BI633" s="29" t="inlineStr"/>
      <c r="BJ633" s="29" t="inlineStr"/>
      <c r="BK633" s="29" t="inlineStr">
        <is>
          <t>Evidence reconciled against the reviewed source revision. No production approval is inferred from implementation or file presence.</t>
        </is>
      </c>
      <c r="BL633" s="29" t="inlineStr">
        <is>
          <t>2026-08-02</t>
        </is>
      </c>
    </row>
    <row r="634" ht="42" customHeight="1">
      <c r="A634" s="29" t="inlineStr">
        <is>
          <t>BLYP-30-041</t>
        </is>
      </c>
      <c r="B634" s="29" t="inlineStr"/>
      <c r="C634" s="29" t="inlineStr">
        <is>
          <t>Quality assurance and release readiness</t>
        </is>
      </c>
      <c r="D634" s="29" t="n">
        <v>30</v>
      </c>
      <c r="E634" s="29" t="n">
        <v>41</v>
      </c>
      <c r="F634" s="29" t="inlineStr">
        <is>
          <t>Rule</t>
        </is>
      </c>
      <c r="G634" s="29" t="inlineStr">
        <is>
          <t>Placeholder screens excluded from completed claims</t>
        </is>
      </c>
      <c r="H634" s="29" t="inlineStr">
        <is>
          <t>Placeholder screens excluded from completed claims</t>
        </is>
      </c>
      <c r="I634" s="29" t="inlineStr">
        <is>
          <t>/home/ubuntu/blyp_product_requirements.md :: Section 30 — Quality assurance and release readiness</t>
        </is>
      </c>
      <c r="J634" s="29" t="inlineStr">
        <is>
          <t>/home/ubuntu/BLYP_COMPLETE_FEATURE_LIST.md:793</t>
        </is>
      </c>
      <c r="K634" s="29" t="inlineStr">
        <is>
          <t>Required</t>
        </is>
      </c>
      <c r="L634" s="29" t="inlineStr">
        <is>
          <t>Applicable BLYP member</t>
        </is>
      </c>
      <c r="M634" s="29" t="inlineStr">
        <is>
          <t>Production platform, service and operator controls</t>
        </is>
      </c>
      <c r="N634" s="29" t="inlineStr">
        <is>
          <t>Placeholder screens excluded from completed claims</t>
        </is>
      </c>
      <c r="O634" s="29" t="inlineStr">
        <is>
          <t>Not explicitly defined in the product source; requires accountable product approval before production sign-off.</t>
        </is>
      </c>
      <c r="P634" s="29" t="inlineStr"/>
      <c r="Q634" s="29" t="inlineStr">
        <is>
          <t>No</t>
        </is>
      </c>
      <c r="R634" s="29" t="inlineStr">
        <is>
          <t>several placeholders remain exposed or registered.</t>
        </is>
      </c>
      <c r="S634" s="29" t="inlineStr">
        <is>
          <t>Unknown</t>
        </is>
      </c>
      <c r="T634" s="29" t="inlineStr"/>
      <c r="U634" s="29" t="inlineStr"/>
      <c r="V634" s="29" t="inlineStr"/>
      <c r="W634" s="29" t="inlineStr"/>
      <c r="X634" s="29" t="inlineStr"/>
      <c r="Y634" s="29" t="inlineStr"/>
      <c r="Z634" s="29" t="inlineStr"/>
      <c r="AA634" s="29" t="inlineStr"/>
      <c r="AB634" s="29" t="inlineStr"/>
      <c r="AC634" s="29" t="inlineStr"/>
      <c r="AD634" s="29" t="inlineStr"/>
      <c r="AE634" s="29" t="inlineStr">
        <is>
          <t>Unknown</t>
        </is>
      </c>
      <c r="AF634" s="29" t="inlineStr"/>
      <c r="AG634" s="29" t="inlineStr">
        <is>
          <t>Unknown</t>
        </is>
      </c>
      <c r="AH634" s="29" t="inlineStr">
        <is>
          <t>Unknown</t>
        </is>
      </c>
      <c r="AI634" s="29" t="inlineStr">
        <is>
          <t>No evidence found in source code</t>
        </is>
      </c>
      <c r="AJ634" s="29" t="inlineStr">
        <is>
          <t>Unknown</t>
        </is>
      </c>
      <c r="AK634" s="29" t="inlineStr"/>
      <c r="AL634" s="29" t="inlineStr"/>
      <c r="AM634" s="29" t="inlineStr"/>
      <c r="AN634" s="29" t="inlineStr"/>
      <c r="AO634" s="29" t="inlineStr">
        <is>
          <t>8bc0dcb2a1da1b21368c5536aaeef829d587f316</t>
        </is>
      </c>
      <c r="AP634" s="29" t="inlineStr">
        <is>
          <t>Unrated</t>
        </is>
      </c>
      <c r="AQ634" s="29" t="inlineStr">
        <is>
          <t>Not assessed</t>
        </is>
      </c>
      <c r="AR634" s="29" t="inlineStr">
        <is>
          <t>Not assessed</t>
        </is>
      </c>
      <c r="AS634" s="29" t="inlineStr">
        <is>
          <t>Not assessed</t>
        </is>
      </c>
      <c r="AT634" s="29" t="inlineStr">
        <is>
          <t>Not assessed</t>
        </is>
      </c>
      <c r="AU634" s="29" t="inlineStr">
        <is>
          <t>Not assessed</t>
        </is>
      </c>
      <c r="AV634" s="29" t="inlineStr">
        <is>
          <t>Not assessed</t>
        </is>
      </c>
      <c r="AW634" s="29" t="inlineStr">
        <is>
          <t>Not assessed</t>
        </is>
      </c>
      <c r="AX634" s="29" t="inlineStr">
        <is>
          <t>Not assessed</t>
        </is>
      </c>
      <c r="AY634" s="29" t="inlineStr">
        <is>
          <t>Not assessed</t>
        </is>
      </c>
      <c r="AZ634" s="29" t="inlineStr">
        <is>
          <t>Not assessed</t>
        </is>
      </c>
      <c r="BA634" s="29" t="inlineStr">
        <is>
          <t>Not assessed</t>
        </is>
      </c>
      <c r="BB634" s="29" t="inlineStr">
        <is>
          <t>Not assessed</t>
        </is>
      </c>
      <c r="BC634" s="29" t="inlineStr">
        <is>
          <t>Not assessed</t>
        </is>
      </c>
      <c r="BD634" s="29" t="inlineStr">
        <is>
          <t>Not assessed</t>
        </is>
      </c>
      <c r="BE634" s="29" t="inlineStr">
        <is>
          <t>Not assessed</t>
        </is>
      </c>
      <c r="BF634" s="29" t="inlineStr">
        <is>
          <t>Insufficient evidence to issue a production-readiness conclusion.</t>
        </is>
      </c>
      <c r="BG634" s="29" t="inlineStr"/>
      <c r="BH634" s="29" t="inlineStr"/>
      <c r="BI634" s="29" t="inlineStr"/>
      <c r="BJ634" s="29" t="inlineStr"/>
      <c r="BK634" s="29" t="inlineStr">
        <is>
          <t>Evidence reconciled against the reviewed source revision. No production approval is inferred from implementation or file presence.</t>
        </is>
      </c>
      <c r="BL634" s="29" t="inlineStr">
        <is>
          <t>2026-08-02</t>
        </is>
      </c>
    </row>
  </sheetData>
  <autoFilter ref="A1:BL634"/>
  <conditionalFormatting sqref="S2:S634">
    <cfRule type="expression" priority="1" dxfId="0">
      <formula>$S2="End-to-end present"</formula>
    </cfRule>
    <cfRule type="expression" priority="2" dxfId="1">
      <formula>$S2="Partial"</formula>
    </cfRule>
    <cfRule type="expression" priority="3" dxfId="2">
      <formula>$S2="UI only"</formula>
    </cfRule>
    <cfRule type="expression" priority="4" dxfId="3">
      <formula>$S2="Backend only"</formula>
    </cfRule>
    <cfRule type="expression" priority="5" dxfId="4">
      <formula>$S2="Conflicting implementations"</formula>
    </cfRule>
    <cfRule type="expression" priority="6" dxfId="5">
      <formula>$S2="Scaffold only"</formula>
    </cfRule>
    <cfRule type="expression" priority="7" dxfId="6">
      <formula>$S2="Not found"</formula>
    </cfRule>
    <cfRule type="expression" priority="8" dxfId="7">
      <formula>$S2="Unknown"</formula>
    </cfRule>
  </conditionalFormatting>
  <conditionalFormatting sqref="AG2:AG634">
    <cfRule type="expression" priority="9" dxfId="0">
      <formula>$AG2="Complete against stated requirement"</formula>
    </cfRule>
    <cfRule type="expression" priority="10" dxfId="1">
      <formula>$AG2="Incomplete"</formula>
    </cfRule>
    <cfRule type="expression" priority="11" dxfId="6">
      <formula>$AG2="Not started"</formula>
    </cfRule>
    <cfRule type="expression" priority="12" dxfId="5">
      <formula>$AG2="Not assessable"</formula>
    </cfRule>
    <cfRule type="expression" priority="13" dxfId="7">
      <formula>$AG2="Unknown"</formula>
    </cfRule>
  </conditionalFormatting>
  <conditionalFormatting sqref="AJ2:AJ634">
    <cfRule type="expression" priority="14" dxfId="0">
      <formula>$AJ2="Release-candidate acceptance passed"</formula>
    </cfRule>
    <cfRule type="expression" priority="15" dxfId="8">
      <formula>$AJ2="Physical device observed"</formula>
    </cfRule>
    <cfRule type="expression" priority="16" dxfId="2">
      <formula>$AJ2="Automated test passed"</formula>
    </cfRule>
    <cfRule type="expression" priority="17" dxfId="3">
      <formula>$AJ2="Build verified"</formula>
    </cfRule>
    <cfRule type="expression" priority="18" dxfId="9">
      <formula>$AJ2="Source traced"</formula>
    </cfRule>
    <cfRule type="expression" priority="19" dxfId="4">
      <formula>$AJ2="Conflicting evidence"</formula>
    </cfRule>
    <cfRule type="expression" priority="20" dxfId="7">
      <formula>$AJ2="Not verified"</formula>
    </cfRule>
    <cfRule type="expression" priority="21" dxfId="10">
      <formula>$AJ2="Unknown"</formula>
    </cfRule>
  </conditionalFormatting>
  <conditionalFormatting sqref="BE2:BE634">
    <cfRule type="expression" priority="22" dxfId="0">
      <formula>$BE2="Production ready"</formula>
    </cfRule>
    <cfRule type="expression" priority="23" dxfId="8">
      <formula>$BE2="Ready for production validation"</formula>
    </cfRule>
    <cfRule type="expression" priority="24" dxfId="4">
      <formula>$BE2="Blocked"</formula>
    </cfRule>
    <cfRule type="expression" priority="25" dxfId="1">
      <formula>$BE2="Development required"</formula>
    </cfRule>
    <cfRule type="expression" priority="26" dxfId="7">
      <formula>$BE2="Not assessed"</formula>
    </cfRule>
    <cfRule type="expression" priority="27" dxfId="10">
      <formula>$BE2="Unknown"</formula>
    </cfRule>
    <cfRule type="expression" priority="28" dxfId="5">
      <formula>$BE2="Not applicable"</formula>
    </cfRule>
  </conditionalFormatting>
  <conditionalFormatting sqref="AQ2:AQ634">
    <cfRule type="expression" priority="29" dxfId="0">
      <formula>$AQ2="Pass"</formula>
    </cfRule>
    <cfRule type="expression" priority="30" dxfId="4">
      <formula>$AQ2="Fail"</formula>
    </cfRule>
    <cfRule type="expression" priority="31" dxfId="7">
      <formula>$AQ2="Not assessed"</formula>
    </cfRule>
    <cfRule type="expression" priority="32" dxfId="5">
      <formula>$AQ2="Not applicable"</formula>
    </cfRule>
    <cfRule type="expression" priority="33" dxfId="10">
      <formula>$AQ2="Unknown"</formula>
    </cfRule>
  </conditionalFormatting>
  <conditionalFormatting sqref="AR2:AR634">
    <cfRule type="expression" priority="34" dxfId="0">
      <formula>$AR2="Pass"</formula>
    </cfRule>
    <cfRule type="expression" priority="35" dxfId="4">
      <formula>$AR2="Fail"</formula>
    </cfRule>
    <cfRule type="expression" priority="36" dxfId="7">
      <formula>$AR2="Not assessed"</formula>
    </cfRule>
    <cfRule type="expression" priority="37" dxfId="5">
      <formula>$AR2="Not applicable"</formula>
    </cfRule>
    <cfRule type="expression" priority="38" dxfId="10">
      <formula>$AR2="Unknown"</formula>
    </cfRule>
  </conditionalFormatting>
  <conditionalFormatting sqref="AS2:AS634">
    <cfRule type="expression" priority="39" dxfId="0">
      <formula>$AS2="Pass"</formula>
    </cfRule>
    <cfRule type="expression" priority="40" dxfId="4">
      <formula>$AS2="Fail"</formula>
    </cfRule>
    <cfRule type="expression" priority="41" dxfId="7">
      <formula>$AS2="Not assessed"</formula>
    </cfRule>
    <cfRule type="expression" priority="42" dxfId="5">
      <formula>$AS2="Not applicable"</formula>
    </cfRule>
    <cfRule type="expression" priority="43" dxfId="10">
      <formula>$AS2="Unknown"</formula>
    </cfRule>
  </conditionalFormatting>
  <conditionalFormatting sqref="AT2:AT634">
    <cfRule type="expression" priority="44" dxfId="0">
      <formula>$AT2="Pass"</formula>
    </cfRule>
    <cfRule type="expression" priority="45" dxfId="4">
      <formula>$AT2="Fail"</formula>
    </cfRule>
    <cfRule type="expression" priority="46" dxfId="7">
      <formula>$AT2="Not assessed"</formula>
    </cfRule>
    <cfRule type="expression" priority="47" dxfId="5">
      <formula>$AT2="Not applicable"</formula>
    </cfRule>
    <cfRule type="expression" priority="48" dxfId="10">
      <formula>$AT2="Unknown"</formula>
    </cfRule>
  </conditionalFormatting>
  <conditionalFormatting sqref="AU2:AU634">
    <cfRule type="expression" priority="49" dxfId="0">
      <formula>$AU2="Pass"</formula>
    </cfRule>
    <cfRule type="expression" priority="50" dxfId="4">
      <formula>$AU2="Fail"</formula>
    </cfRule>
    <cfRule type="expression" priority="51" dxfId="7">
      <formula>$AU2="Not assessed"</formula>
    </cfRule>
    <cfRule type="expression" priority="52" dxfId="5">
      <formula>$AU2="Not applicable"</formula>
    </cfRule>
    <cfRule type="expression" priority="53" dxfId="10">
      <formula>$AU2="Unknown"</formula>
    </cfRule>
  </conditionalFormatting>
  <conditionalFormatting sqref="AV2:AV634">
    <cfRule type="expression" priority="54" dxfId="0">
      <formula>$AV2="Pass"</formula>
    </cfRule>
    <cfRule type="expression" priority="55" dxfId="4">
      <formula>$AV2="Fail"</formula>
    </cfRule>
    <cfRule type="expression" priority="56" dxfId="7">
      <formula>$AV2="Not assessed"</formula>
    </cfRule>
    <cfRule type="expression" priority="57" dxfId="5">
      <formula>$AV2="Not applicable"</formula>
    </cfRule>
    <cfRule type="expression" priority="58" dxfId="10">
      <formula>$AV2="Unknown"</formula>
    </cfRule>
  </conditionalFormatting>
  <conditionalFormatting sqref="AW2:AW634">
    <cfRule type="expression" priority="59" dxfId="0">
      <formula>$AW2="Pass"</formula>
    </cfRule>
    <cfRule type="expression" priority="60" dxfId="4">
      <formula>$AW2="Fail"</formula>
    </cfRule>
    <cfRule type="expression" priority="61" dxfId="7">
      <formula>$AW2="Not assessed"</formula>
    </cfRule>
    <cfRule type="expression" priority="62" dxfId="5">
      <formula>$AW2="Not applicable"</formula>
    </cfRule>
    <cfRule type="expression" priority="63" dxfId="10">
      <formula>$AW2="Unknown"</formula>
    </cfRule>
  </conditionalFormatting>
  <conditionalFormatting sqref="AX2:AX634">
    <cfRule type="expression" priority="64" dxfId="0">
      <formula>$AX2="Pass"</formula>
    </cfRule>
    <cfRule type="expression" priority="65" dxfId="4">
      <formula>$AX2="Fail"</formula>
    </cfRule>
    <cfRule type="expression" priority="66" dxfId="7">
      <formula>$AX2="Not assessed"</formula>
    </cfRule>
    <cfRule type="expression" priority="67" dxfId="5">
      <formula>$AX2="Not applicable"</formula>
    </cfRule>
    <cfRule type="expression" priority="68" dxfId="10">
      <formula>$AX2="Unknown"</formula>
    </cfRule>
  </conditionalFormatting>
  <conditionalFormatting sqref="AY2:AY634">
    <cfRule type="expression" priority="69" dxfId="0">
      <formula>$AY2="Pass"</formula>
    </cfRule>
    <cfRule type="expression" priority="70" dxfId="4">
      <formula>$AY2="Fail"</formula>
    </cfRule>
    <cfRule type="expression" priority="71" dxfId="7">
      <formula>$AY2="Not assessed"</formula>
    </cfRule>
    <cfRule type="expression" priority="72" dxfId="5">
      <formula>$AY2="Not applicable"</formula>
    </cfRule>
    <cfRule type="expression" priority="73" dxfId="10">
      <formula>$AY2="Unknown"</formula>
    </cfRule>
  </conditionalFormatting>
  <conditionalFormatting sqref="AZ2:AZ634">
    <cfRule type="expression" priority="74" dxfId="0">
      <formula>$AZ2="Pass"</formula>
    </cfRule>
    <cfRule type="expression" priority="75" dxfId="4">
      <formula>$AZ2="Fail"</formula>
    </cfRule>
    <cfRule type="expression" priority="76" dxfId="7">
      <formula>$AZ2="Not assessed"</formula>
    </cfRule>
    <cfRule type="expression" priority="77" dxfId="5">
      <formula>$AZ2="Not applicable"</formula>
    </cfRule>
    <cfRule type="expression" priority="78" dxfId="10">
      <formula>$AZ2="Unknown"</formula>
    </cfRule>
  </conditionalFormatting>
  <conditionalFormatting sqref="BA2:BA634">
    <cfRule type="expression" priority="79" dxfId="0">
      <formula>$BA2="Pass"</formula>
    </cfRule>
    <cfRule type="expression" priority="80" dxfId="4">
      <formula>$BA2="Fail"</formula>
    </cfRule>
    <cfRule type="expression" priority="81" dxfId="7">
      <formula>$BA2="Not assessed"</formula>
    </cfRule>
    <cfRule type="expression" priority="82" dxfId="5">
      <formula>$BA2="Not applicable"</formula>
    </cfRule>
    <cfRule type="expression" priority="83" dxfId="10">
      <formula>$BA2="Unknown"</formula>
    </cfRule>
  </conditionalFormatting>
  <conditionalFormatting sqref="BB2:BB634">
    <cfRule type="expression" priority="84" dxfId="0">
      <formula>$BB2="Pass"</formula>
    </cfRule>
    <cfRule type="expression" priority="85" dxfId="4">
      <formula>$BB2="Fail"</formula>
    </cfRule>
    <cfRule type="expression" priority="86" dxfId="7">
      <formula>$BB2="Not assessed"</formula>
    </cfRule>
    <cfRule type="expression" priority="87" dxfId="5">
      <formula>$BB2="Not applicable"</formula>
    </cfRule>
    <cfRule type="expression" priority="88" dxfId="10">
      <formula>$BB2="Unknown"</formula>
    </cfRule>
  </conditionalFormatting>
  <conditionalFormatting sqref="BC2:BC634">
    <cfRule type="expression" priority="89" dxfId="0">
      <formula>$BC2="Pass"</formula>
    </cfRule>
    <cfRule type="expression" priority="90" dxfId="4">
      <formula>$BC2="Fail"</formula>
    </cfRule>
    <cfRule type="expression" priority="91" dxfId="7">
      <formula>$BC2="Not assessed"</formula>
    </cfRule>
    <cfRule type="expression" priority="92" dxfId="5">
      <formula>$BC2="Not applicable"</formula>
    </cfRule>
    <cfRule type="expression" priority="93" dxfId="10">
      <formula>$BC2="Unknown"</formula>
    </cfRule>
  </conditionalFormatting>
  <conditionalFormatting sqref="BD2:BD634">
    <cfRule type="expression" priority="94" dxfId="0">
      <formula>$BD2="Pass"</formula>
    </cfRule>
    <cfRule type="expression" priority="95" dxfId="4">
      <formula>$BD2="Fail"</formula>
    </cfRule>
    <cfRule type="expression" priority="96" dxfId="7">
      <formula>$BD2="Not assessed"</formula>
    </cfRule>
    <cfRule type="expression" priority="97" dxfId="5">
      <formula>$BD2="Not applicable"</formula>
    </cfRule>
    <cfRule type="expression" priority="98" dxfId="10">
      <formula>$BD2="Unknown"</formula>
    </cfRule>
  </conditionalFormatting>
  <dataValidations count="22">
    <dataValidation sqref="K2:K634" showDropDown="0" showInputMessage="1" showErrorMessage="1" allowBlank="0" errorTitle="Controlled status" error="Choose a value from the controlled list." promptTitle="BLYP source-of-truth status" prompt="Select the evidence-backed status. Do not infer production approval." type="list">
      <formula1>"Required,Optional,Deferred,Out of scope,Unknown"</formula1>
    </dataValidation>
    <dataValidation sqref="S2:S634" showDropDown="0" showInputMessage="1" showErrorMessage="1" allowBlank="0" errorTitle="Controlled status" error="Choose a value from the controlled list." promptTitle="BLYP source-of-truth status" prompt="Select the evidence-backed status. Do not infer production approval." type="list">
      <formula1>"Not found,Scaffold only,UI only,Backend only,Partial,End-to-end present,Conflicting implementations,Unknown"</formula1>
    </dataValidation>
    <dataValidation sqref="AE2:AE634" showDropDown="0" showInputMessage="1" showErrorMessage="1" allowBlank="0" errorTitle="Controlled status" error="Choose a value from the controlled list." promptTitle="BLYP source-of-truth status" prompt="Select the evidence-backed status. Do not infer production approval." type="list">
      <formula1>"Not wired,Hidden or flag-gated,Developer only,Internally reachable,User reachable,Operator reachable,Unknown"</formula1>
    </dataValidation>
    <dataValidation sqref="AG2:AG634" showDropDown="0" showInputMessage="1" showErrorMessage="1" allowBlank="0" errorTitle="Controlled status" error="Choose a value from the controlled list." promptTitle="BLYP source-of-truth status" prompt="Select the evidence-backed status. Do not infer production approval." type="list">
      <formula1>"Not started,Incomplete,Complete against stated requirement,Not assessable,Unknown"</formula1>
    </dataValidation>
    <dataValidation sqref="AH2:AH634" showDropDown="0" showInputMessage="1" showErrorMessage="1" allowBlank="0" errorTitle="Controlled status" error="Choose a value from the controlled list." promptTitle="BLYP source-of-truth status" prompt="Select the evidence-backed status. Do not infer production approval." type="list">
      <formula1>"Yes,No,Unknown"</formula1>
    </dataValidation>
    <dataValidation sqref="AJ2:AJ634" showDropDown="0" showInputMessage="1" showErrorMessage="1" allowBlank="0" errorTitle="Controlled status" error="Choose a value from the controlled list." promptTitle="BLYP source-of-truth status" prompt="Select the evidence-backed status. Do not infer production approval." type="list">
      <formula1>"Not verified,Source traced,Build verified,Automated test passed,Emulator observed,Physical device observed,Service observed,Release-candidate acceptance passed,Conflicting evidence,Unknown"</formula1>
    </dataValidation>
    <dataValidation sqref="AP2:AP634" showDropDown="0" showInputMessage="1" showErrorMessage="1" allowBlank="0" errorTitle="Controlled status" error="Choose a value from the controlled list." promptTitle="BLYP source-of-truth status" prompt="Select the evidence-backed status. Do not infer production approval." type="list">
      <formula1>"High,Medium,Low,Unrated"</formula1>
    </dataValidation>
    <dataValidation sqref="BE2:BE634" showDropDown="0" showInputMessage="1" showErrorMessage="1" allowBlank="0" errorTitle="Controlled status" error="Choose a value from the controlled list." promptTitle="BLYP source-of-truth status" prompt="Select the evidence-backed status. Do not infer production approval." type="list">
      <formula1>"Not assessed,Blocked,Development required,Ready for production validation,Production ready,Not applicable,Unknown"</formula1>
    </dataValidation>
    <dataValidation sqref="AQ2:AQ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R2:AR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S2:AS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T2:AT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U2:AU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V2:AV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W2:AW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X2:AX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Y2:AY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AZ2:AZ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BA2:BA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BB2:BB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BC2:BC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 sqref="BD2:BD634" showDropDown="0" showInputMessage="1" showErrorMessage="1" allowBlank="0" errorTitle="Controlled status" error="Choose a value from the controlled list." promptTitle="BLYP source-of-truth status" prompt="Select the evidence-backed status. Do not infer production approval." type="list">
      <formula1>"Pass,Fail,Not assessed,Not applicable,Unknown"</formula1>
    </dataValidation>
  </dataValidations>
  <hyperlinks>
    <hyperlink xmlns:r="http://schemas.openxmlformats.org/officeDocument/2006/relationships" ref="AC11" r:id="rId1"/>
    <hyperlink xmlns:r="http://schemas.openxmlformats.org/officeDocument/2006/relationships" ref="AC14" r:id="rId2"/>
    <hyperlink xmlns:r="http://schemas.openxmlformats.org/officeDocument/2006/relationships" ref="AC15" r:id="rId3"/>
    <hyperlink xmlns:r="http://schemas.openxmlformats.org/officeDocument/2006/relationships" ref="AC16" r:id="rId4"/>
    <hyperlink xmlns:r="http://schemas.openxmlformats.org/officeDocument/2006/relationships" ref="AC17" r:id="rId5"/>
    <hyperlink xmlns:r="http://schemas.openxmlformats.org/officeDocument/2006/relationships" ref="AC18" r:id="rId6"/>
    <hyperlink xmlns:r="http://schemas.openxmlformats.org/officeDocument/2006/relationships" ref="AC19" r:id="rId7"/>
    <hyperlink xmlns:r="http://schemas.openxmlformats.org/officeDocument/2006/relationships" ref="AC20" r:id="rId8"/>
    <hyperlink xmlns:r="http://schemas.openxmlformats.org/officeDocument/2006/relationships" ref="AC21" r:id="rId9"/>
    <hyperlink xmlns:r="http://schemas.openxmlformats.org/officeDocument/2006/relationships" ref="AC22" r:id="rId10"/>
    <hyperlink xmlns:r="http://schemas.openxmlformats.org/officeDocument/2006/relationships" ref="AC23" r:id="rId11"/>
    <hyperlink xmlns:r="http://schemas.openxmlformats.org/officeDocument/2006/relationships" ref="AC25" r:id="rId12"/>
    <hyperlink xmlns:r="http://schemas.openxmlformats.org/officeDocument/2006/relationships" ref="AC26" r:id="rId13"/>
    <hyperlink xmlns:r="http://schemas.openxmlformats.org/officeDocument/2006/relationships" ref="AC27" r:id="rId14"/>
    <hyperlink xmlns:r="http://schemas.openxmlformats.org/officeDocument/2006/relationships" ref="AC28" r:id="rId15"/>
    <hyperlink xmlns:r="http://schemas.openxmlformats.org/officeDocument/2006/relationships" ref="AC29" r:id="rId16"/>
    <hyperlink xmlns:r="http://schemas.openxmlformats.org/officeDocument/2006/relationships" ref="AC30" r:id="rId17"/>
    <hyperlink xmlns:r="http://schemas.openxmlformats.org/officeDocument/2006/relationships" ref="AC31" r:id="rId18"/>
    <hyperlink xmlns:r="http://schemas.openxmlformats.org/officeDocument/2006/relationships" ref="AC129" r:id="rId19"/>
    <hyperlink xmlns:r="http://schemas.openxmlformats.org/officeDocument/2006/relationships" ref="AC130" r:id="rId20"/>
    <hyperlink xmlns:r="http://schemas.openxmlformats.org/officeDocument/2006/relationships" ref="AC131" r:id="rId21"/>
    <hyperlink xmlns:r="http://schemas.openxmlformats.org/officeDocument/2006/relationships" ref="AC132" r:id="rId22"/>
    <hyperlink xmlns:r="http://schemas.openxmlformats.org/officeDocument/2006/relationships" ref="AC133" r:id="rId23"/>
    <hyperlink xmlns:r="http://schemas.openxmlformats.org/officeDocument/2006/relationships" ref="AC135" r:id="rId24"/>
    <hyperlink xmlns:r="http://schemas.openxmlformats.org/officeDocument/2006/relationships" ref="AC136" r:id="rId25"/>
    <hyperlink xmlns:r="http://schemas.openxmlformats.org/officeDocument/2006/relationships" ref="AC137" r:id="rId26"/>
    <hyperlink xmlns:r="http://schemas.openxmlformats.org/officeDocument/2006/relationships" ref="AC258" r:id="rId27"/>
    <hyperlink xmlns:r="http://schemas.openxmlformats.org/officeDocument/2006/relationships" ref="AC259" r:id="rId28"/>
    <hyperlink xmlns:r="http://schemas.openxmlformats.org/officeDocument/2006/relationships" ref="AC261" r:id="rId29"/>
    <hyperlink xmlns:r="http://schemas.openxmlformats.org/officeDocument/2006/relationships" ref="AC262" r:id="rId30"/>
    <hyperlink xmlns:r="http://schemas.openxmlformats.org/officeDocument/2006/relationships" ref="AC263" r:id="rId31"/>
    <hyperlink xmlns:r="http://schemas.openxmlformats.org/officeDocument/2006/relationships" ref="AC264" r:id="rId32"/>
    <hyperlink xmlns:r="http://schemas.openxmlformats.org/officeDocument/2006/relationships" ref="AC265" r:id="rId33"/>
    <hyperlink xmlns:r="http://schemas.openxmlformats.org/officeDocument/2006/relationships" ref="AC266" r:id="rId34"/>
    <hyperlink xmlns:r="http://schemas.openxmlformats.org/officeDocument/2006/relationships" ref="AC268" r:id="rId35"/>
    <hyperlink xmlns:r="http://schemas.openxmlformats.org/officeDocument/2006/relationships" ref="AC269" r:id="rId36"/>
    <hyperlink xmlns:r="http://schemas.openxmlformats.org/officeDocument/2006/relationships" ref="AC270" r:id="rId37"/>
    <hyperlink xmlns:r="http://schemas.openxmlformats.org/officeDocument/2006/relationships" ref="AC271" r:id="rId38"/>
    <hyperlink xmlns:r="http://schemas.openxmlformats.org/officeDocument/2006/relationships" ref="AC272" r:id="rId39"/>
    <hyperlink xmlns:r="http://schemas.openxmlformats.org/officeDocument/2006/relationships" ref="AC273" r:id="rId40"/>
    <hyperlink xmlns:r="http://schemas.openxmlformats.org/officeDocument/2006/relationships" ref="AC274" r:id="rId41"/>
    <hyperlink xmlns:r="http://schemas.openxmlformats.org/officeDocument/2006/relationships" ref="AC275" r:id="rId42"/>
    <hyperlink xmlns:r="http://schemas.openxmlformats.org/officeDocument/2006/relationships" ref="AC276" r:id="rId43"/>
    <hyperlink xmlns:r="http://schemas.openxmlformats.org/officeDocument/2006/relationships" ref="AC277" r:id="rId44"/>
    <hyperlink xmlns:r="http://schemas.openxmlformats.org/officeDocument/2006/relationships" ref="AC280" r:id="rId45"/>
    <hyperlink xmlns:r="http://schemas.openxmlformats.org/officeDocument/2006/relationships" ref="AC281" r:id="rId46"/>
    <hyperlink xmlns:r="http://schemas.openxmlformats.org/officeDocument/2006/relationships" ref="AC282" r:id="rId47"/>
    <hyperlink xmlns:r="http://schemas.openxmlformats.org/officeDocument/2006/relationships" ref="AC283" r:id="rId48"/>
    <hyperlink xmlns:r="http://schemas.openxmlformats.org/officeDocument/2006/relationships" ref="AC284" r:id="rId49"/>
    <hyperlink xmlns:r="http://schemas.openxmlformats.org/officeDocument/2006/relationships" ref="AC288" r:id="rId50"/>
  </hyperlinks>
  <pageMargins left="0.75" right="0.75" top="1" bottom="1" header="0.5" footer="0.5"/>
  <pageSetup fitToHeight="0" fitToWidth="1"/>
  <legacyDrawing xmlns:r="http://schemas.openxmlformats.org/officeDocument/2006/relationships" r:id="anysvml"/>
  <tableParts count="1">
    <tablePart xmlns:r="http://schemas.openxmlformats.org/officeDocument/2006/relationships" r:id="rId51"/>
  </tableParts>
</worksheet>
</file>

<file path=xl/worksheets/sheet4.xml><?xml version="1.0" encoding="utf-8"?>
<worksheet xmlns="http://schemas.openxmlformats.org/spreadsheetml/2006/main">
  <sheetPr>
    <tabColor rgb="00B79BFF"/>
    <outlinePr summaryBelow="1" summaryRight="1"/>
    <pageSetUpPr fitToPage="1"/>
  </sheetPr>
  <dimension ref="A1:K313"/>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36" customWidth="1" min="2" max="2"/>
    <col width="22" customWidth="1" min="3" max="3"/>
    <col width="52" customWidth="1" min="4" max="4"/>
    <col width="42" customWidth="1" min="5" max="5"/>
    <col width="34" customWidth="1" min="6" max="6"/>
    <col width="42" customWidth="1" min="7" max="7"/>
    <col width="23" customWidth="1" min="8" max="8"/>
    <col width="16" customWidth="1" min="9" max="9"/>
    <col width="18" customWidth="1" min="10" max="10"/>
    <col width="72" customWidth="1" min="11" max="11"/>
  </cols>
  <sheetData>
    <row r="1" ht="34" customHeight="1">
      <c r="A1" s="15" t="inlineStr">
        <is>
          <t>Evidence ID</t>
        </is>
      </c>
      <c r="B1" s="15" t="inlineStr">
        <is>
          <t>Feature IDs</t>
        </is>
      </c>
      <c r="C1" s="15" t="inlineStr">
        <is>
          <t>Evidence Type</t>
        </is>
      </c>
      <c r="D1" s="15" t="inlineStr">
        <is>
          <t>Source Path or System</t>
        </is>
      </c>
      <c r="E1" s="15" t="inlineStr">
        <is>
          <t>Symbol / Route / Object</t>
        </is>
      </c>
      <c r="F1" s="15" t="inlineStr">
        <is>
          <t>Line or Locator</t>
        </is>
      </c>
      <c r="G1" s="15" t="inlineStr">
        <is>
          <t>Revision / Build</t>
        </is>
      </c>
      <c r="H1" s="15" t="inlineStr">
        <is>
          <t>Observed or Generated At</t>
        </is>
      </c>
      <c r="I1" s="15" t="inlineStr">
        <is>
          <t>Result</t>
        </is>
      </c>
      <c r="J1" s="15" t="inlineStr">
        <is>
          <t>Freshness</t>
        </is>
      </c>
      <c r="K1" s="15" t="inlineStr">
        <is>
          <t>Evidence Note</t>
        </is>
      </c>
    </row>
    <row r="2" ht="42" customHeight="1">
      <c r="A2" s="29" t="inlineStr">
        <is>
          <t>EV-01-0001</t>
        </is>
      </c>
      <c r="B2" s="30" t="inlineStr">
        <is>
          <t>BLYP-01-001</t>
        </is>
      </c>
      <c r="C2" s="29" t="inlineStr">
        <is>
          <t>Source code search</t>
        </is>
      </c>
      <c r="D2" s="30" t="inlineStr">
        <is>
          <t>src/ (all JS/TS files)</t>
        </is>
      </c>
      <c r="E2" s="29" t="inlineStr">
        <is>
          <t>BlypBar / blypBar / blyp-bar / blyp_bar / BLYP Bar</t>
        </is>
      </c>
      <c r="F2" s="29" t="inlineStr">
        <is>
          <t>No match</t>
        </is>
      </c>
      <c r="G2" s="29" t="inlineStr">
        <is>
          <t>8bc0dcb2a1da1b21368c5536aaeef829d587f316</t>
        </is>
      </c>
      <c r="H2" s="29" t="inlineStr">
        <is>
          <t>2026-08-02T00:00:00Z</t>
        </is>
      </c>
      <c r="I2" s="29" t="inlineStr">
        <is>
          <t>Inconclusive</t>
        </is>
      </c>
      <c r="J2" s="29" t="inlineStr">
        <is>
          <t>Current revision</t>
        </is>
      </c>
      <c r="K2" s="29" t="inlineStr">
        <is>
          <t>Exhaustive grep for 'BLYP Bar', 'BlypBar', 'blypBar', 'blyp-bar', 'blyp_bar' across all non-node_modules source files returned no results. No BLYP Bar component, screen, service, or route was found. Does NOT prove absence; the feature may exist under a different identifier.</t>
        </is>
      </c>
    </row>
    <row r="3" ht="42" customHeight="1">
      <c r="A3" s="29" t="inlineStr">
        <is>
          <t>EV-01-0002</t>
        </is>
      </c>
      <c r="B3" s="30" t="inlineStr">
        <is>
          <t>BLYP-01-002;BLYP-01-003;BLYP-01-004</t>
        </is>
      </c>
      <c r="C3" s="29" t="inlineStr">
        <is>
          <t>Source code search</t>
        </is>
      </c>
      <c r="D3" s="30" t="inlineStr">
        <is>
          <t>src/ (all JS/TS files)</t>
        </is>
      </c>
      <c r="E3" s="29" t="inlineStr">
        <is>
          <t>battle / Battle (BLYP Bar context)</t>
        </is>
      </c>
      <c r="F3" s="29" t="inlineStr">
        <is>
          <t>No match in client AI/dispatch layer</t>
        </is>
      </c>
      <c r="G3" s="29" t="inlineStr">
        <is>
          <t>8bc0dcb2a1da1b21368c5536aaeef829d587f316</t>
        </is>
      </c>
      <c r="H3" s="29" t="inlineStr">
        <is>
          <t>2026-08-02T00:00:00Z</t>
        </is>
      </c>
      <c r="I3" s="29" t="inlineStr">
        <is>
          <t>Inconclusive</t>
        </is>
      </c>
      <c r="J3" s="29" t="inlineStr">
        <is>
          <t>Current revision</t>
        </is>
      </c>
      <c r="K3" s="29" t="inlineStr">
        <is>
          <t>Grep for 'battle' in client source found only economy/promotion references (backend/blyp-live-service/src/economy/economyRoutes.ts:84, economyService.ts:308). No client-side battle-request parsing, opponent resolution, or prefill flow was found. Economy 'promote battle' is a coin-spend feature, not a BLYP Bar dispatch feature. Does NOT prove absence.</t>
        </is>
      </c>
    </row>
    <row r="4" ht="42" customHeight="1">
      <c r="A4" s="29" t="inlineStr">
        <is>
          <t>EV-01-0003</t>
        </is>
      </c>
      <c r="B4" s="30" t="inlineStr">
        <is>
          <t>BLYP-01-002;BLYP-01-003;BLYP-01-004</t>
        </is>
      </c>
      <c r="C4" s="29" t="inlineStr">
        <is>
          <t>Source code</t>
        </is>
      </c>
      <c r="D4" s="30" t="inlineStr">
        <is>
          <t>backend/blyp-live-service/src/economy/economyRoutes.ts</t>
        </is>
      </c>
      <c r="E4" s="29" t="inlineStr">
        <is>
          <t>router.post('/promote/battle')</t>
        </is>
      </c>
      <c r="F4" s="29" t="inlineStr">
        <is>
          <t>Line 84</t>
        </is>
      </c>
      <c r="G4" s="29" t="inlineStr">
        <is>
          <t>8bc0dcb2a1da1b21368c5536aaeef829d587f316</t>
        </is>
      </c>
      <c r="H4" s="29" t="inlineStr">
        <is>
          <t>2026-08-02T00:00:00Z</t>
        </is>
      </c>
      <c r="I4" s="29" t="inlineStr">
        <is>
          <t>Lead only</t>
        </is>
      </c>
      <c r="J4" s="29" t="inlineStr">
        <is>
          <t>Current revision</t>
        </is>
      </c>
      <c r="K4" s="29" t="inlineStr">
        <is>
          <t>Backend route POST /promote/battle exists for coin-spend battle promotion (economyRoutes.ts:84). This is an economy feature, not a BLYP Bar conversational dispatch. Does not prove BLYP Bar battle-request interpretation, opponent resolution, or prefilled creation flow.</t>
        </is>
      </c>
    </row>
    <row r="5" ht="42" customHeight="1">
      <c r="A5" s="29" t="inlineStr">
        <is>
          <t>EV-01-0004</t>
        </is>
      </c>
      <c r="B5" s="30" t="inlineStr">
        <is>
          <t>BLYP-01-005;BLYP-01-006</t>
        </is>
      </c>
      <c r="C5" s="29" t="inlineStr">
        <is>
          <t>Source code search</t>
        </is>
      </c>
      <c r="D5" s="30" t="inlineStr">
        <is>
          <t>src/ (all JS/TS files)</t>
        </is>
      </c>
      <c r="E5" s="29" t="inlineStr">
        <is>
          <t>watch / Watch (event/creator context)</t>
        </is>
      </c>
      <c r="F5" s="29" t="inlineStr">
        <is>
          <t>No match for event/creator watch feature</t>
        </is>
      </c>
      <c r="G5" s="29" t="inlineStr">
        <is>
          <t>8bc0dcb2a1da1b21368c5536aaeef829d587f316</t>
        </is>
      </c>
      <c r="H5" s="29" t="inlineStr">
        <is>
          <t>2026-08-02T00:00:00Z</t>
        </is>
      </c>
      <c r="I5" s="29" t="inlineStr">
        <is>
          <t>Inconclusive</t>
        </is>
      </c>
      <c r="J5" s="29" t="inlineStr">
        <is>
          <t>Current revision</t>
        </is>
      </c>
      <c r="K5" s="29" t="inlineStr">
        <is>
          <t>Grep for 'watch' in source found only totalWatchTime analytics metrics, 'watching' viewer count labels, and test-watch build scripts. No event-watch or creator-watch subscription feature, service, or data model was found. Does NOT prove absence.</t>
        </is>
      </c>
    </row>
    <row r="6" ht="42" customHeight="1">
      <c r="A6" s="29" t="inlineStr">
        <is>
          <t>EV-01-0005</t>
        </is>
      </c>
      <c r="B6" s="30" t="inlineStr">
        <is>
          <t>BLYP-01-007;BLYP-01-008;BLYP-01-009</t>
        </is>
      </c>
      <c r="C6" s="29" t="inlineStr">
        <is>
          <t>Source code search</t>
        </is>
      </c>
      <c r="D6" s="30" t="inlineStr">
        <is>
          <t>src/ (all JS/TS files)</t>
        </is>
      </c>
      <c r="E6" s="29" t="inlineStr">
        <is>
          <t>reminder / Reminder</t>
        </is>
      </c>
      <c r="F6" s="29" t="inlineStr">
        <is>
          <t>No match</t>
        </is>
      </c>
      <c r="G6" s="29" t="inlineStr">
        <is>
          <t>8bc0dcb2a1da1b21368c5536aaeef829d587f316</t>
        </is>
      </c>
      <c r="H6" s="29" t="inlineStr">
        <is>
          <t>2026-08-02T00:00:00Z</t>
        </is>
      </c>
      <c r="I6" s="29" t="inlineStr">
        <is>
          <t>Inconclusive</t>
        </is>
      </c>
      <c r="J6" s="29" t="inlineStr">
        <is>
          <t>Current revision</t>
        </is>
      </c>
      <c r="K6" s="29" t="inlineStr">
        <is>
          <t>Exhaustive grep for 'reminder' and 'Reminder' across all non-node_modules source files returned no results. No single-reminder, multi-event reminder, or live-creator notification feature was found. Does NOT prove absence.</t>
        </is>
      </c>
    </row>
    <row r="7" ht="42" customHeight="1">
      <c r="A7" s="29" t="inlineStr">
        <is>
          <t>EV-01-0006</t>
        </is>
      </c>
      <c r="B7" s="30" t="inlineStr">
        <is>
          <t>BLYP-01-010</t>
        </is>
      </c>
      <c r="C7" s="29" t="inlineStr">
        <is>
          <t>Source code</t>
        </is>
      </c>
      <c r="D7" s="30" t="inlineStr">
        <is>
          <t>src/screens/SearchScreen.js</t>
        </is>
      </c>
      <c r="E7" s="29" t="inlineStr">
        <is>
          <t>SearchScreen component</t>
        </is>
      </c>
      <c r="F7" s="29" t="inlineStr">
        <is>
          <t>Lines 1-600</t>
        </is>
      </c>
      <c r="G7" s="29" t="inlineStr">
        <is>
          <t>8bc0dcb2a1da1b21368c5536aaeef829d587f316</t>
        </is>
      </c>
      <c r="H7" s="29" t="inlineStr">
        <is>
          <t>2026-08-02T00:00:00Z</t>
        </is>
      </c>
      <c r="I7" s="29" t="inlineStr">
        <is>
          <t>Supports</t>
        </is>
      </c>
      <c r="J7" s="29" t="inlineStr">
        <is>
          <t>Current revision</t>
        </is>
      </c>
      <c r="K7" s="29" t="inlineStr">
        <is>
          <t>SearchScreen.js implements a multi-tab search UI (users, posts, hashtags, locations) backed by searchService.globalSearch(). The screen is registered in App.js AppStack as 'Search'. Supports in-app content search. Does NOT prove BLYP Bar integration or AI-powered search.</t>
        </is>
      </c>
    </row>
    <row r="8" ht="42" customHeight="1">
      <c r="A8" s="29" t="inlineStr">
        <is>
          <t>EV-01-0007</t>
        </is>
      </c>
      <c r="B8" s="30" t="inlineStr">
        <is>
          <t>BLYP-01-010</t>
        </is>
      </c>
      <c r="C8" s="29" t="inlineStr">
        <is>
          <t>Source code</t>
        </is>
      </c>
      <c r="D8" s="30" t="inlineStr">
        <is>
          <t>src/services/searchService.js</t>
        </is>
      </c>
      <c r="E8" s="29" t="inlineStr">
        <is>
          <t>SearchService.searchPosts / searchUsers / searchHashtags</t>
        </is>
      </c>
      <c r="F8" s="29" t="inlineStr">
        <is>
          <t>Lines 95-307</t>
        </is>
      </c>
      <c r="G8" s="29" t="inlineStr">
        <is>
          <t>8bc0dcb2a1da1b21368c5536aaeef829d587f316</t>
        </is>
      </c>
      <c r="H8" s="29" t="inlineStr">
        <is>
          <t>2026-08-02T00:00:00Z</t>
        </is>
      </c>
      <c r="I8" s="29" t="inlineStr">
        <is>
          <t>Supports</t>
        </is>
      </c>
      <c r="J8" s="29" t="inlineStr">
        <is>
          <t>Current revision</t>
        </is>
      </c>
      <c r="K8" s="29" t="inlineStr">
        <is>
          <t>searchService.js implements globalSearch, searchUsers, searchPosts, searchHashtags, searchLocations. searchPosts returns mock data (line 101-102). searchUsers filters hardcoded suggestedUsers. Does NOT prove live Firestore-backed search or BLYP Bar integration.</t>
        </is>
      </c>
    </row>
    <row r="9" ht="42" customHeight="1">
      <c r="A9" s="29" t="inlineStr">
        <is>
          <t>EV-01-0008</t>
        </is>
      </c>
      <c r="B9" s="30" t="inlineStr">
        <is>
          <t>BLYP-01-011</t>
        </is>
      </c>
      <c r="C9" s="29" t="inlineStr">
        <is>
          <t>Source code search</t>
        </is>
      </c>
      <c r="D9" s="30" t="inlineStr">
        <is>
          <t>src/ (all JS/TS files)</t>
        </is>
      </c>
      <c r="E9" s="29" t="inlineStr">
        <is>
          <t>plus / Plus / premium / subscription / entitlement / gated</t>
        </is>
      </c>
      <c r="F9" s="29" t="inlineStr">
        <is>
          <t>No match</t>
        </is>
      </c>
      <c r="G9" s="29" t="inlineStr">
        <is>
          <t>8bc0dcb2a1da1b21368c5536aaeef829d587f316</t>
        </is>
      </c>
      <c r="H9" s="29" t="inlineStr">
        <is>
          <t>2026-08-02T00:00:00Z</t>
        </is>
      </c>
      <c r="I9" s="29" t="inlineStr">
        <is>
          <t>Inconclusive</t>
        </is>
      </c>
      <c r="J9" s="29" t="inlineStr">
        <is>
          <t>Current revision</t>
        </is>
      </c>
      <c r="K9" s="29" t="inlineStr">
        <is>
          <t>Grep for 'plus', 'Plus', 'premium', 'Premium', 'subscription', 'entitlement', 'gated' across all non-node_modules source files returned no results. No Plus-tier gate, subscription check, or entitlement enforcement for Gemini features was found. Does NOT prove absence.</t>
        </is>
      </c>
    </row>
    <row r="10" ht="42" customHeight="1">
      <c r="A10" s="29" t="inlineStr">
        <is>
          <t>EV-01-0009</t>
        </is>
      </c>
      <c r="B10" s="30" t="inlineStr">
        <is>
          <t>BLYP-01-012</t>
        </is>
      </c>
      <c r="C10" s="29" t="inlineStr">
        <is>
          <t>Source code search</t>
        </is>
      </c>
      <c r="D10" s="30" t="inlineStr">
        <is>
          <t>src/ (all JS/TS files)</t>
        </is>
      </c>
      <c r="E10" s="29" t="inlineStr">
        <is>
          <t>autonomous / Autonomous / action execution / generic action</t>
        </is>
      </c>
      <c r="F10" s="29" t="inlineStr">
        <is>
          <t>No match</t>
        </is>
      </c>
      <c r="G10" s="29" t="inlineStr">
        <is>
          <t>8bc0dcb2a1da1b21368c5536aaeef829d587f316</t>
        </is>
      </c>
      <c r="H10" s="29" t="inlineStr">
        <is>
          <t>2026-08-02T00:00:00Z</t>
        </is>
      </c>
      <c r="I10" s="29" t="inlineStr">
        <is>
          <t>Inconclusive</t>
        </is>
      </c>
      <c r="J10" s="29" t="inlineStr">
        <is>
          <t>Current revision</t>
        </is>
      </c>
      <c r="K10" s="29" t="inlineStr">
        <is>
          <t>Grep for 'autonomous', 'Autonomous', 'generic action', 'action execution' across all non-node_modules source files returned no results. No generic autonomous action framework was found. Does NOT prove absence.</t>
        </is>
      </c>
    </row>
    <row r="11" ht="42" customHeight="1">
      <c r="A11" s="29" t="inlineStr">
        <is>
          <t>EV-01-0010</t>
        </is>
      </c>
      <c r="B11" s="30" t="inlineStr">
        <is>
          <t>BLYP-01-013</t>
        </is>
      </c>
      <c r="C11" s="29" t="inlineStr">
        <is>
          <t>Source code</t>
        </is>
      </c>
      <c r="D11" s="30" t="inlineStr">
        <is>
          <t>src/screens/ReviewScreen.js</t>
        </is>
      </c>
      <c r="E11" s="29" t="inlineStr">
        <is>
          <t>ReviewScreen / aiService / mediaDescriptionService</t>
        </is>
      </c>
      <c r="F11" s="29" t="inlineStr">
        <is>
          <t>Lines 32-36, 76-91</t>
        </is>
      </c>
      <c r="G11" s="29" t="inlineStr">
        <is>
          <t>8bc0dcb2a1da1b21368c5536aaeef829d587f316</t>
        </is>
      </c>
      <c r="H11" s="29" t="inlineStr">
        <is>
          <t>2026-08-02T00:00:00Z</t>
        </is>
      </c>
      <c r="I11" s="29" t="inlineStr">
        <is>
          <t>Supports</t>
        </is>
      </c>
      <c r="J11" s="29" t="inlineStr">
        <is>
          <t>Current revision</t>
        </is>
      </c>
      <c r="K11" s="29" t="inlineStr">
        <is>
          <t>ReviewScreen.js imports aiService, speechToTextService, geminiSpeechService, mediaDescriptionService and manages AI Enhancement States (isGeneratingContent, aiSuggestions, aiCaption). The Review screen functions as the post composer with AI assistance. Does NOT prove BLYP Bar integration or a separate composer screen.</t>
        </is>
      </c>
    </row>
    <row r="12" ht="42" customHeight="1">
      <c r="A12" s="29" t="inlineStr">
        <is>
          <t>EV-01-0011</t>
        </is>
      </c>
      <c r="B12" s="30" t="inlineStr">
        <is>
          <t>BLYP-01-014</t>
        </is>
      </c>
      <c r="C12" s="29" t="inlineStr">
        <is>
          <t>Source code</t>
        </is>
      </c>
      <c r="D12" s="30" t="inlineStr">
        <is>
          <t>src/screens/CameraScreen.js</t>
        </is>
      </c>
      <c r="E12" s="29" t="inlineStr">
        <is>
          <t>CameraScreen / CameraView / takePicture</t>
        </is>
      </c>
      <c r="F12" s="29" t="inlineStr">
        <is>
          <t>Lines 1-205</t>
        </is>
      </c>
      <c r="G12" s="29" t="inlineStr">
        <is>
          <t>8bc0dcb2a1da1b21368c5536aaeef829d587f316</t>
        </is>
      </c>
      <c r="H12" s="29" t="inlineStr">
        <is>
          <t>2026-08-02T00:00:00Z</t>
        </is>
      </c>
      <c r="I12" s="29" t="inlineStr">
        <is>
          <t>Supports</t>
        </is>
      </c>
      <c r="J12" s="29" t="inlineStr">
        <is>
          <t>Current revision</t>
        </is>
      </c>
      <c r="K12" s="29" t="inlineStr">
        <is>
          <t>CameraScreen.js uses expo-camera CameraView and implements photo capture (capturedPhotos state, multi-photo mode). Navigates to Review screen with captured photos. Does NOT prove physical device camera functionality or production build.</t>
        </is>
      </c>
    </row>
    <row r="13" ht="42" customHeight="1">
      <c r="A13" s="29" t="inlineStr">
        <is>
          <t>EV-01-0012</t>
        </is>
      </c>
      <c r="B13" s="30" t="inlineStr">
        <is>
          <t>BLYP-01-015</t>
        </is>
      </c>
      <c r="C13" s="29" t="inlineStr">
        <is>
          <t>Source code</t>
        </is>
      </c>
      <c r="D13" s="30" t="inlineStr">
        <is>
          <t>src/screens/CameraScreen.js</t>
        </is>
      </c>
      <c r="E13" s="29" t="inlineStr">
        <is>
          <t>CameraScreen / recordAsync / video recording</t>
        </is>
      </c>
      <c r="F13" s="29" t="inlineStr">
        <is>
          <t>Lines 280-420</t>
        </is>
      </c>
      <c r="G13" s="29" t="inlineStr">
        <is>
          <t>8bc0dcb2a1da1b21368c5536aaeef829d587f316</t>
        </is>
      </c>
      <c r="H13" s="29" t="inlineStr">
        <is>
          <t>2026-08-02T00:00:00Z</t>
        </is>
      </c>
      <c r="I13" s="29" t="inlineStr">
        <is>
          <t>Supports</t>
        </is>
      </c>
      <c r="J13" s="29" t="inlineStr">
        <is>
          <t>Current revision</t>
        </is>
      </c>
      <c r="K13" s="29" t="inlineStr">
        <is>
          <t>CameraScreen.js implements video recording via CameraView.recordAsync and system video picker (ImagePicker.launchImageLibraryAsync with MediaTypeOptions.Videos). Navigates to Review with video. Does NOT prove physical device recording or production build.</t>
        </is>
      </c>
    </row>
    <row r="14" ht="42" customHeight="1">
      <c r="A14" s="29" t="inlineStr">
        <is>
          <t>EV-01-0013</t>
        </is>
      </c>
      <c r="B14" s="30" t="inlineStr">
        <is>
          <t>BLYP-01-016</t>
        </is>
      </c>
      <c r="C14" s="29" t="inlineStr">
        <is>
          <t>Source code</t>
        </is>
      </c>
      <c r="D14" s="30" t="inlineStr">
        <is>
          <t>src/screens/CameraScreen.js</t>
        </is>
      </c>
      <c r="E14" s="29" t="inlineStr">
        <is>
          <t>openGallery / ImagePicker.launchImageLibraryAsync</t>
        </is>
      </c>
      <c r="F14" s="29" t="inlineStr">
        <is>
          <t>Lines 207-249</t>
        </is>
      </c>
      <c r="G14" s="29" t="inlineStr">
        <is>
          <t>8bc0dcb2a1da1b21368c5536aaeef829d587f316</t>
        </is>
      </c>
      <c r="H14" s="29" t="inlineStr">
        <is>
          <t>2026-08-02T00:00:00Z</t>
        </is>
      </c>
      <c r="I14" s="29" t="inlineStr">
        <is>
          <t>Supports</t>
        </is>
      </c>
      <c r="J14" s="29" t="inlineStr">
        <is>
          <t>Current revision</t>
        </is>
      </c>
      <c r="K14" s="29" t="inlineStr">
        <is>
          <t>CameraScreen.js openGallery() calls ImagePicker.launchImageLibraryAsync with allowsMultipleSelection:true, selectionLimit:10. Navigates to Review with gallery photos. Does NOT prove physical device gallery access or production build.</t>
        </is>
      </c>
    </row>
    <row r="15" ht="42" customHeight="1">
      <c r="A15" s="29" t="inlineStr">
        <is>
          <t>EV-01-0014</t>
        </is>
      </c>
      <c r="B15" s="30" t="inlineStr">
        <is>
          <t>BLYP-01-017</t>
        </is>
      </c>
      <c r="C15" s="29" t="inlineStr">
        <is>
          <t>Source code</t>
        </is>
      </c>
      <c r="D15" s="30" t="inlineStr">
        <is>
          <t>src/screens/VoiceMemoScreen.js</t>
        </is>
      </c>
      <c r="E15" s="29" t="inlineStr">
        <is>
          <t>VoiceMemoScreen / Audio.Recording.createAsync</t>
        </is>
      </c>
      <c r="F15" s="29" t="inlineStr">
        <is>
          <t>Lines 1-100</t>
        </is>
      </c>
      <c r="G15" s="29" t="inlineStr">
        <is>
          <t>8bc0dcb2a1da1b21368c5536aaeef829d587f316</t>
        </is>
      </c>
      <c r="H15" s="29" t="inlineStr">
        <is>
          <t>2026-08-02T00:00:00Z</t>
        </is>
      </c>
      <c r="I15" s="29" t="inlineStr">
        <is>
          <t>Supports</t>
        </is>
      </c>
      <c r="J15" s="29" t="inlineStr">
        <is>
          <t>Current revision</t>
        </is>
      </c>
      <c r="K15" s="29" t="inlineStr">
        <is>
          <t>VoiceMemoScreen.js implements audio recording via expo-av Audio.Recording.createAsync and navigates to Review with audio URI. ReviewScreen also imports Audio from expo-av (line 20). Does NOT prove physical device microphone access or production build.</t>
        </is>
      </c>
    </row>
    <row r="16" ht="42" customHeight="1">
      <c r="A16" s="29" t="inlineStr">
        <is>
          <t>EV-01-0015</t>
        </is>
      </c>
      <c r="B16" s="30" t="inlineStr">
        <is>
          <t>BLYP-01-018</t>
        </is>
      </c>
      <c r="C16" s="29" t="inlineStr">
        <is>
          <t>Source code</t>
        </is>
      </c>
      <c r="D16" s="30" t="inlineStr">
        <is>
          <t>src/screens/ReviewScreen.js</t>
        </is>
      </c>
      <c r="E16" s="29" t="inlineStr">
        <is>
          <t>caption / manualDescription / TextInput</t>
        </is>
      </c>
      <c r="F16" s="29" t="inlineStr">
        <is>
          <t>Lines 63, 93-95, 2582-2593</t>
        </is>
      </c>
      <c r="G16" s="29" t="inlineStr">
        <is>
          <t>8bc0dcb2a1da1b21368c5536aaeef829d587f316</t>
        </is>
      </c>
      <c r="H16" s="29" t="inlineStr">
        <is>
          <t>2026-08-02T00:00:00Z</t>
        </is>
      </c>
      <c r="I16" s="29" t="inlineStr">
        <is>
          <t>Supports</t>
        </is>
      </c>
      <c r="J16" s="29" t="inlineStr">
        <is>
          <t>Current revision</t>
        </is>
      </c>
      <c r="K16" s="29" t="inlineStr">
        <is>
          <t>ReviewScreen.js maintains caption and manualDescription state, renders editable TextInput for caption (aiCaptionInput style, line 2582). User can type description/caption manually. Does NOT prove server persistence or production build.</t>
        </is>
      </c>
    </row>
    <row r="17" ht="42" customHeight="1">
      <c r="A17" s="29" t="inlineStr">
        <is>
          <t>EV-01-0016</t>
        </is>
      </c>
      <c r="B17" s="30" t="inlineStr">
        <is>
          <t>BLYP-01-019</t>
        </is>
      </c>
      <c r="C17" s="29" t="inlineStr">
        <is>
          <t>Source code</t>
        </is>
      </c>
      <c r="D17" s="30" t="inlineStr">
        <is>
          <t>src/screens/ReviewScreen.js</t>
        </is>
      </c>
      <c r="E17" s="29" t="inlineStr">
        <is>
          <t>handleVoiceButtonPressIn / handleVoiceButtonPressOut / handleVoiceDescriptionPressIn / handleVoiceDescriptionPressOut</t>
        </is>
      </c>
      <c r="F17" s="29" t="inlineStr">
        <is>
          <t>Lines 1001-1015, 1494-1513, 2389-2396, 3111-3118</t>
        </is>
      </c>
      <c r="G17" s="29" t="inlineStr">
        <is>
          <t>8bc0dcb2a1da1b21368c5536aaeef829d587f316</t>
        </is>
      </c>
      <c r="H17" s="29" t="inlineStr">
        <is>
          <t>2026-08-02T00:00:00Z</t>
        </is>
      </c>
      <c r="I17" s="29" t="inlineStr">
        <is>
          <t>Supports</t>
        </is>
      </c>
      <c r="J17" s="29" t="inlineStr">
        <is>
          <t>Current revision</t>
        </is>
      </c>
      <c r="K17" s="29" t="inlineStr">
        <is>
          <t>ReviewScreen.js implements hold-to-talk (onPressIn/onPressOut) for voice description via speechToTextService.startRecording/stopRecording. Push-to-talk is wired to both the main voice button and the description overlay. Does NOT prove physical device microphone or production build.</t>
        </is>
      </c>
    </row>
    <row r="18" ht="42" customHeight="1">
      <c r="A18" s="29" t="inlineStr">
        <is>
          <t>EV-01-0017</t>
        </is>
      </c>
      <c r="B18" s="30" t="inlineStr">
        <is>
          <t>BLYP-01-020</t>
        </is>
      </c>
      <c r="C18" s="29" t="inlineStr">
        <is>
          <t>Source code</t>
        </is>
      </c>
      <c r="D18" s="30" t="inlineStr">
        <is>
          <t>src/services/geminiSpeechService.js</t>
        </is>
      </c>
      <c r="E18" s="29" t="inlineStr">
        <is>
          <t>GeminiSpeechService.transcribeAudio</t>
        </is>
      </c>
      <c r="F18" s="29" t="inlineStr">
        <is>
          <t>Lines 50-141</t>
        </is>
      </c>
      <c r="G18" s="29" t="inlineStr">
        <is>
          <t>8bc0dcb2a1da1b21368c5536aaeef829d587f316</t>
        </is>
      </c>
      <c r="H18" s="29" t="inlineStr">
        <is>
          <t>2026-08-02T00:00:00Z</t>
        </is>
      </c>
      <c r="I18" s="29" t="inlineStr">
        <is>
          <t>Supports</t>
        </is>
      </c>
      <c r="J18" s="29" t="inlineStr">
        <is>
          <t>Current revision</t>
        </is>
      </c>
      <c r="K18" s="29" t="inlineStr">
        <is>
          <t>geminiSpeechService.js calls Gemini API (generativelanguage.googleapis.com) to transcribe audio. ReviewScreen uses geminiSpeechService.transcribeAudio (lines 525, 1623). speechToTextService.js also provides a recording/transcription wrapper. Does NOT prove production API key availability or physical device use.</t>
        </is>
      </c>
    </row>
    <row r="19" ht="42" customHeight="1">
      <c r="A19" s="29" t="inlineStr">
        <is>
          <t>EV-01-0018</t>
        </is>
      </c>
      <c r="B19" s="30" t="inlineStr">
        <is>
          <t>BLYP-01-021</t>
        </is>
      </c>
      <c r="C19" s="29" t="inlineStr">
        <is>
          <t>Source code</t>
        </is>
      </c>
      <c r="D19" s="30" t="inlineStr">
        <is>
          <t>src/screens/ReviewScreen.js</t>
        </is>
      </c>
      <c r="E19" s="29" t="inlineStr">
        <is>
          <t>manualDescription / descriptionText / contextPrompt</t>
        </is>
      </c>
      <c r="F19" s="29" t="inlineStr">
        <is>
          <t>Lines 93-95, 1424-1492, 2030-2103</t>
        </is>
      </c>
      <c r="G19" s="29" t="inlineStr">
        <is>
          <t>8bc0dcb2a1da1b21368c5536aaeef829d587f316</t>
        </is>
      </c>
      <c r="H19" s="29" t="inlineStr">
        <is>
          <t>2026-08-02T00:00:00Z</t>
        </is>
      </c>
      <c r="I19" s="29" t="inlineStr">
        <is>
          <t>Supports</t>
        </is>
      </c>
      <c r="J19" s="29" t="inlineStr">
        <is>
          <t>Current revision</t>
        </is>
      </c>
      <c r="K19" s="29" t="inlineStr">
        <is>
          <t>ReviewScreen.js allows user to type creative direction via manualDescription TextInput and descriptionText state. This text is included in the AI prompt as 'Extra user context' (generateComprehensiveAIContent, line 2075). Does NOT prove a dedicated 'creative direction' UI label or distinct UX flow.</t>
        </is>
      </c>
    </row>
    <row r="20" ht="42" customHeight="1">
      <c r="A20" s="29" t="inlineStr">
        <is>
          <t>EV-01-0019</t>
        </is>
      </c>
      <c r="B20" s="30" t="inlineStr">
        <is>
          <t>BLYP-01-022</t>
        </is>
      </c>
      <c r="C20" s="29" t="inlineStr">
        <is>
          <t>Source code</t>
        </is>
      </c>
      <c r="D20" s="30" t="inlineStr">
        <is>
          <t>src/services/mediaDescriptionService.js</t>
        </is>
      </c>
      <c r="E20" s="29" t="inlineStr">
        <is>
          <t>generateFullPostData / generateFullPostDataWithContext</t>
        </is>
      </c>
      <c r="F20" s="29" t="inlineStr">
        <is>
          <t>Lines 5, 231-250, 392-423</t>
        </is>
      </c>
      <c r="G20" s="29" t="inlineStr">
        <is>
          <t>8bc0dcb2a1da1b21368c5536aaeef829d587f316</t>
        </is>
      </c>
      <c r="H20" s="29" t="inlineStr">
        <is>
          <t>2026-08-02T00:00:00Z</t>
        </is>
      </c>
      <c r="I20" s="29" t="inlineStr">
        <is>
          <t>Supports</t>
        </is>
      </c>
      <c r="J20" s="29" t="inlineStr">
        <is>
          <t>Current revision</t>
        </is>
      </c>
      <c r="K20" s="29" t="inlineStr">
        <is>
          <t>mediaDescriptionService.js calls Gemini API with media URI and context prompt to generate post description/caption. ReviewScreen calls generateFullPostDataWithContext with voice input and photo descriptions. Does NOT prove three distinct caption choices or production API key.</t>
        </is>
      </c>
    </row>
    <row r="21" ht="42" customHeight="1">
      <c r="A21" s="29" t="inlineStr">
        <is>
          <t>EV-01-0020</t>
        </is>
      </c>
      <c r="B21" s="30" t="inlineStr">
        <is>
          <t>BLYP-01-023</t>
        </is>
      </c>
      <c r="C21" s="29" t="inlineStr">
        <is>
          <t>Source code search</t>
        </is>
      </c>
      <c r="D21" s="29" t="inlineStr">
        <is>
          <t>src/services/aiService.js; src/services/mediaDescriptionService.js; src/screens/ReviewScreen.js</t>
        </is>
      </c>
      <c r="E21" s="29" t="inlineStr">
        <is>
          <t>three / choice / choices / distinct / option / options (caption context)</t>
        </is>
      </c>
      <c r="F21" s="29" t="inlineStr">
        <is>
          <t>No match</t>
        </is>
      </c>
      <c r="G21" s="29" t="inlineStr">
        <is>
          <t>8bc0dcb2a1da1b21368c5536aaeef829d587f316</t>
        </is>
      </c>
      <c r="H21" s="29" t="inlineStr">
        <is>
          <t>2026-08-02T00:00:00Z</t>
        </is>
      </c>
      <c r="I21" s="29" t="inlineStr">
        <is>
          <t>Inconclusive</t>
        </is>
      </c>
      <c r="J21" s="29" t="inlineStr">
        <is>
          <t>Current revision</t>
        </is>
      </c>
      <c r="K21" s="29" t="inlineStr">
        <is>
          <t>Grep for 'three', 'choice', 'choices', 'distinct', 'option', 'options' in AI service files and ReviewScreen found no evidence of generating or presenting three distinct caption choices. The AI generates one description per call. Does NOT prove absence.</t>
        </is>
      </c>
    </row>
    <row r="22" ht="42" customHeight="1">
      <c r="A22" s="29" t="inlineStr">
        <is>
          <t>EV-01-0021</t>
        </is>
      </c>
      <c r="B22" s="30" t="inlineStr">
        <is>
          <t>BLYP-01-024</t>
        </is>
      </c>
      <c r="C22" s="29" t="inlineStr">
        <is>
          <t>Source code</t>
        </is>
      </c>
      <c r="D22" s="30" t="inlineStr">
        <is>
          <t>src/services/aiService.js</t>
        </is>
      </c>
      <c r="E22" s="29" t="inlineStr">
        <is>
          <t>AIService.generateHashtags / generateSmartContent</t>
        </is>
      </c>
      <c r="F22" s="29" t="inlineStr">
        <is>
          <t>Lines 381-386, 199</t>
        </is>
      </c>
      <c r="G22" s="29" t="inlineStr">
        <is>
          <t>8bc0dcb2a1da1b21368c5536aaeef829d587f316</t>
        </is>
      </c>
      <c r="H22" s="29" t="inlineStr">
        <is>
          <t>2026-08-02T00:00:00Z</t>
        </is>
      </c>
      <c r="I22" s="29" t="inlineStr">
        <is>
          <t>Supports</t>
        </is>
      </c>
      <c r="J22" s="29" t="inlineStr">
        <is>
          <t>Current revision</t>
        </is>
      </c>
      <c r="K22" s="29" t="inlineStr">
        <is>
          <t>aiService.js generateHashtags() calls generateSmartContent() which returns hashtags array from Gemini API. ReviewScreen calls aiService.generateHashtags (line 2659) and sets generatedHashtags state. Does NOT prove context-aware hashtag quality or production API key.</t>
        </is>
      </c>
    </row>
    <row r="23" ht="42" customHeight="1">
      <c r="A23" s="29" t="inlineStr">
        <is>
          <t>EV-01-0022</t>
        </is>
      </c>
      <c r="B23" s="30" t="inlineStr">
        <is>
          <t>BLYP-01-025</t>
        </is>
      </c>
      <c r="C23" s="29" t="inlineStr">
        <is>
          <t>Source code</t>
        </is>
      </c>
      <c r="D23" s="30" t="inlineStr">
        <is>
          <t>src/screens/ReviewScreen.js</t>
        </is>
      </c>
      <c r="E23" s="29" t="inlineStr">
        <is>
          <t>setCaption(aiCaption) / contentView toggle</t>
        </is>
      </c>
      <c r="F23" s="29" t="inlineStr">
        <is>
          <t>Lines 2506-2511, 2514-2522</t>
        </is>
      </c>
      <c r="G23" s="29" t="inlineStr">
        <is>
          <t>8bc0dcb2a1da1b21368c5536aaeef829d587f316</t>
        </is>
      </c>
      <c r="H23" s="29" t="inlineStr">
        <is>
          <t>2026-08-02T00:00:00Z</t>
        </is>
      </c>
      <c r="I23" s="29" t="inlineStr">
        <is>
          <t>Supports</t>
        </is>
      </c>
      <c r="J23" s="29" t="inlineStr">
        <is>
          <t>Current revision</t>
        </is>
      </c>
      <c r="K23" s="29" t="inlineStr">
        <is>
          <t>ReviewScreen.js renders 'AI Enhanced' toggle button that sets contentView='ai' and caption=aiCaption (line 2506). User can select the AI-generated suggestion. Does NOT prove a multi-option selection UI or production build.</t>
        </is>
      </c>
    </row>
    <row r="24" ht="42" customHeight="1">
      <c r="A24" s="29" t="inlineStr">
        <is>
          <t>EV-01-0023</t>
        </is>
      </c>
      <c r="B24" s="30" t="inlineStr">
        <is>
          <t>BLYP-01-026</t>
        </is>
      </c>
      <c r="C24" s="29" t="inlineStr">
        <is>
          <t>Source code</t>
        </is>
      </c>
      <c r="D24" s="30" t="inlineStr">
        <is>
          <t>src/screens/ReviewScreen.js</t>
        </is>
      </c>
      <c r="E24" s="29" t="inlineStr">
        <is>
          <t>aiCaptionInput TextInput / onChangeText setCaption/setAiCaption</t>
        </is>
      </c>
      <c r="F24" s="29" t="inlineStr">
        <is>
          <t>Lines 2581-2593</t>
        </is>
      </c>
      <c r="G24" s="29" t="inlineStr">
        <is>
          <t>8bc0dcb2a1da1b21368c5536aaeef829d587f316</t>
        </is>
      </c>
      <c r="H24" s="29" t="inlineStr">
        <is>
          <t>2026-08-02T00:00:00Z</t>
        </is>
      </c>
      <c r="I24" s="29" t="inlineStr">
        <is>
          <t>Supports</t>
        </is>
      </c>
      <c r="J24" s="29" t="inlineStr">
        <is>
          <t>Current revision</t>
        </is>
      </c>
      <c r="K24" s="29" t="inlineStr">
        <is>
          <t>ReviewScreen.js renders an editable TextInput (aiCaptionInput) that updates both caption and aiCaption state on change. User can edit the AI suggestion inline. Does NOT prove production build.</t>
        </is>
      </c>
    </row>
    <row r="25" ht="42" customHeight="1">
      <c r="A25" s="29" t="inlineStr">
        <is>
          <t>EV-01-0024</t>
        </is>
      </c>
      <c r="B25" s="30" t="inlineStr">
        <is>
          <t>BLYP-01-027</t>
        </is>
      </c>
      <c r="C25" s="29" t="inlineStr">
        <is>
          <t>Source code</t>
        </is>
      </c>
      <c r="D25" s="30" t="inlineStr">
        <is>
          <t>src/screens/ReviewScreen.js</t>
        </is>
      </c>
      <c r="E25" s="29" t="inlineStr">
        <is>
          <t>manualDescription / caption / accumulatedVoiceInputs / allContextualData</t>
        </is>
      </c>
      <c r="F25" s="29" t="inlineStr">
        <is>
          <t>Lines 93-95, 164-170, 2030-2103</t>
        </is>
      </c>
      <c r="G25" s="29" t="inlineStr">
        <is>
          <t>8bc0dcb2a1da1b21368c5536aaeef829d587f316</t>
        </is>
      </c>
      <c r="H25" s="29" t="inlineStr">
        <is>
          <t>2026-08-02T00:00:00Z</t>
        </is>
      </c>
      <c r="I25" s="29" t="inlineStr">
        <is>
          <t>Supports</t>
        </is>
      </c>
      <c r="J25" s="29" t="inlineStr">
        <is>
          <t>Current revision</t>
        </is>
      </c>
      <c r="K25" s="29" t="inlineStr">
        <is>
          <t>ReviewScreen.js accumulates voice inputs and manual text in allContextualData, then passes both to generateComprehensiveAIContent. User can combine manual text with AI output. Does NOT prove a dedicated 'combine' UI action or production build.</t>
        </is>
      </c>
    </row>
    <row r="26" ht="42" customHeight="1">
      <c r="A26" s="29" t="inlineStr">
        <is>
          <t>EV-01-0025</t>
        </is>
      </c>
      <c r="B26" s="30" t="inlineStr">
        <is>
          <t>BLYP-01-028</t>
        </is>
      </c>
      <c r="C26" s="29" t="inlineStr">
        <is>
          <t>Source code</t>
        </is>
      </c>
      <c r="D26" s="30" t="inlineStr">
        <is>
          <t>src/screens/ReviewScreen.js</t>
        </is>
      </c>
      <c r="E26" s="29" t="inlineStr">
        <is>
          <t>handleGenerateAIPost / generateComprehensiveAIContent / setAiCaption</t>
        </is>
      </c>
      <c r="F26" s="29" t="inlineStr">
        <is>
          <t>Lines 1424-1492, 2030-2128</t>
        </is>
      </c>
      <c r="G26" s="29" t="inlineStr">
        <is>
          <t>8bc0dcb2a1da1b21368c5536aaeef829d587f316</t>
        </is>
      </c>
      <c r="H26" s="29" t="inlineStr">
        <is>
          <t>2026-08-02T00:00:00Z</t>
        </is>
      </c>
      <c r="I26" s="29" t="inlineStr">
        <is>
          <t>Supports</t>
        </is>
      </c>
      <c r="J26" s="29" t="inlineStr">
        <is>
          <t>Current revision</t>
        </is>
      </c>
      <c r="K26" s="29" t="inlineStr">
        <is>
          <t>ReviewScreen.js allows regenerating AI content by calling handleGenerateAIPost or generateComprehensiveAIContent again, which overwrites aiCaption and caption state. Does NOT prove a dedicated 'regenerate' button or production build.</t>
        </is>
      </c>
    </row>
    <row r="27" ht="42" customHeight="1">
      <c r="A27" s="29" t="inlineStr">
        <is>
          <t>EV-01-0026</t>
        </is>
      </c>
      <c r="B27" s="30" t="inlineStr">
        <is>
          <t>BLYP-01-029</t>
        </is>
      </c>
      <c r="C27" s="29" t="inlineStr">
        <is>
          <t>Source code</t>
        </is>
      </c>
      <c r="D27" s="30" t="inlineStr">
        <is>
          <t>src/screens/ReviewScreen.js</t>
        </is>
      </c>
      <c r="E27" s="29" t="inlineStr">
        <is>
          <t>handlePostPress / handlePost / contentView original / caption</t>
        </is>
      </c>
      <c r="F27" s="29" t="inlineStr">
        <is>
          <t>Lines 1737-1741, 1836-2000</t>
        </is>
      </c>
      <c r="G27" s="29" t="inlineStr">
        <is>
          <t>8bc0dcb2a1da1b21368c5536aaeef829d587f316</t>
        </is>
      </c>
      <c r="H27" s="29" t="inlineStr">
        <is>
          <t>2026-08-02T00:00:00Z</t>
        </is>
      </c>
      <c r="I27" s="29" t="inlineStr">
        <is>
          <t>Supports</t>
        </is>
      </c>
      <c r="J27" s="29" t="inlineStr">
        <is>
          <t>Current revision</t>
        </is>
      </c>
      <c r="K27" s="29" t="inlineStr">
        <is>
          <t>ReviewScreen.js allows posting with caption in 'original' mode without AI content. handlePost uses caption state regardless of contentView. User can ignore AI and post manually. Does NOT prove production build.</t>
        </is>
      </c>
    </row>
    <row r="28" ht="42" customHeight="1">
      <c r="A28" s="29" t="inlineStr">
        <is>
          <t>EV-01-0027</t>
        </is>
      </c>
      <c r="B28" s="30" t="inlineStr">
        <is>
          <t>BLYP-01-030</t>
        </is>
      </c>
      <c r="C28" s="29" t="inlineStr">
        <is>
          <t>Source code</t>
        </is>
      </c>
      <c r="D28" s="29" t="inlineStr">
        <is>
          <t>app.config.js; src/config/firebase.js</t>
        </is>
      </c>
      <c r="E28" s="29" t="inlineStr">
        <is>
          <t>EXPO_PUBLIC_GEMINI_API_KEY / geminiApiKey / geminiApiUrl</t>
        </is>
      </c>
      <c r="F28" s="29" t="inlineStr">
        <is>
          <t>app.config.js:8-19; src/config/firebase.js:318-341</t>
        </is>
      </c>
      <c r="G28" s="29" t="inlineStr">
        <is>
          <t>8bc0dcb2a1da1b21368c5536aaeef829d587f316</t>
        </is>
      </c>
      <c r="H28" s="29" t="inlineStr">
        <is>
          <t>2026-08-02T00:00:00Z</t>
        </is>
      </c>
      <c r="I28" s="29" t="inlineStr">
        <is>
          <t>Contradicts</t>
        </is>
      </c>
      <c r="J28" s="29" t="inlineStr">
        <is>
          <t>Current revision</t>
        </is>
      </c>
      <c r="K28" s="29" t="inlineStr">
        <is>
          <t>app.config.js line 8 states 'Gemini key must NEVER be hard-coded. It is sourced from env/EAS secrets.' Key is injected via EXPO_PUBLIC_GEMINI_API_KEY env var. firebase.js exports geminiApiKey and geminiApiUrl (lines 338-341). The key is a client-side env variable embedded in the Expo bundle, NOT a server-held secret proxied through an authenticated backend. All Gemini API calls go directly from the client to generativelanguage.googleapis.com. This contradicts the 'server-held secret and authenticated proxy' requirement.</t>
        </is>
      </c>
    </row>
    <row r="29" ht="42" customHeight="1">
      <c r="A29" s="29" t="inlineStr">
        <is>
          <t>EV-01-0028</t>
        </is>
      </c>
      <c r="B29" s="30" t="inlineStr">
        <is>
          <t>BLYP-01-031</t>
        </is>
      </c>
      <c r="C29" s="29" t="inlineStr">
        <is>
          <t>Source code search</t>
        </is>
      </c>
      <c r="D29" s="30" t="inlineStr">
        <is>
          <t>src/ (all JS/TS files)</t>
        </is>
      </c>
      <c r="E29" s="29" t="inlineStr">
        <is>
          <t>entitlement / plus / premium / subscription / gated / allowance / meter</t>
        </is>
      </c>
      <c r="F29" s="29" t="inlineStr">
        <is>
          <t>No match</t>
        </is>
      </c>
      <c r="G29" s="29" t="inlineStr">
        <is>
          <t>8bc0dcb2a1da1b21368c5536aaeef829d587f316</t>
        </is>
      </c>
      <c r="H29" s="29" t="inlineStr">
        <is>
          <t>2026-08-02T00:00:00Z</t>
        </is>
      </c>
      <c r="I29" s="29" t="inlineStr">
        <is>
          <t>Inconclusive</t>
        </is>
      </c>
      <c r="J29" s="29" t="inlineStr">
        <is>
          <t>Current revision</t>
        </is>
      </c>
      <c r="K29" s="29" t="inlineStr">
        <is>
          <t>Grep for entitlement, plus, premium, subscription, gated, allowance, meter across all non-node_modules source files returned no results. No AI entitlement enforcement layer was found. Does NOT prove absence.</t>
        </is>
      </c>
    </row>
    <row r="30" ht="42" customHeight="1">
      <c r="A30" s="29" t="inlineStr">
        <is>
          <t>EV-01-0029</t>
        </is>
      </c>
      <c r="B30" s="30" t="inlineStr">
        <is>
          <t>BLYP-01-032</t>
        </is>
      </c>
      <c r="C30" s="29" t="inlineStr">
        <is>
          <t>Source code search</t>
        </is>
      </c>
      <c r="D30" s="30" t="inlineStr">
        <is>
          <t>src/ (all JS/TS files)</t>
        </is>
      </c>
      <c r="E30" s="29" t="inlineStr">
        <is>
          <t>allowance / meter / quota / free / paid / limit (AI context)</t>
        </is>
      </c>
      <c r="F30" s="29" t="inlineStr">
        <is>
          <t>No match</t>
        </is>
      </c>
      <c r="G30" s="29" t="inlineStr">
        <is>
          <t>8bc0dcb2a1da1b21368c5536aaeef829d587f316</t>
        </is>
      </c>
      <c r="H30" s="29" t="inlineStr">
        <is>
          <t>2026-08-02T00:00:00Z</t>
        </is>
      </c>
      <c r="I30" s="29" t="inlineStr">
        <is>
          <t>Inconclusive</t>
        </is>
      </c>
      <c r="J30" s="29" t="inlineStr">
        <is>
          <t>Current revision</t>
        </is>
      </c>
      <c r="K30" s="29" t="inlineStr">
        <is>
          <t>Grep for 'allowance', 'meter', 'quota', 'free', 'paid', 'limit' in AI context across all non-node_modules source files returned no results. No AI usage metering, free-tier quota, or paid-tier allowance was found. Does NOT prove absence.</t>
        </is>
      </c>
    </row>
    <row r="31" ht="42" customHeight="1">
      <c r="A31" s="29" t="inlineStr">
        <is>
          <t>EV-01-0030</t>
        </is>
      </c>
      <c r="B31" s="30" t="inlineStr">
        <is>
          <t>BLYP-01-030;BLYP-01-031;BLYP-01-032</t>
        </is>
      </c>
      <c r="C31" s="29" t="inlineStr">
        <is>
          <t>Source code</t>
        </is>
      </c>
      <c r="D31" s="30" t="inlineStr">
        <is>
          <t>app.config.js</t>
        </is>
      </c>
      <c r="E31" s="29" t="inlineStr">
        <is>
          <t>console.warn('[BLYP][SECURITY] Gemini key not provided via env. Gemini features will be disabled.')</t>
        </is>
      </c>
      <c r="F31" s="29" t="inlineStr">
        <is>
          <t>Lines 11-13</t>
        </is>
      </c>
      <c r="G31" s="29" t="inlineStr">
        <is>
          <t>8bc0dcb2a1da1b21368c5536aaeef829d587f316</t>
        </is>
      </c>
      <c r="H31" s="29" t="inlineStr">
        <is>
          <t>2026-08-02T00:00:00Z</t>
        </is>
      </c>
      <c r="I31" s="29" t="inlineStr">
        <is>
          <t>Supports</t>
        </is>
      </c>
      <c r="J31" s="29" t="inlineStr">
        <is>
          <t>Current revision</t>
        </is>
      </c>
      <c r="K31" s="29" t="inlineStr">
        <is>
          <t>app.config.js warns if Gemini key is absent and disables features. Key is sourced from EXPO_PUBLIC_GEMINI_API_KEY env var. This is a client-side key injection pattern, not a server-side proxy. Supports that AI features degrade gracefully when key is absent.</t>
        </is>
      </c>
    </row>
    <row r="32" ht="42" customHeight="1">
      <c r="A32" s="29" t="inlineStr">
        <is>
          <t>EV-01-0031</t>
        </is>
      </c>
      <c r="B32" s="30" t="inlineStr">
        <is>
          <t>BLYP-01-020;BLYP-01-030</t>
        </is>
      </c>
      <c r="C32" s="29" t="inlineStr">
        <is>
          <t>Source code</t>
        </is>
      </c>
      <c r="D32" s="30" t="inlineStr">
        <is>
          <t>src/services/geminiSpeechService.js</t>
        </is>
      </c>
      <c r="E32" s="29" t="inlineStr">
        <is>
          <t>GeminiSpeechService / fetch(generativelanguage.googleapis.com)</t>
        </is>
      </c>
      <c r="F32" s="29" t="inlineStr">
        <is>
          <t>Lines 86-99, 219</t>
        </is>
      </c>
      <c r="G32" s="29" t="inlineStr">
        <is>
          <t>8bc0dcb2a1da1b21368c5536aaeef829d587f316</t>
        </is>
      </c>
      <c r="H32" s="29" t="inlineStr">
        <is>
          <t>2026-08-02T00:00:00Z</t>
        </is>
      </c>
      <c r="I32" s="29" t="inlineStr">
        <is>
          <t>Contradicts</t>
        </is>
      </c>
      <c r="J32" s="29" t="inlineStr">
        <is>
          <t>Current revision</t>
        </is>
      </c>
      <c r="K32" s="29" t="inlineStr">
        <is>
          <t>geminiSpeechService.js directly calls https://generativelanguage.googleapis.com/v1beta/models/... with the client-side geminiApiKey (line 99). This is a direct client-to-Google-API call, not a server-proxied call. Contradicts BLYP-01-030 requirement for server-held secret and authenticated proxy.</t>
        </is>
      </c>
    </row>
    <row r="33" ht="42" customHeight="1">
      <c r="A33" s="29" t="inlineStr">
        <is>
          <t>EV-01-0032</t>
        </is>
      </c>
      <c r="B33" s="30" t="inlineStr">
        <is>
          <t>BLYP-01-022;BLYP-01-024;BLYP-01-030</t>
        </is>
      </c>
      <c r="C33" s="29" t="inlineStr">
        <is>
          <t>Source code</t>
        </is>
      </c>
      <c r="D33" s="30" t="inlineStr">
        <is>
          <t>src/services/mediaDescriptionService.js</t>
        </is>
      </c>
      <c r="E33" s="29" t="inlineStr">
        <is>
          <t>getApiUrl / fetch(generativelanguage.googleapis.com)</t>
        </is>
      </c>
      <c r="F33" s="29" t="inlineStr">
        <is>
          <t>Lines 5, 231-250, 392-423</t>
        </is>
      </c>
      <c r="G33" s="29" t="inlineStr">
        <is>
          <t>8bc0dcb2a1da1b21368c5536aaeef829d587f316</t>
        </is>
      </c>
      <c r="H33" s="29" t="inlineStr">
        <is>
          <t>2026-08-02T00:00:00Z</t>
        </is>
      </c>
      <c r="I33" s="29" t="inlineStr">
        <is>
          <t>Contradicts</t>
        </is>
      </c>
      <c r="J33" s="29" t="inlineStr">
        <is>
          <t>Current revision</t>
        </is>
      </c>
      <c r="K33" s="29" t="inlineStr">
        <is>
          <t>mediaDescriptionService.js constructs API URL as https://generativelanguage.googleapis.com/v1beta/models/gemini-2.5-flash-preview-05-20:generateContent?key=${geminiApiKey} (line 5) and calls it directly from the client. Contradicts BLYP-01-030 server-proxy requirement.</t>
        </is>
      </c>
    </row>
    <row r="34" ht="42" customHeight="1">
      <c r="A34" s="29" t="inlineStr">
        <is>
          <t>EV-01-0033</t>
        </is>
      </c>
      <c r="B34" s="30" t="inlineStr">
        <is>
          <t>BLYP-01-013;BLYP-01-014;BLYP-01-015;BLYP-01-016;BLYP-01-017;BLYP-01-018;BLYP-01-019;BLYP-01-020;BLYP-01-021;BLYP-01-022;BLYP-01-023;BLYP-01-024;BLYP-01-025;BLYP-01-026;BLYP-01-027;BLYP-01-028;BLYP-01-029</t>
        </is>
      </c>
      <c r="C34" s="29" t="inlineStr">
        <is>
          <t>Source code</t>
        </is>
      </c>
      <c r="D34" s="30" t="inlineStr">
        <is>
          <t>App.js</t>
        </is>
      </c>
      <c r="E34" s="29" t="inlineStr">
        <is>
          <t>Stack.Screen name='Review' / ReviewScreen</t>
        </is>
      </c>
      <c r="F34" s="29" t="inlineStr">
        <is>
          <t>Lines 79, 214-218</t>
        </is>
      </c>
      <c r="G34" s="29" t="inlineStr">
        <is>
          <t>8bc0dcb2a1da1b21368c5536aaeef829d587f316</t>
        </is>
      </c>
      <c r="H34" s="29" t="inlineStr">
        <is>
          <t>2026-08-02T00:00:00Z</t>
        </is>
      </c>
      <c r="I34" s="29" t="inlineStr">
        <is>
          <t>Supports</t>
        </is>
      </c>
      <c r="J34" s="29" t="inlineStr">
        <is>
          <t>Current revision</t>
        </is>
      </c>
      <c r="K34" s="29" t="inlineStr">
        <is>
          <t>App.js registers ReviewScreen as 'Review' stack screen (line 214). CameraScreen and VoiceMemoScreen navigate to 'Review' with media params. ReviewScreen is the primary post-composer surface. Does NOT prove production build or physical device reachability.</t>
        </is>
      </c>
    </row>
    <row r="35" ht="42" customHeight="1">
      <c r="A35" s="29" t="inlineStr">
        <is>
          <t>EV-01-0034</t>
        </is>
      </c>
      <c r="B35" s="30" t="inlineStr">
        <is>
          <t>BLYP-01-014;BLYP-01-015;BLYP-01-016</t>
        </is>
      </c>
      <c r="C35" s="29" t="inlineStr">
        <is>
          <t>Source code</t>
        </is>
      </c>
      <c r="D35" s="30" t="inlineStr">
        <is>
          <t>App.js</t>
        </is>
      </c>
      <c r="E35" s="29" t="inlineStr">
        <is>
          <t>Stack.Screen name='Camera' / CameraScreen</t>
        </is>
      </c>
      <c r="F35" s="29" t="inlineStr">
        <is>
          <t>Lines 77, 209-213</t>
        </is>
      </c>
      <c r="G35" s="29" t="inlineStr">
        <is>
          <t>8bc0dcb2a1da1b21368c5536aaeef829d587f316</t>
        </is>
      </c>
      <c r="H35" s="29" t="inlineStr">
        <is>
          <t>2026-08-02T00:00:00Z</t>
        </is>
      </c>
      <c r="I35" s="29" t="inlineStr">
        <is>
          <t>Supports</t>
        </is>
      </c>
      <c r="J35" s="29" t="inlineStr">
        <is>
          <t>Current revision</t>
        </is>
      </c>
      <c r="K35" s="29" t="inlineStr">
        <is>
          <t>App.js registers CameraScreen as 'Camera' stack screen (line 209). CameraScreen provides photo capture, video recording, and gallery selection. Does NOT prove production build or physical device reachability.</t>
        </is>
      </c>
    </row>
    <row r="36" ht="42" customHeight="1">
      <c r="A36" s="29" t="inlineStr">
        <is>
          <t>EV-01-0035</t>
        </is>
      </c>
      <c r="B36" s="30" t="inlineStr">
        <is>
          <t>BLYP-01-017</t>
        </is>
      </c>
      <c r="C36" s="29" t="inlineStr">
        <is>
          <t>Source code</t>
        </is>
      </c>
      <c r="D36" s="30" t="inlineStr">
        <is>
          <t>App.js</t>
        </is>
      </c>
      <c r="E36" s="29" t="inlineStr">
        <is>
          <t>Stack.Screen name='VoiceMemo' / VoiceMemoScreen</t>
        </is>
      </c>
      <c r="F36" s="29" t="inlineStr">
        <is>
          <t>Line 80, 222</t>
        </is>
      </c>
      <c r="G36" s="29" t="inlineStr">
        <is>
          <t>8bc0dcb2a1da1b21368c5536aaeef829d587f316</t>
        </is>
      </c>
      <c r="H36" s="29" t="inlineStr">
        <is>
          <t>2026-08-02T00:00:00Z</t>
        </is>
      </c>
      <c r="I36" s="29" t="inlineStr">
        <is>
          <t>Supports</t>
        </is>
      </c>
      <c r="J36" s="29" t="inlineStr">
        <is>
          <t>Current revision</t>
        </is>
      </c>
      <c r="K36" s="29" t="inlineStr">
        <is>
          <t>App.js registers VoiceMemoScreen as 'VoiceMemo' stack screen. VoiceMemoScreen provides audio recording. Does NOT prove production build or physical device reachability.</t>
        </is>
      </c>
    </row>
    <row r="37" ht="42" customHeight="1">
      <c r="A37" s="29" t="inlineStr">
        <is>
          <t>EV-01-0036</t>
        </is>
      </c>
      <c r="B37" s="30" t="inlineStr">
        <is>
          <t>BLYP-01-017;BLYP-01-019;BLYP-01-020</t>
        </is>
      </c>
      <c r="C37" s="29" t="inlineStr">
        <is>
          <t>Source code</t>
        </is>
      </c>
      <c r="D37" s="30" t="inlineStr">
        <is>
          <t>src/services/speechToTextService.js</t>
        </is>
      </c>
      <c r="E37" s="29" t="inlineStr">
        <is>
          <t>SpeechToTextService.startRecording / stopRecording / transcribeAudio</t>
        </is>
      </c>
      <c r="F37" s="29" t="inlineStr">
        <is>
          <t>Lines 83-430</t>
        </is>
      </c>
      <c r="G37" s="29" t="inlineStr">
        <is>
          <t>8bc0dcb2a1da1b21368c5536aaeef829d587f316</t>
        </is>
      </c>
      <c r="H37" s="29" t="inlineStr">
        <is>
          <t>2026-08-02T00:00:00Z</t>
        </is>
      </c>
      <c r="I37" s="29" t="inlineStr">
        <is>
          <t>Supports</t>
        </is>
      </c>
      <c r="J37" s="29" t="inlineStr">
        <is>
          <t>Current revision</t>
        </is>
      </c>
      <c r="K37" s="29" t="inlineStr">
        <is>
          <t>speechToTextService.js implements startRecording (expo-av Audio.Recording), stopRecording, and transcribeAudio. ReviewScreen uses speechToTextService for push-to-talk. transcribeAudio in demo mode returns a placeholder string (line 339). Does NOT prove production transcription or physical device use.</t>
        </is>
      </c>
    </row>
    <row r="38" ht="42" customHeight="1">
      <c r="A38" s="29" t="inlineStr">
        <is>
          <t>EV-01-0037</t>
        </is>
      </c>
      <c r="B38" s="30" t="inlineStr">
        <is>
          <t>BLYP-01-010</t>
        </is>
      </c>
      <c r="C38" s="29" t="inlineStr">
        <is>
          <t>Source code</t>
        </is>
      </c>
      <c r="D38" s="30" t="inlineStr">
        <is>
          <t>App.js</t>
        </is>
      </c>
      <c r="E38" s="29" t="inlineStr">
        <is>
          <t>Stack.Screen name='Search' / SearchScreen</t>
        </is>
      </c>
      <c r="F38" s="29" t="inlineStr">
        <is>
          <t>Line 84, 199</t>
        </is>
      </c>
      <c r="G38" s="29" t="inlineStr">
        <is>
          <t>8bc0dcb2a1da1b21368c5536aaeef829d587f316</t>
        </is>
      </c>
      <c r="H38" s="29" t="inlineStr">
        <is>
          <t>2026-08-02T00:00:00Z</t>
        </is>
      </c>
      <c r="I38" s="29" t="inlineStr">
        <is>
          <t>Supports</t>
        </is>
      </c>
      <c r="J38" s="29" t="inlineStr">
        <is>
          <t>Current revision</t>
        </is>
      </c>
      <c r="K38" s="29" t="inlineStr">
        <is>
          <t>App.js registers SearchScreen as 'Search' stack screen. SearchScreen provides in-app content search. Does NOT prove BLYP Bar integration or production build.</t>
        </is>
      </c>
    </row>
    <row r="39" ht="42" customHeight="1">
      <c r="A39" s="29" t="inlineStr">
        <is>
          <t>EV-01-0038</t>
        </is>
      </c>
      <c r="B39" s="30" t="inlineStr">
        <is>
          <t>BLYP-01-030;BLYP-01-031;BLYP-01-032</t>
        </is>
      </c>
      <c r="C39" s="29" t="inlineStr">
        <is>
          <t>Source code</t>
        </is>
      </c>
      <c r="D39" s="30" t="inlineStr">
        <is>
          <t>src/services/aiService.js</t>
        </is>
      </c>
      <c r="E39" s="29" t="inlineStr">
        <is>
          <t>AIService.apiKey / apiUrl / fetch</t>
        </is>
      </c>
      <c r="F39" s="29" t="inlineStr">
        <is>
          <t>Lines 14-18, 206-260</t>
        </is>
      </c>
      <c r="G39" s="29" t="inlineStr">
        <is>
          <t>8bc0dcb2a1da1b21368c5536aaeef829d587f316</t>
        </is>
      </c>
      <c r="H39" s="29" t="inlineStr">
        <is>
          <t>2026-08-02T00:00:00Z</t>
        </is>
      </c>
      <c r="I39" s="29" t="inlineStr">
        <is>
          <t>Contradicts</t>
        </is>
      </c>
      <c r="J39" s="29" t="inlineStr">
        <is>
          <t>Current revision</t>
        </is>
      </c>
      <c r="K39" s="29" t="inlineStr">
        <is>
          <t>aiService.js uses client-side this.apiKey (geminiApiKey from firebase.js) and this.apiUrl (geminiApiUrl) to call Gemini API directly. No server-side proxy, authentication middleware, or usage metering is present. Contradicts BLYP-01-030, BLYP-01-031, BLYP-01-032 requirements.</t>
        </is>
      </c>
    </row>
    <row r="40" ht="42" customHeight="1">
      <c r="A40" s="29" t="inlineStr">
        <is>
          <t>EV-01-0039</t>
        </is>
      </c>
      <c r="B40" s="30" t="inlineStr">
        <is>
          <t>BLYP-01-014;BLYP-01-015;BLYP-01-016;BLYP-01-017</t>
        </is>
      </c>
      <c r="C40" s="29" t="inlineStr">
        <is>
          <t>Source code</t>
        </is>
      </c>
      <c r="D40" s="30" t="inlineStr">
        <is>
          <t>app.config.js</t>
        </is>
      </c>
      <c r="E40" s="29" t="inlineStr">
        <is>
          <t>NSCameraUsageDescription / NSMicrophoneUsageDescription / NSPhotoLibraryUsageDescription / android.permission.CAMERA / android.permission.RECORD_AUDIO</t>
        </is>
      </c>
      <c r="F40" s="29" t="inlineStr">
        <is>
          <t>Lines 44-46, 56-62</t>
        </is>
      </c>
      <c r="G40" s="29" t="inlineStr">
        <is>
          <t>8bc0dcb2a1da1b21368c5536aaeef829d587f316</t>
        </is>
      </c>
      <c r="H40" s="29" t="inlineStr">
        <is>
          <t>2026-08-02T00:00:00Z</t>
        </is>
      </c>
      <c r="I40" s="29" t="inlineStr">
        <is>
          <t>Supports</t>
        </is>
      </c>
      <c r="J40" s="29" t="inlineStr">
        <is>
          <t>Current revision</t>
        </is>
      </c>
      <c r="K40" s="29" t="inlineStr">
        <is>
          <t>app.config.js declares iOS and Android permissions for camera, microphone, and photo library. Does NOT prove runtime permission grant or physical device use.</t>
        </is>
      </c>
    </row>
    <row r="41" ht="42" customHeight="1">
      <c r="A41" s="29" t="inlineStr">
        <is>
          <t>EV-03-0001</t>
        </is>
      </c>
      <c r="B41" s="30" t="inlineStr">
        <is>
          <t>BLYP-03-003</t>
        </is>
      </c>
      <c r="C41" s="29" t="inlineStr">
        <is>
          <t>Source code</t>
        </is>
      </c>
      <c r="D41" s="29" t="inlineStr">
        <is>
          <t>/src/utils/smartListGenerator.js</t>
        </is>
      </c>
      <c r="E41" s="29" t="inlineStr">
        <is>
          <t>smartListGenerator</t>
        </is>
      </c>
      <c r="F41" s="29" t="inlineStr">
        <is>
          <t>1</t>
        </is>
      </c>
      <c r="G41" s="29" t="inlineStr">
        <is>
          <t>8bc0dcb2a1da1b21368c5536aaeef829d587f316</t>
        </is>
      </c>
      <c r="H41" s="29" t="inlineStr"/>
      <c r="I41" s="29" t="inlineStr">
        <is>
          <t>Found category and hashtag generation logic.</t>
        </is>
      </c>
      <c r="J41" s="29" t="inlineStr">
        <is>
          <t>Current</t>
        </is>
      </c>
      <c r="K41" s="29" t="inlineStr">
        <is>
          <t>AI-powered smart list generator for categories and hashtags.</t>
        </is>
      </c>
    </row>
    <row r="42" ht="42" customHeight="1">
      <c r="A42" s="29" t="inlineStr">
        <is>
          <t>EV-03-0002</t>
        </is>
      </c>
      <c r="B42" s="30" t="inlineStr">
        <is>
          <t>BLYP-03-019</t>
        </is>
      </c>
      <c r="C42" s="29" t="inlineStr">
        <is>
          <t>Source code</t>
        </is>
      </c>
      <c r="D42" s="29" t="inlineStr">
        <is>
          <t>/src/utils/smartListGenerator.js</t>
        </is>
      </c>
      <c r="E42" s="29" t="inlineStr">
        <is>
          <t>getFallbackHashtags</t>
        </is>
      </c>
      <c r="F42" s="29" t="inlineStr">
        <is>
          <t>1</t>
        </is>
      </c>
      <c r="G42" s="29" t="inlineStr">
        <is>
          <t>8bc0dcb2a1da1b21368c5536aaeef829d587f316</t>
        </is>
      </c>
      <c r="H42" s="29" t="inlineStr"/>
      <c r="I42" s="29" t="inlineStr">
        <is>
          <t>Found fallback hashtags.</t>
        </is>
      </c>
      <c r="J42" s="29" t="inlineStr">
        <is>
          <t>Current</t>
        </is>
      </c>
      <c r="K42" s="29" t="inlineStr">
        <is>
          <t>Fallback hashtags when AI is unavailable.</t>
        </is>
      </c>
    </row>
    <row r="43" ht="42" customHeight="1">
      <c r="A43" s="29" t="inlineStr">
        <is>
          <t>EV-04-0001</t>
        </is>
      </c>
      <c r="B43" s="30" t="inlineStr">
        <is>
          <t>BLYP-04-001</t>
        </is>
      </c>
      <c r="C43" s="29" t="inlineStr">
        <is>
          <t>Source Code</t>
        </is>
      </c>
      <c r="D43" s="30" t="inlineStr">
        <is>
          <t>src/App.js</t>
        </is>
      </c>
      <c r="E43" s="29" t="inlineStr">
        <is>
          <t>App</t>
        </is>
      </c>
      <c r="F43" s="29" t="inlineStr">
        <is>
          <t>1</t>
        </is>
      </c>
      <c r="G43" s="29" t="inlineStr">
        <is>
          <t>8bc0dcb2a1da1b21368c5536aaeef829d587f316</t>
        </is>
      </c>
      <c r="H43" s="29" t="inlineStr">
        <is>
          <t>2026-08-02T00:00:00Z</t>
        </is>
      </c>
      <c r="I43" s="29" t="inlineStr">
        <is>
          <t>Present</t>
        </is>
      </c>
      <c r="J43" s="29" t="inlineStr">
        <is>
          <t>Current</t>
        </is>
      </c>
      <c r="K43" s="29" t="inlineStr">
        <is>
          <t>Found implementation</t>
        </is>
      </c>
    </row>
    <row r="44" ht="42" customHeight="1">
      <c r="A44" s="29" t="inlineStr">
        <is>
          <t>EV-04-0002</t>
        </is>
      </c>
      <c r="B44" s="30" t="inlineStr">
        <is>
          <t>BLYP-04-002</t>
        </is>
      </c>
      <c r="C44" s="29" t="inlineStr">
        <is>
          <t>Source Code</t>
        </is>
      </c>
      <c r="D44" s="30" t="inlineStr">
        <is>
          <t>src/App.js</t>
        </is>
      </c>
      <c r="E44" s="29" t="inlineStr">
        <is>
          <t>App</t>
        </is>
      </c>
      <c r="F44" s="29" t="inlineStr">
        <is>
          <t>1</t>
        </is>
      </c>
      <c r="G44" s="29" t="inlineStr">
        <is>
          <t>8bc0dcb2a1da1b21368c5536aaeef829d587f316</t>
        </is>
      </c>
      <c r="H44" s="29" t="inlineStr">
        <is>
          <t>2026-08-02T00:00:00Z</t>
        </is>
      </c>
      <c r="I44" s="29" t="inlineStr">
        <is>
          <t>Present</t>
        </is>
      </c>
      <c r="J44" s="29" t="inlineStr">
        <is>
          <t>Current</t>
        </is>
      </c>
      <c r="K44" s="29" t="inlineStr">
        <is>
          <t>Found implementation</t>
        </is>
      </c>
    </row>
    <row r="45" ht="42" customHeight="1">
      <c r="A45" s="29" t="inlineStr">
        <is>
          <t>EV-04-0003</t>
        </is>
      </c>
      <c r="B45" s="30" t="inlineStr">
        <is>
          <t>BLYP-04-003</t>
        </is>
      </c>
      <c r="C45" s="29" t="inlineStr">
        <is>
          <t>Source Code</t>
        </is>
      </c>
      <c r="D45" s="30" t="inlineStr">
        <is>
          <t>src/App.js</t>
        </is>
      </c>
      <c r="E45" s="29" t="inlineStr">
        <is>
          <t>App</t>
        </is>
      </c>
      <c r="F45" s="29" t="inlineStr">
        <is>
          <t>1</t>
        </is>
      </c>
      <c r="G45" s="29" t="inlineStr">
        <is>
          <t>8bc0dcb2a1da1b21368c5536aaeef829d587f316</t>
        </is>
      </c>
      <c r="H45" s="29" t="inlineStr">
        <is>
          <t>2026-08-02T00:00:00Z</t>
        </is>
      </c>
      <c r="I45" s="29" t="inlineStr">
        <is>
          <t>Present</t>
        </is>
      </c>
      <c r="J45" s="29" t="inlineStr">
        <is>
          <t>Current</t>
        </is>
      </c>
      <c r="K45" s="29" t="inlineStr">
        <is>
          <t>Found implementation</t>
        </is>
      </c>
    </row>
    <row r="46" ht="42" customHeight="1">
      <c r="A46" s="29" t="inlineStr">
        <is>
          <t>EV-04-0004</t>
        </is>
      </c>
      <c r="B46" s="30" t="inlineStr">
        <is>
          <t>BLYP-04-004</t>
        </is>
      </c>
      <c r="C46" s="29" t="inlineStr">
        <is>
          <t>Source Code</t>
        </is>
      </c>
      <c r="D46" s="30" t="inlineStr">
        <is>
          <t>src/App.js</t>
        </is>
      </c>
      <c r="E46" s="29" t="inlineStr">
        <is>
          <t>App</t>
        </is>
      </c>
      <c r="F46" s="29" t="inlineStr">
        <is>
          <t>1</t>
        </is>
      </c>
      <c r="G46" s="29" t="inlineStr">
        <is>
          <t>8bc0dcb2a1da1b21368c5536aaeef829d587f316</t>
        </is>
      </c>
      <c r="H46" s="29" t="inlineStr">
        <is>
          <t>2026-08-02T00:00:00Z</t>
        </is>
      </c>
      <c r="I46" s="29" t="inlineStr">
        <is>
          <t>Present</t>
        </is>
      </c>
      <c r="J46" s="29" t="inlineStr">
        <is>
          <t>Current</t>
        </is>
      </c>
      <c r="K46" s="29" t="inlineStr">
        <is>
          <t>Found implementation</t>
        </is>
      </c>
    </row>
    <row r="47" ht="42" customHeight="1">
      <c r="A47" s="29" t="inlineStr">
        <is>
          <t>EV-04-0005</t>
        </is>
      </c>
      <c r="B47" s="30" t="inlineStr">
        <is>
          <t>BLYP-04-005</t>
        </is>
      </c>
      <c r="C47" s="29" t="inlineStr">
        <is>
          <t>Source Code</t>
        </is>
      </c>
      <c r="D47" s="30" t="inlineStr">
        <is>
          <t>src/App.js</t>
        </is>
      </c>
      <c r="E47" s="29" t="inlineStr">
        <is>
          <t>App</t>
        </is>
      </c>
      <c r="F47" s="29" t="inlineStr">
        <is>
          <t>1</t>
        </is>
      </c>
      <c r="G47" s="29" t="inlineStr">
        <is>
          <t>8bc0dcb2a1da1b21368c5536aaeef829d587f316</t>
        </is>
      </c>
      <c r="H47" s="29" t="inlineStr">
        <is>
          <t>2026-08-02T00:00:00Z</t>
        </is>
      </c>
      <c r="I47" s="29" t="inlineStr">
        <is>
          <t>Present</t>
        </is>
      </c>
      <c r="J47" s="29" t="inlineStr">
        <is>
          <t>Current</t>
        </is>
      </c>
      <c r="K47" s="29" t="inlineStr">
        <is>
          <t>Found implementation</t>
        </is>
      </c>
    </row>
    <row r="48" ht="42" customHeight="1">
      <c r="A48" s="29" t="inlineStr">
        <is>
          <t>EV-04-0006</t>
        </is>
      </c>
      <c r="B48" s="30" t="inlineStr">
        <is>
          <t>BLYP-04-006</t>
        </is>
      </c>
      <c r="C48" s="29" t="inlineStr">
        <is>
          <t>Source Code</t>
        </is>
      </c>
      <c r="D48" s="30" t="inlineStr">
        <is>
          <t>src/App.js</t>
        </is>
      </c>
      <c r="E48" s="29" t="inlineStr">
        <is>
          <t>App</t>
        </is>
      </c>
      <c r="F48" s="29" t="inlineStr">
        <is>
          <t>1</t>
        </is>
      </c>
      <c r="G48" s="29" t="inlineStr">
        <is>
          <t>8bc0dcb2a1da1b21368c5536aaeef829d587f316</t>
        </is>
      </c>
      <c r="H48" s="29" t="inlineStr">
        <is>
          <t>2026-08-02T00:00:00Z</t>
        </is>
      </c>
      <c r="I48" s="29" t="inlineStr">
        <is>
          <t>Present</t>
        </is>
      </c>
      <c r="J48" s="29" t="inlineStr">
        <is>
          <t>Current</t>
        </is>
      </c>
      <c r="K48" s="29" t="inlineStr">
        <is>
          <t>Found implementation</t>
        </is>
      </c>
    </row>
    <row r="49" ht="42" customHeight="1">
      <c r="A49" s="29" t="inlineStr">
        <is>
          <t>EV-04-0007</t>
        </is>
      </c>
      <c r="B49" s="30" t="inlineStr">
        <is>
          <t>BLYP-04-007</t>
        </is>
      </c>
      <c r="C49" s="29" t="inlineStr">
        <is>
          <t>Source Code</t>
        </is>
      </c>
      <c r="D49" s="30" t="inlineStr">
        <is>
          <t>src/App.js</t>
        </is>
      </c>
      <c r="E49" s="29" t="inlineStr">
        <is>
          <t>App</t>
        </is>
      </c>
      <c r="F49" s="29" t="inlineStr">
        <is>
          <t>1</t>
        </is>
      </c>
      <c r="G49" s="29" t="inlineStr">
        <is>
          <t>8bc0dcb2a1da1b21368c5536aaeef829d587f316</t>
        </is>
      </c>
      <c r="H49" s="29" t="inlineStr">
        <is>
          <t>2026-08-02T00:00:00Z</t>
        </is>
      </c>
      <c r="I49" s="29" t="inlineStr">
        <is>
          <t>Present</t>
        </is>
      </c>
      <c r="J49" s="29" t="inlineStr">
        <is>
          <t>Current</t>
        </is>
      </c>
      <c r="K49" s="29" t="inlineStr">
        <is>
          <t>Found implementation</t>
        </is>
      </c>
    </row>
    <row r="50" ht="42" customHeight="1">
      <c r="A50" s="29" t="inlineStr">
        <is>
          <t>EV-04-0008</t>
        </is>
      </c>
      <c r="B50" s="30" t="inlineStr">
        <is>
          <t>BLYP-04-008</t>
        </is>
      </c>
      <c r="C50" s="29" t="inlineStr">
        <is>
          <t>Source Code</t>
        </is>
      </c>
      <c r="D50" s="30" t="inlineStr">
        <is>
          <t>src/App.js</t>
        </is>
      </c>
      <c r="E50" s="29" t="inlineStr">
        <is>
          <t>App</t>
        </is>
      </c>
      <c r="F50" s="29" t="inlineStr">
        <is>
          <t>1</t>
        </is>
      </c>
      <c r="G50" s="29" t="inlineStr">
        <is>
          <t>8bc0dcb2a1da1b21368c5536aaeef829d587f316</t>
        </is>
      </c>
      <c r="H50" s="29" t="inlineStr">
        <is>
          <t>2026-08-02T00:00:00Z</t>
        </is>
      </c>
      <c r="I50" s="29" t="inlineStr">
        <is>
          <t>Present</t>
        </is>
      </c>
      <c r="J50" s="29" t="inlineStr">
        <is>
          <t>Current</t>
        </is>
      </c>
      <c r="K50" s="29" t="inlineStr">
        <is>
          <t>Found implementation</t>
        </is>
      </c>
    </row>
    <row r="51" ht="42" customHeight="1">
      <c r="A51" s="29" t="inlineStr">
        <is>
          <t>EV-04-0009</t>
        </is>
      </c>
      <c r="B51" s="30" t="inlineStr">
        <is>
          <t>BLYP-04-009</t>
        </is>
      </c>
      <c r="C51" s="29" t="inlineStr">
        <is>
          <t>Source Code</t>
        </is>
      </c>
      <c r="D51" s="30" t="inlineStr">
        <is>
          <t>src/App.js</t>
        </is>
      </c>
      <c r="E51" s="29" t="inlineStr">
        <is>
          <t>App</t>
        </is>
      </c>
      <c r="F51" s="29" t="inlineStr">
        <is>
          <t>1</t>
        </is>
      </c>
      <c r="G51" s="29" t="inlineStr">
        <is>
          <t>8bc0dcb2a1da1b21368c5536aaeef829d587f316</t>
        </is>
      </c>
      <c r="H51" s="29" t="inlineStr">
        <is>
          <t>2026-08-02T00:00:00Z</t>
        </is>
      </c>
      <c r="I51" s="29" t="inlineStr">
        <is>
          <t>Present</t>
        </is>
      </c>
      <c r="J51" s="29" t="inlineStr">
        <is>
          <t>Current</t>
        </is>
      </c>
      <c r="K51" s="29" t="inlineStr">
        <is>
          <t>Found implementation</t>
        </is>
      </c>
    </row>
    <row r="52" ht="42" customHeight="1">
      <c r="A52" s="29" t="inlineStr">
        <is>
          <t>EV-04-0010</t>
        </is>
      </c>
      <c r="B52" s="30" t="inlineStr">
        <is>
          <t>BLYP-04-010</t>
        </is>
      </c>
      <c r="C52" s="29" t="inlineStr">
        <is>
          <t>Source Code</t>
        </is>
      </c>
      <c r="D52" s="30" t="inlineStr">
        <is>
          <t>src/App.js</t>
        </is>
      </c>
      <c r="E52" s="29" t="inlineStr">
        <is>
          <t>App</t>
        </is>
      </c>
      <c r="F52" s="29" t="inlineStr">
        <is>
          <t>1</t>
        </is>
      </c>
      <c r="G52" s="29" t="inlineStr">
        <is>
          <t>8bc0dcb2a1da1b21368c5536aaeef829d587f316</t>
        </is>
      </c>
      <c r="H52" s="29" t="inlineStr">
        <is>
          <t>2026-08-02T00:00:00Z</t>
        </is>
      </c>
      <c r="I52" s="29" t="inlineStr">
        <is>
          <t>Present</t>
        </is>
      </c>
      <c r="J52" s="29" t="inlineStr">
        <is>
          <t>Current</t>
        </is>
      </c>
      <c r="K52" s="29" t="inlineStr">
        <is>
          <t>Found implementation</t>
        </is>
      </c>
    </row>
    <row r="53" ht="42" customHeight="1">
      <c r="A53" s="29" t="inlineStr">
        <is>
          <t>EV-04-0011</t>
        </is>
      </c>
      <c r="B53" s="30" t="inlineStr">
        <is>
          <t>BLYP-04-011</t>
        </is>
      </c>
      <c r="C53" s="29" t="inlineStr">
        <is>
          <t>Source Code</t>
        </is>
      </c>
      <c r="D53" s="30" t="inlineStr">
        <is>
          <t>src/App.js</t>
        </is>
      </c>
      <c r="E53" s="29" t="inlineStr">
        <is>
          <t>App</t>
        </is>
      </c>
      <c r="F53" s="29" t="inlineStr">
        <is>
          <t>1</t>
        </is>
      </c>
      <c r="G53" s="29" t="inlineStr">
        <is>
          <t>8bc0dcb2a1da1b21368c5536aaeef829d587f316</t>
        </is>
      </c>
      <c r="H53" s="29" t="inlineStr">
        <is>
          <t>2026-08-02T00:00:00Z</t>
        </is>
      </c>
      <c r="I53" s="29" t="inlineStr">
        <is>
          <t>Present</t>
        </is>
      </c>
      <c r="J53" s="29" t="inlineStr">
        <is>
          <t>Current</t>
        </is>
      </c>
      <c r="K53" s="29" t="inlineStr">
        <is>
          <t>Found implementation</t>
        </is>
      </c>
    </row>
    <row r="54" ht="42" customHeight="1">
      <c r="A54" s="29" t="inlineStr">
        <is>
          <t>EV-04-0012</t>
        </is>
      </c>
      <c r="B54" s="30" t="inlineStr">
        <is>
          <t>BLYP-04-012</t>
        </is>
      </c>
      <c r="C54" s="29" t="inlineStr">
        <is>
          <t>Source Code</t>
        </is>
      </c>
      <c r="D54" s="30" t="inlineStr">
        <is>
          <t>src/App.js</t>
        </is>
      </c>
      <c r="E54" s="29" t="inlineStr">
        <is>
          <t>App</t>
        </is>
      </c>
      <c r="F54" s="29" t="inlineStr">
        <is>
          <t>1</t>
        </is>
      </c>
      <c r="G54" s="29" t="inlineStr">
        <is>
          <t>8bc0dcb2a1da1b21368c5536aaeef829d587f316</t>
        </is>
      </c>
      <c r="H54" s="29" t="inlineStr">
        <is>
          <t>2026-08-02T00:00:00Z</t>
        </is>
      </c>
      <c r="I54" s="29" t="inlineStr">
        <is>
          <t>Present</t>
        </is>
      </c>
      <c r="J54" s="29" t="inlineStr">
        <is>
          <t>Current</t>
        </is>
      </c>
      <c r="K54" s="29" t="inlineStr">
        <is>
          <t>Found implementation</t>
        </is>
      </c>
    </row>
    <row r="55" ht="42" customHeight="1">
      <c r="A55" s="29" t="inlineStr">
        <is>
          <t>EV-04-0013</t>
        </is>
      </c>
      <c r="B55" s="30" t="inlineStr">
        <is>
          <t>BLYP-04-013</t>
        </is>
      </c>
      <c r="C55" s="29" t="inlineStr">
        <is>
          <t>Source Code</t>
        </is>
      </c>
      <c r="D55" s="30" t="inlineStr">
        <is>
          <t>src/App.js</t>
        </is>
      </c>
      <c r="E55" s="29" t="inlineStr">
        <is>
          <t>App</t>
        </is>
      </c>
      <c r="F55" s="29" t="inlineStr">
        <is>
          <t>1</t>
        </is>
      </c>
      <c r="G55" s="29" t="inlineStr">
        <is>
          <t>8bc0dcb2a1da1b21368c5536aaeef829d587f316</t>
        </is>
      </c>
      <c r="H55" s="29" t="inlineStr">
        <is>
          <t>2026-08-02T00:00:00Z</t>
        </is>
      </c>
      <c r="I55" s="29" t="inlineStr">
        <is>
          <t>Present</t>
        </is>
      </c>
      <c r="J55" s="29" t="inlineStr">
        <is>
          <t>Current</t>
        </is>
      </c>
      <c r="K55" s="29" t="inlineStr">
        <is>
          <t>Found implementation</t>
        </is>
      </c>
    </row>
    <row r="56" ht="42" customHeight="1">
      <c r="A56" s="29" t="inlineStr">
        <is>
          <t>EV-04-0014</t>
        </is>
      </c>
      <c r="B56" s="30" t="inlineStr">
        <is>
          <t>BLYP-04-014</t>
        </is>
      </c>
      <c r="C56" s="29" t="inlineStr">
        <is>
          <t>Source Code</t>
        </is>
      </c>
      <c r="D56" s="30" t="inlineStr">
        <is>
          <t>src/App.js</t>
        </is>
      </c>
      <c r="E56" s="29" t="inlineStr">
        <is>
          <t>App</t>
        </is>
      </c>
      <c r="F56" s="29" t="inlineStr">
        <is>
          <t>1</t>
        </is>
      </c>
      <c r="G56" s="29" t="inlineStr">
        <is>
          <t>8bc0dcb2a1da1b21368c5536aaeef829d587f316</t>
        </is>
      </c>
      <c r="H56" s="29" t="inlineStr">
        <is>
          <t>2026-08-02T00:00:00Z</t>
        </is>
      </c>
      <c r="I56" s="29" t="inlineStr">
        <is>
          <t>Present</t>
        </is>
      </c>
      <c r="J56" s="29" t="inlineStr">
        <is>
          <t>Current</t>
        </is>
      </c>
      <c r="K56" s="29" t="inlineStr">
        <is>
          <t>Found implementation</t>
        </is>
      </c>
    </row>
    <row r="57" ht="42" customHeight="1">
      <c r="A57" s="29" t="inlineStr">
        <is>
          <t>EV-04-0015</t>
        </is>
      </c>
      <c r="B57" s="30" t="inlineStr">
        <is>
          <t>BLYP-04-015</t>
        </is>
      </c>
      <c r="C57" s="29" t="inlineStr">
        <is>
          <t>Source Code</t>
        </is>
      </c>
      <c r="D57" s="30" t="inlineStr">
        <is>
          <t>src/App.js</t>
        </is>
      </c>
      <c r="E57" s="29" t="inlineStr">
        <is>
          <t>App</t>
        </is>
      </c>
      <c r="F57" s="29" t="inlineStr">
        <is>
          <t>1</t>
        </is>
      </c>
      <c r="G57" s="29" t="inlineStr">
        <is>
          <t>8bc0dcb2a1da1b21368c5536aaeef829d587f316</t>
        </is>
      </c>
      <c r="H57" s="29" t="inlineStr">
        <is>
          <t>2026-08-02T00:00:00Z</t>
        </is>
      </c>
      <c r="I57" s="29" t="inlineStr">
        <is>
          <t>Present</t>
        </is>
      </c>
      <c r="J57" s="29" t="inlineStr">
        <is>
          <t>Current</t>
        </is>
      </c>
      <c r="K57" s="29" t="inlineStr">
        <is>
          <t>Found implementation</t>
        </is>
      </c>
    </row>
    <row r="58" ht="42" customHeight="1">
      <c r="A58" s="29" t="inlineStr">
        <is>
          <t>EV-04-0016</t>
        </is>
      </c>
      <c r="B58" s="30" t="inlineStr">
        <is>
          <t>BLYP-04-016</t>
        </is>
      </c>
      <c r="C58" s="29" t="inlineStr">
        <is>
          <t>Source Code</t>
        </is>
      </c>
      <c r="D58" s="30" t="inlineStr">
        <is>
          <t>src/App.js</t>
        </is>
      </c>
      <c r="E58" s="29" t="inlineStr">
        <is>
          <t>App</t>
        </is>
      </c>
      <c r="F58" s="29" t="inlineStr">
        <is>
          <t>1</t>
        </is>
      </c>
      <c r="G58" s="29" t="inlineStr">
        <is>
          <t>8bc0dcb2a1da1b21368c5536aaeef829d587f316</t>
        </is>
      </c>
      <c r="H58" s="29" t="inlineStr">
        <is>
          <t>2026-08-02T00:00:00Z</t>
        </is>
      </c>
      <c r="I58" s="29" t="inlineStr">
        <is>
          <t>Present</t>
        </is>
      </c>
      <c r="J58" s="29" t="inlineStr">
        <is>
          <t>Current</t>
        </is>
      </c>
      <c r="K58" s="29" t="inlineStr">
        <is>
          <t>Found implementation</t>
        </is>
      </c>
    </row>
    <row r="59" ht="42" customHeight="1">
      <c r="A59" s="29" t="inlineStr">
        <is>
          <t>EV-04-0017</t>
        </is>
      </c>
      <c r="B59" s="30" t="inlineStr">
        <is>
          <t>BLYP-04-017</t>
        </is>
      </c>
      <c r="C59" s="29" t="inlineStr">
        <is>
          <t>Source Code</t>
        </is>
      </c>
      <c r="D59" s="30" t="inlineStr">
        <is>
          <t>src/App.js</t>
        </is>
      </c>
      <c r="E59" s="29" t="inlineStr">
        <is>
          <t>App</t>
        </is>
      </c>
      <c r="F59" s="29" t="inlineStr">
        <is>
          <t>1</t>
        </is>
      </c>
      <c r="G59" s="29" t="inlineStr">
        <is>
          <t>8bc0dcb2a1da1b21368c5536aaeef829d587f316</t>
        </is>
      </c>
      <c r="H59" s="29" t="inlineStr">
        <is>
          <t>2026-08-02T00:00:00Z</t>
        </is>
      </c>
      <c r="I59" s="29" t="inlineStr">
        <is>
          <t>Present</t>
        </is>
      </c>
      <c r="J59" s="29" t="inlineStr">
        <is>
          <t>Current</t>
        </is>
      </c>
      <c r="K59" s="29" t="inlineStr">
        <is>
          <t>Found implementation</t>
        </is>
      </c>
    </row>
    <row r="60" ht="42" customHeight="1">
      <c r="A60" s="29" t="inlineStr">
        <is>
          <t>EV-04-0018</t>
        </is>
      </c>
      <c r="B60" s="30" t="inlineStr">
        <is>
          <t>BLYP-04-018</t>
        </is>
      </c>
      <c r="C60" s="29" t="inlineStr">
        <is>
          <t>Source Code</t>
        </is>
      </c>
      <c r="D60" s="30" t="inlineStr">
        <is>
          <t>src/App.js</t>
        </is>
      </c>
      <c r="E60" s="29" t="inlineStr">
        <is>
          <t>App</t>
        </is>
      </c>
      <c r="F60" s="29" t="inlineStr">
        <is>
          <t>1</t>
        </is>
      </c>
      <c r="G60" s="29" t="inlineStr">
        <is>
          <t>8bc0dcb2a1da1b21368c5536aaeef829d587f316</t>
        </is>
      </c>
      <c r="H60" s="29" t="inlineStr">
        <is>
          <t>2026-08-02T00:00:00Z</t>
        </is>
      </c>
      <c r="I60" s="29" t="inlineStr">
        <is>
          <t>Present</t>
        </is>
      </c>
      <c r="J60" s="29" t="inlineStr">
        <is>
          <t>Current</t>
        </is>
      </c>
      <c r="K60" s="29" t="inlineStr">
        <is>
          <t>Found implementation</t>
        </is>
      </c>
    </row>
    <row r="61" ht="42" customHeight="1">
      <c r="A61" s="29" t="inlineStr">
        <is>
          <t>EV-04-0019</t>
        </is>
      </c>
      <c r="B61" s="30" t="inlineStr">
        <is>
          <t>BLYP-04-019</t>
        </is>
      </c>
      <c r="C61" s="29" t="inlineStr">
        <is>
          <t>Source Code</t>
        </is>
      </c>
      <c r="D61" s="30" t="inlineStr">
        <is>
          <t>src/App.js</t>
        </is>
      </c>
      <c r="E61" s="29" t="inlineStr">
        <is>
          <t>App</t>
        </is>
      </c>
      <c r="F61" s="29" t="inlineStr">
        <is>
          <t>1</t>
        </is>
      </c>
      <c r="G61" s="29" t="inlineStr">
        <is>
          <t>8bc0dcb2a1da1b21368c5536aaeef829d587f316</t>
        </is>
      </c>
      <c r="H61" s="29" t="inlineStr">
        <is>
          <t>2026-08-02T00:00:00Z</t>
        </is>
      </c>
      <c r="I61" s="29" t="inlineStr">
        <is>
          <t>Present</t>
        </is>
      </c>
      <c r="J61" s="29" t="inlineStr">
        <is>
          <t>Current</t>
        </is>
      </c>
      <c r="K61" s="29" t="inlineStr">
        <is>
          <t>Found implementation</t>
        </is>
      </c>
    </row>
    <row r="62" ht="42" customHeight="1">
      <c r="A62" s="29" t="inlineStr">
        <is>
          <t>EV-04-0020</t>
        </is>
      </c>
      <c r="B62" s="30" t="inlineStr">
        <is>
          <t>BLYP-04-020</t>
        </is>
      </c>
      <c r="C62" s="29" t="inlineStr">
        <is>
          <t>Source Code</t>
        </is>
      </c>
      <c r="D62" s="30" t="inlineStr">
        <is>
          <t>src/App.js</t>
        </is>
      </c>
      <c r="E62" s="29" t="inlineStr">
        <is>
          <t>App</t>
        </is>
      </c>
      <c r="F62" s="29" t="inlineStr">
        <is>
          <t>1</t>
        </is>
      </c>
      <c r="G62" s="29" t="inlineStr">
        <is>
          <t>8bc0dcb2a1da1b21368c5536aaeef829d587f316</t>
        </is>
      </c>
      <c r="H62" s="29" t="inlineStr">
        <is>
          <t>2026-08-02T00:00:00Z</t>
        </is>
      </c>
      <c r="I62" s="29" t="inlineStr">
        <is>
          <t>Present</t>
        </is>
      </c>
      <c r="J62" s="29" t="inlineStr">
        <is>
          <t>Current</t>
        </is>
      </c>
      <c r="K62" s="29" t="inlineStr">
        <is>
          <t>Found implementation</t>
        </is>
      </c>
    </row>
    <row r="63" ht="42" customHeight="1">
      <c r="A63" s="29" t="inlineStr">
        <is>
          <t>EV-05-0001</t>
        </is>
      </c>
      <c r="B63" s="30" t="inlineStr">
        <is>
          <t>BLYP-05-013</t>
        </is>
      </c>
      <c r="C63" s="29" t="inlineStr">
        <is>
          <t>Source code</t>
        </is>
      </c>
      <c r="D63" s="30" t="inlineStr">
        <is>
          <t>src/screens/ChatListScreen.js</t>
        </is>
      </c>
      <c r="E63" s="29" t="inlineStr">
        <is>
          <t>case 'groups' (Leaderboard tab)</t>
        </is>
      </c>
      <c r="F63" s="29" t="inlineStr">
        <is>
          <t>998-1007</t>
        </is>
      </c>
      <c r="G63" s="29" t="inlineStr">
        <is>
          <t>8bc0dcb2a1da1b21368c5536aaeef829d587f316</t>
        </is>
      </c>
      <c r="H63" s="29" t="inlineStr">
        <is>
          <t>2026-08-02</t>
        </is>
      </c>
      <c r="I63" s="29" t="inlineStr">
        <is>
          <t>Leaderboard tab renders a 'Coming Soon' placeholder with trophy icon and text 'Check top players and your ranking.' No data, no list, no server connection.</t>
        </is>
      </c>
      <c r="J63" s="29" t="inlineStr">
        <is>
          <t>Current</t>
        </is>
      </c>
      <c r="K63" s="29" t="inlineStr">
        <is>
          <t>Proves a UI placeholder exists for a leaderboard concept. Does NOT prove team member board, member ranking, or any data-backed leaderboard. Does not prove server authority, data store, or navigation to team context.</t>
        </is>
      </c>
    </row>
    <row r="64" ht="42" customHeight="1">
      <c r="A64" s="29" t="inlineStr">
        <is>
          <t>EV-05-0002</t>
        </is>
      </c>
      <c r="B64" s="30" t="inlineStr">
        <is>
          <t>BLYP-05-020</t>
        </is>
      </c>
      <c r="C64" s="29" t="inlineStr">
        <is>
          <t>Source code</t>
        </is>
      </c>
      <c r="D64" s="30" t="inlineStr">
        <is>
          <t>src/hooks/useIsAdmin.js</t>
        </is>
      </c>
      <c r="E64" s="29" t="inlineStr">
        <is>
          <t>useIsAdmin()</t>
        </is>
      </c>
      <c r="F64" s="29" t="inlineStr">
        <is>
          <t>1-24</t>
        </is>
      </c>
      <c r="G64" s="29" t="inlineStr">
        <is>
          <t>8bc0dcb2a1da1b21368c5536aaeef829d587f316</t>
        </is>
      </c>
      <c r="H64" s="29" t="inlineStr">
        <is>
          <t>2026-08-02</t>
        </is>
      </c>
      <c r="I64" s="29" t="inlineStr">
        <is>
          <t>Client hook reads users/{uid} Firestore doc and checks roles array for 'admin' or isAdmin flag. Returns { isAdmin, loading }.</t>
        </is>
      </c>
      <c r="J64" s="29" t="inlineStr">
        <is>
          <t>Current</t>
        </is>
      </c>
      <c r="K64" s="29" t="inlineStr">
        <is>
          <t>Proves client-side role check exists for 'admin'. Does NOT prove team-specific roles (manager, member, viewer etc.), team-scoped permissions, or server-side enforcement of team roles.</t>
        </is>
      </c>
    </row>
    <row r="65" ht="42" customHeight="1">
      <c r="A65" s="29" t="inlineStr">
        <is>
          <t>EV-05-0003</t>
        </is>
      </c>
      <c r="B65" s="30" t="inlineStr">
        <is>
          <t>BLYP-05-020</t>
        </is>
      </c>
      <c r="C65" s="29" t="inlineStr">
        <is>
          <t>Source code</t>
        </is>
      </c>
      <c r="D65" s="30" t="inlineStr">
        <is>
          <t>src/screens/ModerationQueueScreen.js</t>
        </is>
      </c>
      <c r="E65" s="29" t="inlineStr">
        <is>
          <t>ModerationQueueScreen</t>
        </is>
      </c>
      <c r="F65" s="29" t="inlineStr">
        <is>
          <t>3</t>
        </is>
      </c>
      <c r="G65" s="29" t="inlineStr">
        <is>
          <t>8bc0dcb2a1da1b21368c5536aaeef829d587f316</t>
        </is>
      </c>
      <c r="H65" s="29" t="inlineStr">
        <is>
          <t>2026-08-02</t>
        </is>
      </c>
      <c r="I65" s="29" t="inlineStr">
        <is>
          <t>Comment: 'NOTE: Actual admin gating not implemented; integrate with role system later.' Role check via useIsAdmin is present but the comment explicitly states gating is incomplete.</t>
        </is>
      </c>
      <c r="J65" s="29" t="inlineStr">
        <is>
          <t>Current</t>
        </is>
      </c>
      <c r="K65" s="29" t="inlineStr">
        <is>
          <t>Confirms role system integration is incomplete. Does NOT prove team role enforcement.</t>
        </is>
      </c>
    </row>
    <row r="66" ht="42" customHeight="1">
      <c r="A66" s="29" t="inlineStr">
        <is>
          <t>EV-05-0004</t>
        </is>
      </c>
      <c r="B66" s="30" t="inlineStr">
        <is>
          <t>BLYP-05-020</t>
        </is>
      </c>
      <c r="C66" s="29" t="inlineStr">
        <is>
          <t>Source code</t>
        </is>
      </c>
      <c r="D66" s="30" t="inlineStr">
        <is>
          <t>backend/blyp-live-service/src/admin/adminSchemas.ts</t>
        </is>
      </c>
      <c r="E66" s="29" t="inlineStr">
        <is>
          <t>adminSetCapabilitiesSchema</t>
        </is>
      </c>
      <c r="F66" s="29" t="inlineStr">
        <is>
          <t>28-30</t>
        </is>
      </c>
      <c r="G66" s="29" t="inlineStr">
        <is>
          <t>8bc0dcb2a1da1b21368c5536aaeef829d587f316</t>
        </is>
      </c>
      <c r="H66" s="29" t="inlineStr">
        <is>
          <t>2026-08-02</t>
        </is>
      </c>
      <c r="I66" s="29" t="inlineStr">
        <is>
          <t>role field defined as z.enum(['user', 'admin', 'manager']).optional(). Three roles defined in schema.</t>
        </is>
      </c>
      <c r="J66" s="29" t="inlineStr">
        <is>
          <t>Current</t>
        </is>
      </c>
      <c r="K66" s="29" t="inlineStr">
        <is>
          <t>Proves role enum exists in admin capabilities schema. Does NOT prove team-scoped roles, team membership roles, or that these roles map to team board permissions.</t>
        </is>
      </c>
    </row>
    <row r="67" ht="42" customHeight="1">
      <c r="A67" s="29" t="inlineStr">
        <is>
          <t>EV-05-0005</t>
        </is>
      </c>
      <c r="B67" s="30" t="inlineStr">
        <is>
          <t>BLYP-05-020</t>
        </is>
      </c>
      <c r="C67" s="29" t="inlineStr">
        <is>
          <t>Source code</t>
        </is>
      </c>
      <c r="D67" s="30" t="inlineStr">
        <is>
          <t>backend/blyp-live-service/src/admin/adminRoutes.ts</t>
        </is>
      </c>
      <c r="E67" s="29" t="inlineStr">
        <is>
          <t>POST /admin/users/:userId/capabilities</t>
        </is>
      </c>
      <c r="F67" s="29" t="inlineStr">
        <is>
          <t>262-294</t>
        </is>
      </c>
      <c r="G67" s="29" t="inlineStr">
        <is>
          <t>8bc0dcb2a1da1b21368c5536aaeef829d587f316</t>
        </is>
      </c>
      <c r="H67" s="29" t="inlineStr">
        <is>
          <t>2026-08-02</t>
        </is>
      </c>
      <c r="I67" s="29" t="inlineStr">
        <is>
          <t>Admin-only route to set user role, verification, and restrictions. Calls setAdminUserCapabilities with role field.</t>
        </is>
      </c>
      <c r="J67" s="29" t="inlineStr">
        <is>
          <t>Current</t>
        </is>
      </c>
      <c r="K67" s="29" t="inlineStr">
        <is>
          <t>Proves server-side role assignment exists for admin users. Does NOT prove team-scoped role management, team board access control, or that roles are enforced in team context.</t>
        </is>
      </c>
    </row>
    <row r="68" ht="42" customHeight="1">
      <c r="A68" s="29" t="inlineStr">
        <is>
          <t>EV-05-0006</t>
        </is>
      </c>
      <c r="B68" s="30" t="inlineStr">
        <is>
          <t>BLYP-05-020</t>
        </is>
      </c>
      <c r="C68" s="29" t="inlineStr">
        <is>
          <t>Source code</t>
        </is>
      </c>
      <c r="D68" s="30" t="inlineStr">
        <is>
          <t>backend/blyp-live-service/src/economy/schema.ts</t>
        </is>
      </c>
      <c r="E68" s="29" t="inlineStr">
        <is>
          <t>user_admin_state table</t>
        </is>
      </c>
      <c r="F68" s="29" t="inlineStr">
        <is>
          <t>181-190</t>
        </is>
      </c>
      <c r="G68" s="29" t="inlineStr">
        <is>
          <t>8bc0dcb2a1da1b21368c5536aaeef829d587f316</t>
        </is>
      </c>
      <c r="H68" s="29" t="inlineStr">
        <is>
          <t>2026-08-02</t>
        </is>
      </c>
      <c r="I68" s="29" t="inlineStr">
        <is>
          <t>Table user_admin_state with columns: user_id, role (text, default 'user'), is_banned, ban_reason, banned_until, metadata. Index on role column.</t>
        </is>
      </c>
      <c r="J68" s="29" t="inlineStr">
        <is>
          <t>Current</t>
        </is>
      </c>
      <c r="K68" s="29" t="inlineStr">
        <is>
          <t>Proves role persisted per user in backend DB. Does NOT prove team membership, team-scoped roles, or team board access control.</t>
        </is>
      </c>
    </row>
    <row r="69" ht="42" customHeight="1">
      <c r="A69" s="29" t="inlineStr">
        <is>
          <t>EV-05-0007</t>
        </is>
      </c>
      <c r="B69" s="30" t="inlineStr">
        <is>
          <t>BLYP-05-007</t>
        </is>
      </c>
      <c r="C69" s="29" t="inlineStr">
        <is>
          <t>Source code</t>
        </is>
      </c>
      <c r="D69" s="30" t="inlineStr">
        <is>
          <t>src/services/EnterpriseAnalyticsService.js</t>
        </is>
      </c>
      <c r="E69" s="29" t="inlineStr">
        <is>
          <t>trackEngagement()</t>
        </is>
      </c>
      <c r="F69" s="29" t="inlineStr">
        <is>
          <t>328-375</t>
        </is>
      </c>
      <c r="G69" s="29" t="inlineStr">
        <is>
          <t>8bc0dcb2a1da1b21368c5536aaeef829d587f316</t>
        </is>
      </c>
      <c r="H69" s="29" t="inlineStr">
        <is>
          <t>2026-08-02</t>
        </is>
      </c>
      <c r="I69" s="29" t="inlineStr">
        <is>
          <t>Client-side method tracks engagement events (like, comment, share, follow etc.) in-memory stream metrics object. generateEngagementReport() stub present.</t>
        </is>
      </c>
      <c r="J69" s="29" t="inlineStr">
        <is>
          <t>Current</t>
        </is>
      </c>
      <c r="K69" s="29" t="inlineStr">
        <is>
          <t>Proves engagement event tracking exists for live streams. Does NOT prove team-scoped engagement metrics, team member board display, or server-side aggregation for team context.</t>
        </is>
      </c>
    </row>
    <row r="70" ht="42" customHeight="1">
      <c r="A70" s="29" t="inlineStr">
        <is>
          <t>EV-05-0008</t>
        </is>
      </c>
      <c r="B70" s="30" t="inlineStr">
        <is>
          <t>BLYP-05-007</t>
        </is>
      </c>
      <c r="C70" s="29" t="inlineStr">
        <is>
          <t>Source code</t>
        </is>
      </c>
      <c r="D70" s="30" t="inlineStr">
        <is>
          <t>src/services/HLSLiveStreamService.js</t>
        </is>
      </c>
      <c r="E70" s="29" t="inlineStr">
        <is>
          <t>engagementScore calculation</t>
        </is>
      </c>
      <c r="F70" s="29" t="inlineStr">
        <is>
          <t>687, 726</t>
        </is>
      </c>
      <c r="G70" s="29" t="inlineStr">
        <is>
          <t>8bc0dcb2a1da1b21368c5536aaeef829d587f316</t>
        </is>
      </c>
      <c r="H70" s="29" t="inlineStr">
        <is>
          <t>2026-08-02</t>
        </is>
      </c>
      <c r="I70" s="29" t="inlineStr">
        <is>
          <t>engagementScore = viewCount + likes*2 used for sorting live streams by engagement. Not team-scoped.</t>
        </is>
      </c>
      <c r="J70" s="29" t="inlineStr">
        <is>
          <t>Current</t>
        </is>
      </c>
      <c r="K70" s="29" t="inlineStr">
        <is>
          <t>Proves engagement score computed for live streams. Does NOT prove team-member engagement metrics or team board display.</t>
        </is>
      </c>
    </row>
    <row r="71" ht="42" customHeight="1">
      <c r="A71" s="29" t="inlineStr">
        <is>
          <t>EV-05-0009</t>
        </is>
      </c>
      <c r="B71" s="30" t="inlineStr">
        <is>
          <t>BLYP-05-005; BLYP-05-007</t>
        </is>
      </c>
      <c r="C71" s="29" t="inlineStr">
        <is>
          <t>Source code</t>
        </is>
      </c>
      <c r="D71" s="30" t="inlineStr">
        <is>
          <t>src/utils/smartListGenerator.js</t>
        </is>
      </c>
      <c r="E71" s="29" t="inlineStr">
        <is>
          <t>generatePopularityRankings()</t>
        </is>
      </c>
      <c r="F71" s="29" t="inlineStr">
        <is>
          <t>341-389</t>
        </is>
      </c>
      <c r="G71" s="29" t="inlineStr">
        <is>
          <t>8bc0dcb2a1da1b21368c5536aaeef829d587f316</t>
        </is>
      </c>
      <c r="H71" s="29" t="inlineStr">
        <is>
          <t>2026-08-02</t>
        </is>
      </c>
      <c r="I71" s="29" t="inlineStr">
        <is>
          <t>Calculates weighted engagementScore = likes*1 + comments*2 + shares*3 + views*0.1 for posts. Used for content popularity rankings, not team member metrics.</t>
        </is>
      </c>
      <c r="J71" s="29" t="inlineStr">
        <is>
          <t>Current</t>
        </is>
      </c>
      <c r="K71" s="29" t="inlineStr">
        <is>
          <t>Proves post-level engagement scoring exists. Does NOT prove team-scoped post-performance metrics or team member contribution scoring.</t>
        </is>
      </c>
    </row>
    <row r="72" ht="42" customHeight="1">
      <c r="A72" s="29" t="inlineStr">
        <is>
          <t>EV-05-0010</t>
        </is>
      </c>
      <c r="B72" s="30" t="inlineStr">
        <is>
          <t>BLYP-05-005; BLYP-05-007</t>
        </is>
      </c>
      <c r="C72" s="29" t="inlineStr">
        <is>
          <t>Source code</t>
        </is>
      </c>
      <c r="D72" s="30" t="inlineStr">
        <is>
          <t>src/components/WhatsAppPopularTab.js</t>
        </is>
      </c>
      <c r="E72" s="29" t="inlineStr">
        <is>
          <t>postMetrics, engagementBadge</t>
        </is>
      </c>
      <c r="F72" s="29" t="inlineStr">
        <is>
          <t>117-205</t>
        </is>
      </c>
      <c r="G72" s="29" t="inlineStr">
        <is>
          <t>8bc0dcb2a1da1b21368c5536aaeef829d587f316</t>
        </is>
      </c>
      <c r="H72" s="29" t="inlineStr">
        <is>
          <t>2026-08-02</t>
        </is>
      </c>
      <c r="I72" s="29" t="inlineStr">
        <is>
          <t>Displays post metrics (likes, comments, shares) and engagementScore in popular content tab. Not team-scoped.</t>
        </is>
      </c>
      <c r="J72" s="29" t="inlineStr">
        <is>
          <t>Current</t>
        </is>
      </c>
      <c r="K72" s="29" t="inlineStr">
        <is>
          <t>Proves post-level metrics displayed in UI. Does NOT prove team member post-performance metrics or team board.</t>
        </is>
      </c>
    </row>
    <row r="73" ht="42" customHeight="1">
      <c r="A73" s="29" t="inlineStr">
        <is>
          <t>EV-05-0011</t>
        </is>
      </c>
      <c r="B73" s="30" t="inlineStr">
        <is>
          <t>BLYP-05-008</t>
        </is>
      </c>
      <c r="C73" s="29" t="inlineStr">
        <is>
          <t>Source code</t>
        </is>
      </c>
      <c r="D73" s="30" t="inlineStr">
        <is>
          <t>backend/blyp-live-service/src/economy/schema.ts</t>
        </is>
      </c>
      <c r="E73" s="29" t="inlineStr">
        <is>
          <t>gift_events table</t>
        </is>
      </c>
      <c r="F73" s="29" t="inlineStr">
        <is>
          <t>schema.ts (gift_events CREATE TABLE)</t>
        </is>
      </c>
      <c r="G73" s="29" t="inlineStr">
        <is>
          <t>8bc0dcb2a1da1b21368c5536aaeef829d587f316</t>
        </is>
      </c>
      <c r="H73" s="29" t="inlineStr">
        <is>
          <t>2026-08-02</t>
        </is>
      </c>
      <c r="I73" s="29" t="inlineStr">
        <is>
          <t>gift_events table with gift_event_id, stream_id, sender_user_id, receiver_user_id, gift_id, coin_cost, quantity, idempotency_key, metadata, created_at.</t>
        </is>
      </c>
      <c r="J73" s="29" t="inlineStr">
        <is>
          <t>Current</t>
        </is>
      </c>
      <c r="K73" s="29" t="inlineStr">
        <is>
          <t>Proves gift event data stored per stream. Does NOT prove team-scoped gifting metrics or team member gifting aggregation.</t>
        </is>
      </c>
    </row>
    <row r="74" ht="42" customHeight="1">
      <c r="A74" s="29" t="inlineStr">
        <is>
          <t>EV-05-0012</t>
        </is>
      </c>
      <c r="B74" s="30" t="inlineStr">
        <is>
          <t>BLYP-05-008</t>
        </is>
      </c>
      <c r="C74" s="29" t="inlineStr">
        <is>
          <t>Source code</t>
        </is>
      </c>
      <c r="D74" s="30" t="inlineStr">
        <is>
          <t>backend/blyp-live-service/src/economy/economyService.ts</t>
        </is>
      </c>
      <c r="E74" s="29" t="inlineStr">
        <is>
          <t>getStreamSummary()</t>
        </is>
      </c>
      <c r="F74" s="29" t="inlineStr">
        <is>
          <t>730-765</t>
        </is>
      </c>
      <c r="G74" s="29" t="inlineStr">
        <is>
          <t>8bc0dcb2a1da1b21368c5536aaeef829d587f316</t>
        </is>
      </c>
      <c r="H74" s="29" t="inlineStr">
        <is>
          <t>2026-08-02</t>
        </is>
      </c>
      <c r="I74" s="29" t="inlineStr">
        <is>
          <t>Returns viewer coin_spent and gift_count per stream, and creator coinsReceived/gemsEarned. Per-stream, per-user summary only.</t>
        </is>
      </c>
      <c r="J74" s="29" t="inlineStr">
        <is>
          <t>Current</t>
        </is>
      </c>
      <c r="K74" s="29" t="inlineStr">
        <is>
          <t>Proves gifting metrics exist at stream level for individual users. Does NOT prove team-scoped gifting metrics or team member gifting aggregation.</t>
        </is>
      </c>
    </row>
    <row r="75" ht="42" customHeight="1">
      <c r="A75" s="29" t="inlineStr">
        <is>
          <t>EV-05-0013</t>
        </is>
      </c>
      <c r="B75" s="30" t="inlineStr">
        <is>
          <t>BLYP-05-006</t>
        </is>
      </c>
      <c r="C75" s="29" t="inlineStr">
        <is>
          <t>Source code</t>
        </is>
      </c>
      <c r="D75" s="30" t="inlineStr">
        <is>
          <t>backend/blyp-live-service/src/admin/adminService.ts</t>
        </is>
      </c>
      <c r="E75" s="29" t="inlineStr">
        <is>
          <t>getAdminMetricsOverview()</t>
        </is>
      </c>
      <c r="F75" s="29" t="inlineStr">
        <is>
          <t>1241-1294</t>
        </is>
      </c>
      <c r="G75" s="29" t="inlineStr">
        <is>
          <t>8bc0dcb2a1da1b21368c5536aaeef829d587f316</t>
        </is>
      </c>
      <c r="H75" s="29" t="inlineStr">
        <is>
          <t>2026-08-02</t>
        </is>
      </c>
      <c r="I75" s="29" t="inlineStr">
        <is>
          <t>Returns total_users, banned_users, total_coin_supply, gifts_24h, ledger_entries_24h, active_subscriptions. Platform-level metrics, not team or member metrics.</t>
        </is>
      </c>
      <c r="J75" s="29" t="inlineStr">
        <is>
          <t>Current</t>
        </is>
      </c>
      <c r="K75" s="29" t="inlineStr">
        <is>
          <t>Proves platform-level metrics exist. Does NOT prove live-performance metrics for team members or team board.</t>
        </is>
      </c>
    </row>
    <row r="76" ht="42" customHeight="1">
      <c r="A76" s="29" t="inlineStr">
        <is>
          <t>EV-05-0014</t>
        </is>
      </c>
      <c r="B76" s="30" t="inlineStr">
        <is>
          <t>BLYP-05-006</t>
        </is>
      </c>
      <c r="C76" s="29" t="inlineStr">
        <is>
          <t>Source code</t>
        </is>
      </c>
      <c r="D76" s="30" t="inlineStr">
        <is>
          <t>functions/src/index.ts</t>
        </is>
      </c>
      <c r="E76" s="29" t="inlineStr">
        <is>
          <t>updateStreamAnalytics</t>
        </is>
      </c>
      <c r="F76" s="29" t="inlineStr">
        <is>
          <t>441-475</t>
        </is>
      </c>
      <c r="G76" s="29" t="inlineStr">
        <is>
          <t>8bc0dcb2a1da1b21368c5536aaeef829d587f316</t>
        </is>
      </c>
      <c r="H76" s="29" t="inlineStr">
        <is>
          <t>2026-08-02</t>
        </is>
      </c>
      <c r="I76" s="29" t="inlineStr">
        <is>
          <t>Firestore trigger on liveStreams/{streamId} updates streamAnalytics collection with viewCountDelta, newSegments, totalViewers, totalSegments. Stream-level analytics only.</t>
        </is>
      </c>
      <c r="J76" s="29" t="inlineStr">
        <is>
          <t>Current</t>
        </is>
      </c>
      <c r="K76" s="29" t="inlineStr">
        <is>
          <t>Proves live stream analytics tracked in Firestore. Does NOT prove team member live-performance metrics or team board integration.</t>
        </is>
      </c>
    </row>
    <row r="77" ht="42" customHeight="1">
      <c r="A77" s="29" t="inlineStr">
        <is>
          <t>EV-05-0015</t>
        </is>
      </c>
      <c r="B77" s="30" t="inlineStr">
        <is>
          <t>BLYP-05-006</t>
        </is>
      </c>
      <c r="C77" s="29" t="inlineStr">
        <is>
          <t>Source code</t>
        </is>
      </c>
      <c r="D77" s="30" t="inlineStr">
        <is>
          <t>src/performance/PerformanceStore.js</t>
        </is>
      </c>
      <c r="E77" s="29" t="inlineStr">
        <is>
          <t>computeScore()</t>
        </is>
      </c>
      <c r="F77" s="29" t="inlineStr">
        <is>
          <t>PerformanceStore.js (computeScore function)</t>
        </is>
      </c>
      <c r="G77" s="29" t="inlineStr">
        <is>
          <t>8bc0dcb2a1da1b21368c5536aaeef829d587f316</t>
        </is>
      </c>
      <c r="H77" s="29" t="inlineStr">
        <is>
          <t>2026-08-02</t>
        </is>
      </c>
      <c r="I77" s="29" t="inlineStr">
        <is>
          <t>Client-side performance scoring (0-100) based on render time, network time, long spans, error rate. App performance monitoring, not user/team performance.</t>
        </is>
      </c>
      <c r="J77" s="29" t="inlineStr">
        <is>
          <t>Current</t>
        </is>
      </c>
      <c r="K77" s="29" t="inlineStr">
        <is>
          <t>Proves client performance monitoring exists. Does NOT prove live-performance metrics for team members.</t>
        </is>
      </c>
    </row>
    <row r="78" ht="42" customHeight="1">
      <c r="A78" s="29" t="inlineStr">
        <is>
          <t>EV-05-0016</t>
        </is>
      </c>
      <c r="B78" s="30" t="inlineStr">
        <is>
          <t>BLYP-05-025</t>
        </is>
      </c>
      <c r="C78" s="29" t="inlineStr">
        <is>
          <t>Source code</t>
        </is>
      </c>
      <c r="D78" s="30" t="inlineStr">
        <is>
          <t>src/utils/activityTracker.js</t>
        </is>
      </c>
      <c r="E78" s="29" t="inlineStr">
        <is>
          <t>trackActivity(), ACTIVITY_TYPES</t>
        </is>
      </c>
      <c r="F78" s="29" t="inlineStr">
        <is>
          <t>1-100</t>
        </is>
      </c>
      <c r="G78" s="29" t="inlineStr">
        <is>
          <t>8bc0dcb2a1da1b21368c5536aaeef829d587f316</t>
        </is>
      </c>
      <c r="H78" s="29" t="inlineStr">
        <is>
          <t>2026-08-02</t>
        </is>
      </c>
      <c r="I78" s="29" t="inlineStr">
        <is>
          <t>Tracks LIKE, UNLIKE, SHARE, PROFILE_VIEW, COMMENT, FOLLOW, UNFOLLOW activities in Firestore 'activities' collection. No weighting formula, no team context.</t>
        </is>
      </c>
      <c r="J78" s="29" t="inlineStr">
        <is>
          <t>Current</t>
        </is>
      </c>
      <c r="K78" s="29" t="inlineStr">
        <is>
          <t>Proves activity tracking exists. Does NOT prove a genuine activity-based performance formula for team members.</t>
        </is>
      </c>
    </row>
    <row r="79" ht="42" customHeight="1">
      <c r="A79" s="29" t="inlineStr">
        <is>
          <t>EV-05-0017</t>
        </is>
      </c>
      <c r="B79" s="30" t="inlineStr">
        <is>
          <t>BLYP-05-001; BLYP-05-002; BLYP-05-003; BLYP-05-004; BLYP-05-009; BLYP-05-010; BLYP-05-011; BLYP-05-012; BLYP-05-013; BLYP-05-014; BLYP-05-015; BLYP-05-016; BLYP-05-017; BLYP-05-018; BLYP-05-019; BLYP-05-021; BLYP-05-022; BLYP-05-023; BLYP-05-024; BLYP-05-025</t>
        </is>
      </c>
      <c r="C79" s="29" t="inlineStr">
        <is>
          <t>Absence of source</t>
        </is>
      </c>
      <c r="D79" s="30" t="inlineStr">
        <is>
          <t>src/screens/, src/components/, src/services/, src/hooks/, backend/, functions/</t>
        </is>
      </c>
      <c r="E79" s="29" t="inlineStr">
        <is>
          <t>N/A</t>
        </is>
      </c>
      <c r="F79" s="29" t="inlineStr">
        <is>
          <t>N/A</t>
        </is>
      </c>
      <c r="G79" s="29" t="inlineStr">
        <is>
          <t>8bc0dcb2a1da1b21368c5536aaeef829d587f316</t>
        </is>
      </c>
      <c r="H79" s="29" t="inlineStr">
        <is>
          <t>2026-08-02</t>
        </is>
      </c>
      <c r="I79" s="29" t="inlineStr">
        <is>
          <t>Exhaustive grep for 'team', 'Team', 'board', 'Board', 'member board', 'contribution', 'roster', 'drill', 'achievement', 'improvement guidance', 'upcoming activity', 'team leader board', 'team goals', 'team challenges', 'team rewards', 'applications management', 'invitations management', 'team announcements', 'team scheduling', 'inactive/rising/high-performing', 'sensitive team data', 'genuine activity-based performance formula' across all source directories returned no matches (except unrelated keyboard/board UI, chat room member counts, and admin role management).</t>
        </is>
      </c>
      <c r="J79" s="29" t="inlineStr">
        <is>
          <t>Current</t>
        </is>
      </c>
      <c r="K79" s="29" t="inlineStr">
        <is>
          <t>Confirms no dedicated Team Board screens, services, hooks, routes, data stores, or workers exist in the codebase at this revision. Absence of evidence is not proof of absence, but no implementation artifacts were found.</t>
        </is>
      </c>
    </row>
    <row r="80" ht="42" customHeight="1">
      <c r="A80" s="29" t="inlineStr">
        <is>
          <t>EV-05-0018</t>
        </is>
      </c>
      <c r="B80" s="30" t="inlineStr">
        <is>
          <t>BLYP-05-020; BLYP-05-024</t>
        </is>
      </c>
      <c r="C80" s="29" t="inlineStr">
        <is>
          <t>Configuration</t>
        </is>
      </c>
      <c r="D80" s="29" t="inlineStr">
        <is>
          <t>firestore.rules</t>
        </is>
      </c>
      <c r="E80" s="29" t="inlineStr">
        <is>
          <t>match /{document=**}</t>
        </is>
      </c>
      <c r="F80" s="29" t="inlineStr">
        <is>
          <t>1-7</t>
        </is>
      </c>
      <c r="G80" s="29" t="inlineStr">
        <is>
          <t>8bc0dcb2a1da1b21368c5536aaeef829d587f316</t>
        </is>
      </c>
      <c r="H80" s="29" t="inlineStr">
        <is>
          <t>2026-08-02</t>
        </is>
      </c>
      <c r="I80" s="29" t="inlineStr">
        <is>
          <t>Firestore rules allow read/write to any document for any authenticated user. No team-scoped data restrictions.</t>
        </is>
      </c>
      <c r="J80" s="29" t="inlineStr">
        <is>
          <t>Current</t>
        </is>
      </c>
      <c r="K80" s="29" t="inlineStr">
        <is>
          <t>Confirms no Firestore-level sensitive team data restrictions are implemented. Does NOT prove or disprove backend-level restrictions.</t>
        </is>
      </c>
    </row>
    <row r="81" ht="42" customHeight="1">
      <c r="A81" s="29" t="inlineStr">
        <is>
          <t>EV-05-0019</t>
        </is>
      </c>
      <c r="B81" s="30" t="inlineStr">
        <is>
          <t>BLYP-05-017</t>
        </is>
      </c>
      <c r="C81" s="29" t="inlineStr">
        <is>
          <t>Source code</t>
        </is>
      </c>
      <c r="D81" s="30" t="inlineStr">
        <is>
          <t>src/components/DailyRewards.js</t>
        </is>
      </c>
      <c r="E81" s="29" t="inlineStr">
        <is>
          <t>DailyRewards, claimDailyReward()</t>
        </is>
      </c>
      <c r="F81" s="29" t="inlineStr">
        <is>
          <t>1-200</t>
        </is>
      </c>
      <c r="G81" s="29" t="inlineStr">
        <is>
          <t>8bc0dcb2a1da1b21368c5536aaeef829d587f316</t>
        </is>
      </c>
      <c r="H81" s="29" t="inlineStr">
        <is>
          <t>2026-08-02</t>
        </is>
      </c>
      <c r="I81" s="29" t="inlineStr">
        <is>
          <t>Individual daily reward system (streak-based coin rewards). Not team-scoped, no team reward distribution, no team goal completion rewards.</t>
        </is>
      </c>
      <c r="J81" s="29" t="inlineStr">
        <is>
          <t>Current</t>
        </is>
      </c>
      <c r="K81" s="29" t="inlineStr">
        <is>
          <t>Proves individual daily reward system exists. Does NOT prove team rewards feature.</t>
        </is>
      </c>
    </row>
    <row r="82" ht="42" customHeight="1">
      <c r="A82" s="29" t="inlineStr">
        <is>
          <t>EV-06-0001</t>
        </is>
      </c>
      <c r="B82" s="30" t="inlineStr">
        <is>
          <t>BLYP-06-001</t>
        </is>
      </c>
      <c r="C82" s="29" t="inlineStr">
        <is>
          <t>Source Code</t>
        </is>
      </c>
      <c r="D82" s="29" t="inlineStr">
        <is>
          <t>/src/screens/HomeScreen.js</t>
        </is>
      </c>
      <c r="E82" s="29" t="inlineStr">
        <is>
          <t>HomeScreen</t>
        </is>
      </c>
      <c r="F82" s="29" t="inlineStr">
        <is>
          <t>1</t>
        </is>
      </c>
      <c r="G82" s="29" t="inlineStr">
        <is>
          <t>8bc0dcb2a1da1b21368c5536aaeef829d587f316</t>
        </is>
      </c>
      <c r="H82" s="29" t="inlineStr">
        <is>
          <t>2026-08-02T00:00:00Z</t>
        </is>
      </c>
      <c r="I82" s="29" t="inlineStr">
        <is>
          <t>Pass</t>
        </is>
      </c>
      <c r="J82" s="29" t="inlineStr">
        <is>
          <t>Current</t>
        </is>
      </c>
      <c r="K82" s="29" t="inlineStr">
        <is>
          <t>Home screen component exists</t>
        </is>
      </c>
    </row>
    <row r="83" ht="42" customHeight="1">
      <c r="A83" s="29" t="inlineStr">
        <is>
          <t>EV-06-0002</t>
        </is>
      </c>
      <c r="B83" s="30" t="inlineStr">
        <is>
          <t>BLYP-06-002</t>
        </is>
      </c>
      <c r="C83" s="29" t="inlineStr">
        <is>
          <t>Source Code</t>
        </is>
      </c>
      <c r="D83" s="29" t="inlineStr">
        <is>
          <t>/src/screens/HomeScreen.js</t>
        </is>
      </c>
      <c r="E83" s="29" t="inlineStr">
        <is>
          <t>tab: #4ME</t>
        </is>
      </c>
      <c r="F83" s="29" t="inlineStr">
        <is>
          <t>882</t>
        </is>
      </c>
      <c r="G83" s="29" t="inlineStr">
        <is>
          <t>8bc0dcb2a1da1b21368c5536aaeef829d587f316</t>
        </is>
      </c>
      <c r="H83" s="29" t="inlineStr">
        <is>
          <t>2026-08-02T00:00:00Z</t>
        </is>
      </c>
      <c r="I83" s="29" t="inlineStr">
        <is>
          <t>Pass</t>
        </is>
      </c>
      <c r="J83" s="29" t="inlineStr">
        <is>
          <t>Current</t>
        </is>
      </c>
      <c r="K83" s="29" t="inlineStr">
        <is>
          <t>Tab exists</t>
        </is>
      </c>
    </row>
    <row r="84" ht="42" customHeight="1">
      <c r="A84" s="29" t="inlineStr">
        <is>
          <t>EV-06-0003</t>
        </is>
      </c>
      <c r="B84" s="30" t="inlineStr">
        <is>
          <t>BLYP-06-016</t>
        </is>
      </c>
      <c r="C84" s="29" t="inlineStr">
        <is>
          <t>Source Code</t>
        </is>
      </c>
      <c r="D84" s="29" t="inlineStr">
        <is>
          <t>/src/screens/SearchScreen.js</t>
        </is>
      </c>
      <c r="E84" s="29" t="inlineStr">
        <is>
          <t>Trending Hashtags</t>
        </is>
      </c>
      <c r="F84" s="29" t="inlineStr">
        <is>
          <t>284</t>
        </is>
      </c>
      <c r="G84" s="29" t="inlineStr">
        <is>
          <t>8bc0dcb2a1da1b21368c5536aaeef829d587f316</t>
        </is>
      </c>
      <c r="H84" s="29" t="inlineStr">
        <is>
          <t>2026-08-02T00:00:00Z</t>
        </is>
      </c>
      <c r="I84" s="29" t="inlineStr">
        <is>
          <t>Pass</t>
        </is>
      </c>
      <c r="J84" s="29" t="inlineStr">
        <is>
          <t>Current</t>
        </is>
      </c>
      <c r="K84" s="29" t="inlineStr">
        <is>
          <t>Trending hashtags section exists</t>
        </is>
      </c>
    </row>
    <row r="85" ht="42" customHeight="1">
      <c r="A85" s="29" t="inlineStr">
        <is>
          <t>EV-06-0004</t>
        </is>
      </c>
      <c r="B85" s="30" t="inlineStr">
        <is>
          <t>BLYP-06-017</t>
        </is>
      </c>
      <c r="C85" s="29" t="inlineStr">
        <is>
          <t>Source Code</t>
        </is>
      </c>
      <c r="D85" s="29" t="inlineStr">
        <is>
          <t>/src/screens/HomeScreen.js</t>
        </is>
      </c>
      <c r="E85" s="29" t="inlineStr">
        <is>
          <t>tab: Categories</t>
        </is>
      </c>
      <c r="F85" s="29" t="inlineStr">
        <is>
          <t>882</t>
        </is>
      </c>
      <c r="G85" s="29" t="inlineStr">
        <is>
          <t>8bc0dcb2a1da1b21368c5536aaeef829d587f316</t>
        </is>
      </c>
      <c r="H85" s="29" t="inlineStr">
        <is>
          <t>2026-08-02T00:00:00Z</t>
        </is>
      </c>
      <c r="I85" s="29" t="inlineStr">
        <is>
          <t>Pass</t>
        </is>
      </c>
      <c r="J85" s="29" t="inlineStr">
        <is>
          <t>Current</t>
        </is>
      </c>
      <c r="K85" s="29" t="inlineStr">
        <is>
          <t>Categories tab exists</t>
        </is>
      </c>
    </row>
    <row r="86" ht="42" customHeight="1">
      <c r="A86" s="29" t="inlineStr">
        <is>
          <t>EV-06-0005</t>
        </is>
      </c>
      <c r="B86" s="30" t="inlineStr">
        <is>
          <t>BLYP-06-019</t>
        </is>
      </c>
      <c r="C86" s="29" t="inlineStr">
        <is>
          <t>Source Code</t>
        </is>
      </c>
      <c r="D86" s="29" t="inlineStr">
        <is>
          <t>/src/services/searchService.js</t>
        </is>
      </c>
      <c r="E86" s="29" t="inlineStr">
        <is>
          <t>hashtag search</t>
        </is>
      </c>
      <c r="F86" s="29" t="inlineStr">
        <is>
          <t>199</t>
        </is>
      </c>
      <c r="G86" s="29" t="inlineStr">
        <is>
          <t>8bc0dcb2a1da1b21368c5536aaeef829d587f316</t>
        </is>
      </c>
      <c r="H86" s="29" t="inlineStr">
        <is>
          <t>2026-08-02T00:00:00Z</t>
        </is>
      </c>
      <c r="I86" s="29" t="inlineStr">
        <is>
          <t>Pass</t>
        </is>
      </c>
      <c r="J86" s="29" t="inlineStr">
        <is>
          <t>Current</t>
        </is>
      </c>
      <c r="K86" s="29" t="inlineStr">
        <is>
          <t>Hashtag search logic exists</t>
        </is>
      </c>
    </row>
    <row r="87" ht="42" customHeight="1">
      <c r="A87" s="29" t="inlineStr">
        <is>
          <t>EV-06-0006</t>
        </is>
      </c>
      <c r="B87" s="30" t="inlineStr">
        <is>
          <t>BLYP-06-020</t>
        </is>
      </c>
      <c r="C87" s="29" t="inlineStr">
        <is>
          <t>Source Code</t>
        </is>
      </c>
      <c r="D87" s="29" t="inlineStr">
        <is>
          <t>/src/screens/SearchScreen.js</t>
        </is>
      </c>
      <c r="E87" s="29" t="inlineStr">
        <is>
          <t>HashtagPosts navigation</t>
        </is>
      </c>
      <c r="F87" s="29" t="inlineStr">
        <is>
          <t>196</t>
        </is>
      </c>
      <c r="G87" s="29" t="inlineStr">
        <is>
          <t>8bc0dcb2a1da1b21368c5536aaeef829d587f316</t>
        </is>
      </c>
      <c r="H87" s="29" t="inlineStr">
        <is>
          <t>2026-08-02T00:00:00Z</t>
        </is>
      </c>
      <c r="I87" s="29" t="inlineStr">
        <is>
          <t>Pass</t>
        </is>
      </c>
      <c r="J87" s="29" t="inlineStr">
        <is>
          <t>Current</t>
        </is>
      </c>
      <c r="K87" s="29" t="inlineStr">
        <is>
          <t>Tappable hashtag navigation exists</t>
        </is>
      </c>
    </row>
    <row r="88" ht="42" customHeight="1">
      <c r="A88" s="29" t="inlineStr">
        <is>
          <t>EV-06-0007</t>
        </is>
      </c>
      <c r="B88" s="30" t="inlineStr">
        <is>
          <t>BLYP-06-021</t>
        </is>
      </c>
      <c r="C88" s="29" t="inlineStr">
        <is>
          <t>Source Code</t>
        </is>
      </c>
      <c r="D88" s="29" t="inlineStr">
        <is>
          <t>/src/services/HLSLiveStreamService.js</t>
        </is>
      </c>
      <c r="E88" s="29" t="inlineStr">
        <is>
          <t>HLSLiveStreamService</t>
        </is>
      </c>
      <c r="F88" s="29" t="inlineStr">
        <is>
          <t>2</t>
        </is>
      </c>
      <c r="G88" s="29" t="inlineStr">
        <is>
          <t>8bc0dcb2a1da1b21368c5536aaeef829d587f316</t>
        </is>
      </c>
      <c r="H88" s="29" t="inlineStr">
        <is>
          <t>2026-08-02T00:00:00Z</t>
        </is>
      </c>
      <c r="I88" s="29" t="inlineStr">
        <is>
          <t>Pass</t>
        </is>
      </c>
      <c r="J88" s="29" t="inlineStr">
        <is>
          <t>Current</t>
        </is>
      </c>
      <c r="K88" s="29" t="inlineStr">
        <is>
          <t>Live stream service exists</t>
        </is>
      </c>
    </row>
    <row r="89" ht="42" customHeight="1">
      <c r="A89" s="29" t="inlineStr">
        <is>
          <t>EV-07-0001</t>
        </is>
      </c>
      <c r="B89" s="30" t="inlineStr">
        <is>
          <t>BLYP-07-001</t>
        </is>
      </c>
      <c r="C89" s="29" t="inlineStr">
        <is>
          <t>Source code</t>
        </is>
      </c>
      <c r="D89" s="29" t="inlineStr">
        <is>
          <t>/home/ubuntu/blyp-workbook/source/backend/blyp-live-service/src/index.ts</t>
        </is>
      </c>
      <c r="E89" s="29" t="inlineStr">
        <is>
          <t>app.listen</t>
        </is>
      </c>
      <c r="F89" s="29" t="inlineStr">
        <is>
          <t>119</t>
        </is>
      </c>
      <c r="G89" s="29" t="inlineStr">
        <is>
          <t>8bc0dcb2a1da1b21368c5536aaeef829d587f316</t>
        </is>
      </c>
      <c r="H89" s="29" t="inlineStr">
        <is>
          <t>2026-08-02</t>
        </is>
      </c>
      <c r="I89" s="29" t="inlineStr">
        <is>
          <t>Pass</t>
        </is>
      </c>
      <c r="J89" s="29" t="inlineStr">
        <is>
          <t>Current</t>
        </is>
      </c>
      <c r="K89" s="29" t="inlineStr">
        <is>
          <t>Live service is present</t>
        </is>
      </c>
    </row>
    <row r="90" ht="42" customHeight="1">
      <c r="A90" s="29" t="inlineStr">
        <is>
          <t>EV-07-0002</t>
        </is>
      </c>
      <c r="B90" s="30" t="inlineStr">
        <is>
          <t>BLYP-07-002</t>
        </is>
      </c>
      <c r="C90" s="29" t="inlineStr">
        <is>
          <t>Source code</t>
        </is>
      </c>
      <c r="D90" s="29" t="inlineStr">
        <is>
          <t>/home/ubuntu/blyp-workbook/source/src/services/LiveStreamService.js</t>
        </is>
      </c>
      <c r="E90" s="29" t="inlineStr">
        <is>
          <t>createStream</t>
        </is>
      </c>
      <c r="F90" s="29" t="inlineStr">
        <is>
          <t>38</t>
        </is>
      </c>
      <c r="G90" s="29" t="inlineStr">
        <is>
          <t>8bc0dcb2a1da1b21368c5536aaeef829d587f316</t>
        </is>
      </c>
      <c r="H90" s="29" t="inlineStr">
        <is>
          <t>2026-08-02</t>
        </is>
      </c>
      <c r="I90" s="29" t="inlineStr">
        <is>
          <t>Pass</t>
        </is>
      </c>
      <c r="J90" s="29" t="inlineStr">
        <is>
          <t>Current</t>
        </is>
      </c>
      <c r="K90" s="29" t="inlineStr">
        <is>
          <t>Live stream creation logic found</t>
        </is>
      </c>
    </row>
    <row r="91" ht="42" customHeight="1">
      <c r="A91" s="29" t="inlineStr">
        <is>
          <t>EV-07-0003</t>
        </is>
      </c>
      <c r="B91" s="30" t="inlineStr">
        <is>
          <t>BLYP-07-003</t>
        </is>
      </c>
      <c r="C91" s="29" t="inlineStr">
        <is>
          <t>Source code</t>
        </is>
      </c>
      <c r="D91" s="29" t="inlineStr">
        <is>
          <t>N/A</t>
        </is>
      </c>
      <c r="E91" s="29" t="inlineStr">
        <is>
          <t>N/A</t>
        </is>
      </c>
      <c r="F91" s="29" t="inlineStr">
        <is>
          <t>N/A</t>
        </is>
      </c>
      <c r="G91" s="29" t="inlineStr">
        <is>
          <t>8bc0dcb2a1da1b21368c5536aaeef829d587f316</t>
        </is>
      </c>
      <c r="H91" s="29" t="inlineStr">
        <is>
          <t>2026-08-02</t>
        </is>
      </c>
      <c r="I91" s="29" t="inlineStr">
        <is>
          <t>Fail</t>
        </is>
      </c>
      <c r="J91" s="29" t="inlineStr">
        <is>
          <t>Current</t>
        </is>
      </c>
      <c r="K91" s="29" t="inlineStr">
        <is>
          <t>Searched for 'View a live stream' in source code, no implementation found.</t>
        </is>
      </c>
    </row>
    <row r="92" ht="42" customHeight="1">
      <c r="A92" s="29" t="inlineStr">
        <is>
          <t>EV-07-0004</t>
        </is>
      </c>
      <c r="B92" s="30" t="inlineStr">
        <is>
          <t>BLYP-07-004</t>
        </is>
      </c>
      <c r="C92" s="29" t="inlineStr">
        <is>
          <t>Source code</t>
        </is>
      </c>
      <c r="D92" s="29" t="inlineStr">
        <is>
          <t>N/A</t>
        </is>
      </c>
      <c r="E92" s="29" t="inlineStr">
        <is>
          <t>N/A</t>
        </is>
      </c>
      <c r="F92" s="29" t="inlineStr">
        <is>
          <t>N/A</t>
        </is>
      </c>
      <c r="G92" s="29" t="inlineStr">
        <is>
          <t>8bc0dcb2a1da1b21368c5536aaeef829d587f316</t>
        </is>
      </c>
      <c r="H92" s="29" t="inlineStr">
        <is>
          <t>2026-08-02</t>
        </is>
      </c>
      <c r="I92" s="29" t="inlineStr">
        <is>
          <t>Fail</t>
        </is>
      </c>
      <c r="J92" s="29" t="inlineStr">
        <is>
          <t>Current</t>
        </is>
      </c>
      <c r="K92" s="29" t="inlineStr">
        <is>
          <t>Searched for 'End a live stream' in source code, no implementation found.</t>
        </is>
      </c>
    </row>
    <row r="93" ht="42" customHeight="1">
      <c r="A93" s="29" t="inlineStr">
        <is>
          <t>EV-07-0005</t>
        </is>
      </c>
      <c r="B93" s="30" t="inlineStr">
        <is>
          <t>BLYP-07-005</t>
        </is>
      </c>
      <c r="C93" s="29" t="inlineStr">
        <is>
          <t>Source code</t>
        </is>
      </c>
      <c r="D93" s="29" t="inlineStr">
        <is>
          <t>N/A</t>
        </is>
      </c>
      <c r="E93" s="29" t="inlineStr">
        <is>
          <t>N/A</t>
        </is>
      </c>
      <c r="F93" s="29" t="inlineStr">
        <is>
          <t>N/A</t>
        </is>
      </c>
      <c r="G93" s="29" t="inlineStr">
        <is>
          <t>8bc0dcb2a1da1b21368c5536aaeef829d587f316</t>
        </is>
      </c>
      <c r="H93" s="29" t="inlineStr">
        <is>
          <t>2026-08-02</t>
        </is>
      </c>
      <c r="I93" s="29" t="inlineStr">
        <is>
          <t>Fail</t>
        </is>
      </c>
      <c r="J93" s="29" t="inlineStr">
        <is>
          <t>Current</t>
        </is>
      </c>
      <c r="K93" s="29" t="inlineStr">
        <is>
          <t>Searched for 'Live viewer counts' in source code, no implementation found.</t>
        </is>
      </c>
    </row>
    <row r="94" ht="42" customHeight="1">
      <c r="A94" s="29" t="inlineStr">
        <is>
          <t>EV-07-0006</t>
        </is>
      </c>
      <c r="B94" s="30" t="inlineStr">
        <is>
          <t>BLYP-07-006</t>
        </is>
      </c>
      <c r="C94" s="29" t="inlineStr">
        <is>
          <t>Source code</t>
        </is>
      </c>
      <c r="D94" s="29" t="inlineStr">
        <is>
          <t>N/A</t>
        </is>
      </c>
      <c r="E94" s="29" t="inlineStr">
        <is>
          <t>N/A</t>
        </is>
      </c>
      <c r="F94" s="29" t="inlineStr">
        <is>
          <t>N/A</t>
        </is>
      </c>
      <c r="G94" s="29" t="inlineStr">
        <is>
          <t>8bc0dcb2a1da1b21368c5536aaeef829d587f316</t>
        </is>
      </c>
      <c r="H94" s="29" t="inlineStr">
        <is>
          <t>2026-08-02</t>
        </is>
      </c>
      <c r="I94" s="29" t="inlineStr">
        <is>
          <t>Fail</t>
        </is>
      </c>
      <c r="J94" s="29" t="inlineStr">
        <is>
          <t>Current</t>
        </is>
      </c>
      <c r="K94" s="29" t="inlineStr">
        <is>
          <t>Searched for 'Live like counts' in source code, no implementation found.</t>
        </is>
      </c>
    </row>
    <row r="95" ht="42" customHeight="1">
      <c r="A95" s="29" t="inlineStr">
        <is>
          <t>EV-07-0007</t>
        </is>
      </c>
      <c r="B95" s="30" t="inlineStr">
        <is>
          <t>BLYP-07-007</t>
        </is>
      </c>
      <c r="C95" s="29" t="inlineStr">
        <is>
          <t>Source code</t>
        </is>
      </c>
      <c r="D95" s="29" t="inlineStr">
        <is>
          <t>N/A</t>
        </is>
      </c>
      <c r="E95" s="29" t="inlineStr">
        <is>
          <t>N/A</t>
        </is>
      </c>
      <c r="F95" s="29" t="inlineStr">
        <is>
          <t>N/A</t>
        </is>
      </c>
      <c r="G95" s="29" t="inlineStr">
        <is>
          <t>8bc0dcb2a1da1b21368c5536aaeef829d587f316</t>
        </is>
      </c>
      <c r="H95" s="29" t="inlineStr">
        <is>
          <t>2026-08-02</t>
        </is>
      </c>
      <c r="I95" s="29" t="inlineStr">
        <is>
          <t>Fail</t>
        </is>
      </c>
      <c r="J95" s="29" t="inlineStr">
        <is>
          <t>Current</t>
        </is>
      </c>
      <c r="K95" s="29" t="inlineStr">
        <is>
          <t>Searched for 'Live guest invitation and approval foundations' in source code, no implementation found.</t>
        </is>
      </c>
    </row>
    <row r="96" ht="42" customHeight="1">
      <c r="A96" s="29" t="inlineStr">
        <is>
          <t>EV-07-0008</t>
        </is>
      </c>
      <c r="B96" s="30" t="inlineStr">
        <is>
          <t>BLYP-07-008</t>
        </is>
      </c>
      <c r="C96" s="29" t="inlineStr">
        <is>
          <t>Source code</t>
        </is>
      </c>
      <c r="D96" s="29" t="inlineStr">
        <is>
          <t>N/A</t>
        </is>
      </c>
      <c r="E96" s="29" t="inlineStr">
        <is>
          <t>N/A</t>
        </is>
      </c>
      <c r="F96" s="29" t="inlineStr">
        <is>
          <t>N/A</t>
        </is>
      </c>
      <c r="G96" s="29" t="inlineStr">
        <is>
          <t>8bc0dcb2a1da1b21368c5536aaeef829d587f316</t>
        </is>
      </c>
      <c r="H96" s="29" t="inlineStr">
        <is>
          <t>2026-08-02</t>
        </is>
      </c>
      <c r="I96" s="29" t="inlineStr">
        <is>
          <t>Fail</t>
        </is>
      </c>
      <c r="J96" s="29" t="inlineStr">
        <is>
          <t>Current</t>
        </is>
      </c>
      <c r="K96" s="29" t="inlineStr">
        <is>
          <t>Searched for 'Battles destination' in source code, no implementation found.</t>
        </is>
      </c>
    </row>
    <row r="97" ht="42" customHeight="1">
      <c r="A97" s="29" t="inlineStr">
        <is>
          <t>EV-07-0009</t>
        </is>
      </c>
      <c r="B97" s="30" t="inlineStr">
        <is>
          <t>BLYP-07-009</t>
        </is>
      </c>
      <c r="C97" s="29" t="inlineStr">
        <is>
          <t>Source code</t>
        </is>
      </c>
      <c r="D97" s="29" t="inlineStr">
        <is>
          <t>N/A</t>
        </is>
      </c>
      <c r="E97" s="29" t="inlineStr">
        <is>
          <t>N/A</t>
        </is>
      </c>
      <c r="F97" s="29" t="inlineStr">
        <is>
          <t>N/A</t>
        </is>
      </c>
      <c r="G97" s="29" t="inlineStr">
        <is>
          <t>8bc0dcb2a1da1b21368c5536aaeef829d587f316</t>
        </is>
      </c>
      <c r="H97" s="29" t="inlineStr">
        <is>
          <t>2026-08-02</t>
        </is>
      </c>
      <c r="I97" s="29" t="inlineStr">
        <is>
          <t>Fail</t>
        </is>
      </c>
      <c r="J97" s="29" t="inlineStr">
        <is>
          <t>Current</t>
        </is>
      </c>
      <c r="K97" s="29" t="inlineStr">
        <is>
          <t>Searched for 'Battle discovery' in source code, no implementation found.</t>
        </is>
      </c>
    </row>
    <row r="98" ht="42" customHeight="1">
      <c r="A98" s="29" t="inlineStr">
        <is>
          <t>EV-07-0010</t>
        </is>
      </c>
      <c r="B98" s="30" t="inlineStr">
        <is>
          <t>BLYP-07-010</t>
        </is>
      </c>
      <c r="C98" s="29" t="inlineStr">
        <is>
          <t>Source code</t>
        </is>
      </c>
      <c r="D98" s="29" t="inlineStr">
        <is>
          <t>N/A</t>
        </is>
      </c>
      <c r="E98" s="29" t="inlineStr">
        <is>
          <t>N/A</t>
        </is>
      </c>
      <c r="F98" s="29" t="inlineStr">
        <is>
          <t>N/A</t>
        </is>
      </c>
      <c r="G98" s="29" t="inlineStr">
        <is>
          <t>8bc0dcb2a1da1b21368c5536aaeef829d587f316</t>
        </is>
      </c>
      <c r="H98" s="29" t="inlineStr">
        <is>
          <t>2026-08-02</t>
        </is>
      </c>
      <c r="I98" s="29" t="inlineStr">
        <is>
          <t>Fail</t>
        </is>
      </c>
      <c r="J98" s="29" t="inlineStr">
        <is>
          <t>Current</t>
        </is>
      </c>
      <c r="K98" s="29" t="inlineStr">
        <is>
          <t>Searched for 'Battle rules' in source code, no implementation found.</t>
        </is>
      </c>
    </row>
    <row r="99" ht="42" customHeight="1">
      <c r="A99" s="29" t="inlineStr">
        <is>
          <t>EV-07-0011</t>
        </is>
      </c>
      <c r="B99" s="30" t="inlineStr">
        <is>
          <t>BLYP-07-011</t>
        </is>
      </c>
      <c r="C99" s="29" t="inlineStr">
        <is>
          <t>Source code</t>
        </is>
      </c>
      <c r="D99" s="29" t="inlineStr">
        <is>
          <t>/home/ubuntu/blyp-workbook/source/backend/blyp-live-service/src/economy/economyRoutes.ts</t>
        </is>
      </c>
      <c r="E99" s="29" t="inlineStr">
        <is>
          <t>router.post(/promote/battle)</t>
        </is>
      </c>
      <c r="F99" s="29" t="inlineStr">
        <is>
          <t>84</t>
        </is>
      </c>
      <c r="G99" s="29" t="inlineStr">
        <is>
          <t>8bc0dcb2a1da1b21368c5536aaeef829d587f316</t>
        </is>
      </c>
      <c r="H99" s="29" t="inlineStr">
        <is>
          <t>2026-08-02</t>
        </is>
      </c>
      <c r="I99" s="29" t="inlineStr">
        <is>
          <t>Pass</t>
        </is>
      </c>
      <c r="J99" s="29" t="inlineStr">
        <is>
          <t>Current</t>
        </is>
      </c>
      <c r="K99" s="29" t="inlineStr">
        <is>
          <t>Battle promotion route found</t>
        </is>
      </c>
    </row>
    <row r="100" ht="42" customHeight="1">
      <c r="A100" s="29" t="inlineStr">
        <is>
          <t>EV-07-0012</t>
        </is>
      </c>
      <c r="B100" s="30" t="inlineStr">
        <is>
          <t>BLYP-07-012</t>
        </is>
      </c>
      <c r="C100" s="29" t="inlineStr">
        <is>
          <t>Source code</t>
        </is>
      </c>
      <c r="D100" s="29" t="inlineStr">
        <is>
          <t>N/A</t>
        </is>
      </c>
      <c r="E100" s="29" t="inlineStr">
        <is>
          <t>N/A</t>
        </is>
      </c>
      <c r="F100" s="29" t="inlineStr">
        <is>
          <t>N/A</t>
        </is>
      </c>
      <c r="G100" s="29" t="inlineStr">
        <is>
          <t>8bc0dcb2a1da1b21368c5536aaeef829d587f316</t>
        </is>
      </c>
      <c r="H100" s="29" t="inlineStr">
        <is>
          <t>2026-08-02</t>
        </is>
      </c>
      <c r="I100" s="29" t="inlineStr">
        <is>
          <t>Fail</t>
        </is>
      </c>
      <c r="J100" s="29" t="inlineStr">
        <is>
          <t>Current</t>
        </is>
      </c>
      <c r="K100" s="29" t="inlineStr">
        <is>
          <t>Searched for 'Join a Battle' in source code, no implementation found.</t>
        </is>
      </c>
    </row>
    <row r="101" ht="42" customHeight="1">
      <c r="A101" s="29" t="inlineStr">
        <is>
          <t>EV-07-0013</t>
        </is>
      </c>
      <c r="B101" s="30" t="inlineStr">
        <is>
          <t>BLYP-07-013</t>
        </is>
      </c>
      <c r="C101" s="29" t="inlineStr">
        <is>
          <t>Source code</t>
        </is>
      </c>
      <c r="D101" s="29" t="inlineStr">
        <is>
          <t>N/A</t>
        </is>
      </c>
      <c r="E101" s="29" t="inlineStr">
        <is>
          <t>N/A</t>
        </is>
      </c>
      <c r="F101" s="29" t="inlineStr">
        <is>
          <t>N/A</t>
        </is>
      </c>
      <c r="G101" s="29" t="inlineStr">
        <is>
          <t>8bc0dcb2a1da1b21368c5536aaeef829d587f316</t>
        </is>
      </c>
      <c r="H101" s="29" t="inlineStr">
        <is>
          <t>2026-08-02</t>
        </is>
      </c>
      <c r="I101" s="29" t="inlineStr">
        <is>
          <t>Fail</t>
        </is>
      </c>
      <c r="J101" s="29" t="inlineStr">
        <is>
          <t>Current</t>
        </is>
      </c>
      <c r="K101" s="29" t="inlineStr">
        <is>
          <t>Searched for 'Participate in a Battle' in source code, no implementation found.</t>
        </is>
      </c>
    </row>
    <row r="102" ht="42" customHeight="1">
      <c r="A102" s="29" t="inlineStr">
        <is>
          <t>EV-07-0014</t>
        </is>
      </c>
      <c r="B102" s="30" t="inlineStr">
        <is>
          <t>BLYP-07-014</t>
        </is>
      </c>
      <c r="C102" s="29" t="inlineStr">
        <is>
          <t>Source code</t>
        </is>
      </c>
      <c r="D102" s="29" t="inlineStr">
        <is>
          <t>N/A</t>
        </is>
      </c>
      <c r="E102" s="29" t="inlineStr">
        <is>
          <t>N/A</t>
        </is>
      </c>
      <c r="F102" s="29" t="inlineStr">
        <is>
          <t>N/A</t>
        </is>
      </c>
      <c r="G102" s="29" t="inlineStr">
        <is>
          <t>8bc0dcb2a1da1b21368c5536aaeef829d587f316</t>
        </is>
      </c>
      <c r="H102" s="29" t="inlineStr">
        <is>
          <t>2026-08-02</t>
        </is>
      </c>
      <c r="I102" s="29" t="inlineStr">
        <is>
          <t>Fail</t>
        </is>
      </c>
      <c r="J102" s="29" t="inlineStr">
        <is>
          <t>Current</t>
        </is>
      </c>
      <c r="K102" s="29" t="inlineStr">
        <is>
          <t>Searched for 'Battle scoring' in source code, no implementation found.</t>
        </is>
      </c>
    </row>
    <row r="103" ht="42" customHeight="1">
      <c r="A103" s="29" t="inlineStr">
        <is>
          <t>EV-07-0015</t>
        </is>
      </c>
      <c r="B103" s="30" t="inlineStr">
        <is>
          <t>BLYP-07-015</t>
        </is>
      </c>
      <c r="C103" s="29" t="inlineStr">
        <is>
          <t>Source code</t>
        </is>
      </c>
      <c r="D103" s="29" t="inlineStr">
        <is>
          <t>N/A</t>
        </is>
      </c>
      <c r="E103" s="29" t="inlineStr">
        <is>
          <t>N/A</t>
        </is>
      </c>
      <c r="F103" s="29" t="inlineStr">
        <is>
          <t>N/A</t>
        </is>
      </c>
      <c r="G103" s="29" t="inlineStr">
        <is>
          <t>8bc0dcb2a1da1b21368c5536aaeef829d587f316</t>
        </is>
      </c>
      <c r="H103" s="29" t="inlineStr">
        <is>
          <t>2026-08-02</t>
        </is>
      </c>
      <c r="I103" s="29" t="inlineStr">
        <is>
          <t>Fail</t>
        </is>
      </c>
      <c r="J103" s="29" t="inlineStr">
        <is>
          <t>Current</t>
        </is>
      </c>
      <c r="K103" s="29" t="inlineStr">
        <is>
          <t>Searched for 'Battle gifting' in source code, no implementation found.</t>
        </is>
      </c>
    </row>
    <row r="104" ht="42" customHeight="1">
      <c r="A104" s="29" t="inlineStr">
        <is>
          <t>EV-07-0016</t>
        </is>
      </c>
      <c r="B104" s="30" t="inlineStr">
        <is>
          <t>BLYP-07-016</t>
        </is>
      </c>
      <c r="C104" s="29" t="inlineStr">
        <is>
          <t>Source code</t>
        </is>
      </c>
      <c r="D104" s="29" t="inlineStr">
        <is>
          <t>N/A</t>
        </is>
      </c>
      <c r="E104" s="29" t="inlineStr">
        <is>
          <t>N/A</t>
        </is>
      </c>
      <c r="F104" s="29" t="inlineStr">
        <is>
          <t>N/A</t>
        </is>
      </c>
      <c r="G104" s="29" t="inlineStr">
        <is>
          <t>8bc0dcb2a1da1b21368c5536aaeef829d587f316</t>
        </is>
      </c>
      <c r="H104" s="29" t="inlineStr">
        <is>
          <t>2026-08-02</t>
        </is>
      </c>
      <c r="I104" s="29" t="inlineStr">
        <is>
          <t>Fail</t>
        </is>
      </c>
      <c r="J104" s="29" t="inlineStr">
        <is>
          <t>Current</t>
        </is>
      </c>
      <c r="K104" s="29" t="inlineStr">
        <is>
          <t>Searched for 'Battle results' in source code, no implementation found.</t>
        </is>
      </c>
    </row>
    <row r="105" ht="42" customHeight="1">
      <c r="A105" s="29" t="inlineStr">
        <is>
          <t>EV-07-0017</t>
        </is>
      </c>
      <c r="B105" s="30" t="inlineStr">
        <is>
          <t>BLYP-07-017</t>
        </is>
      </c>
      <c r="C105" s="29" t="inlineStr">
        <is>
          <t>Source code</t>
        </is>
      </c>
      <c r="D105" s="29" t="inlineStr">
        <is>
          <t>N/A</t>
        </is>
      </c>
      <c r="E105" s="29" t="inlineStr">
        <is>
          <t>N/A</t>
        </is>
      </c>
      <c r="F105" s="29" t="inlineStr">
        <is>
          <t>N/A</t>
        </is>
      </c>
      <c r="G105" s="29" t="inlineStr">
        <is>
          <t>8bc0dcb2a1da1b21368c5536aaeef829d587f316</t>
        </is>
      </c>
      <c r="H105" s="29" t="inlineStr">
        <is>
          <t>2026-08-02</t>
        </is>
      </c>
      <c r="I105" s="29" t="inlineStr">
        <is>
          <t>Fail</t>
        </is>
      </c>
      <c r="J105" s="29" t="inlineStr">
        <is>
          <t>Current</t>
        </is>
      </c>
      <c r="K105" s="29" t="inlineStr">
        <is>
          <t>Searched for 'Battle history' in source code, no implementation found.</t>
        </is>
      </c>
    </row>
    <row r="106" ht="42" customHeight="1">
      <c r="A106" s="29" t="inlineStr">
        <is>
          <t>EV-07-0018</t>
        </is>
      </c>
      <c r="B106" s="30" t="inlineStr">
        <is>
          <t>BLYP-07-018</t>
        </is>
      </c>
      <c r="C106" s="29" t="inlineStr">
        <is>
          <t>Source code</t>
        </is>
      </c>
      <c r="D106" s="29" t="inlineStr">
        <is>
          <t>/home/ubuntu/blyp-workbook/source/backend/blyp-live-service/src/economy/economyRoutes.ts</t>
        </is>
      </c>
      <c r="E106" s="29" t="inlineStr">
        <is>
          <t>router.post(/economy/live-games/start)</t>
        </is>
      </c>
      <c r="F106" s="29" t="inlineStr">
        <is>
          <t>216</t>
        </is>
      </c>
      <c r="G106" s="29" t="inlineStr">
        <is>
          <t>8bc0dcb2a1da1b21368c5536aaeef829d587f316</t>
        </is>
      </c>
      <c r="H106" s="29" t="inlineStr">
        <is>
          <t>2026-08-02</t>
        </is>
      </c>
      <c r="I106" s="29" t="inlineStr">
        <is>
          <t>Pass</t>
        </is>
      </c>
      <c r="J106" s="29" t="inlineStr">
        <is>
          <t>Current</t>
        </is>
      </c>
      <c r="K106" s="29" t="inlineStr">
        <is>
          <t>Live games start route found</t>
        </is>
      </c>
    </row>
    <row r="107" ht="42" customHeight="1">
      <c r="A107" s="29" t="inlineStr">
        <is>
          <t>EV-07-0019</t>
        </is>
      </c>
      <c r="B107" s="30" t="inlineStr">
        <is>
          <t>BLYP-07-019</t>
        </is>
      </c>
      <c r="C107" s="29" t="inlineStr">
        <is>
          <t>Source code</t>
        </is>
      </c>
      <c r="D107" s="29" t="inlineStr">
        <is>
          <t>N/A</t>
        </is>
      </c>
      <c r="E107" s="29" t="inlineStr">
        <is>
          <t>N/A</t>
        </is>
      </c>
      <c r="F107" s="29" t="inlineStr">
        <is>
          <t>N/A</t>
        </is>
      </c>
      <c r="G107" s="29" t="inlineStr">
        <is>
          <t>8bc0dcb2a1da1b21368c5536aaeef829d587f316</t>
        </is>
      </c>
      <c r="H107" s="29" t="inlineStr">
        <is>
          <t>2026-08-02</t>
        </is>
      </c>
      <c r="I107" s="29" t="inlineStr">
        <is>
          <t>Fail</t>
        </is>
      </c>
      <c r="J107" s="29" t="inlineStr">
        <is>
          <t>Current</t>
        </is>
      </c>
      <c r="K107" s="29" t="inlineStr">
        <is>
          <t>Searched for 'Local artillery demo' in source code, no implementation found.</t>
        </is>
      </c>
    </row>
    <row r="108" ht="42" customHeight="1">
      <c r="A108" s="29" t="inlineStr">
        <is>
          <t>EV-07-0020</t>
        </is>
      </c>
      <c r="B108" s="30" t="inlineStr">
        <is>
          <t>BLYP-07-020</t>
        </is>
      </c>
      <c r="C108" s="29" t="inlineStr">
        <is>
          <t>Source code</t>
        </is>
      </c>
      <c r="D108" s="29" t="inlineStr">
        <is>
          <t>N/A</t>
        </is>
      </c>
      <c r="E108" s="29" t="inlineStr">
        <is>
          <t>N/A</t>
        </is>
      </c>
      <c r="F108" s="29" t="inlineStr">
        <is>
          <t>N/A</t>
        </is>
      </c>
      <c r="G108" s="29" t="inlineStr">
        <is>
          <t>8bc0dcb2a1da1b21368c5536aaeef829d587f316</t>
        </is>
      </c>
      <c r="H108" s="29" t="inlineStr">
        <is>
          <t>2026-08-02</t>
        </is>
      </c>
      <c r="I108" s="29" t="inlineStr">
        <is>
          <t>Fail</t>
        </is>
      </c>
      <c r="J108" s="29" t="inlineStr">
        <is>
          <t>Current</t>
        </is>
      </c>
      <c r="K108" s="29" t="inlineStr">
        <is>
          <t>Searched for 'Your BLYP destination' in source code, no implementation found.</t>
        </is>
      </c>
    </row>
    <row r="109" ht="42" customHeight="1">
      <c r="A109" s="29" t="inlineStr">
        <is>
          <t>EV-07-0021</t>
        </is>
      </c>
      <c r="B109" s="30" t="inlineStr">
        <is>
          <t>BLYP-07-021</t>
        </is>
      </c>
      <c r="C109" s="29" t="inlineStr">
        <is>
          <t>Source code</t>
        </is>
      </c>
      <c r="D109" s="29" t="inlineStr">
        <is>
          <t>N/A</t>
        </is>
      </c>
      <c r="E109" s="29" t="inlineStr">
        <is>
          <t>N/A</t>
        </is>
      </c>
      <c r="F109" s="29" t="inlineStr">
        <is>
          <t>N/A</t>
        </is>
      </c>
      <c r="G109" s="29" t="inlineStr">
        <is>
          <t>8bc0dcb2a1da1b21368c5536aaeef829d587f316</t>
        </is>
      </c>
      <c r="H109" s="29" t="inlineStr">
        <is>
          <t>2026-08-02</t>
        </is>
      </c>
      <c r="I109" s="29" t="inlineStr">
        <is>
          <t>Fail</t>
        </is>
      </c>
      <c r="J109" s="29" t="inlineStr">
        <is>
          <t>Current</t>
        </is>
      </c>
      <c r="K109" s="29" t="inlineStr">
        <is>
          <t>Searched for 'Coherent Teams destination' in source code, no implementation found.</t>
        </is>
      </c>
    </row>
    <row r="110" ht="42" customHeight="1">
      <c r="A110" s="29" t="inlineStr">
        <is>
          <t>EV-10-0001</t>
        </is>
      </c>
      <c r="B110" s="30" t="inlineStr">
        <is>
          <t>BLYP-10-002</t>
        </is>
      </c>
      <c r="C110" s="29" t="inlineStr">
        <is>
          <t>Source Code</t>
        </is>
      </c>
      <c r="D110" s="30" t="inlineStr">
        <is>
          <t>src/components/BlockButton.js</t>
        </is>
      </c>
      <c r="E110" s="29" t="inlineStr">
        <is>
          <t>BlockButton</t>
        </is>
      </c>
      <c r="F110" s="29" t="inlineStr">
        <is>
          <t>1</t>
        </is>
      </c>
      <c r="G110" s="29" t="inlineStr">
        <is>
          <t>8bc0dcb2a1da1b21368c5536aaeef829d587f316</t>
        </is>
      </c>
      <c r="H110" s="29" t="inlineStr">
        <is>
          <t>2026-08-02T00:00:00Z</t>
        </is>
      </c>
      <c r="I110" s="29" t="inlineStr">
        <is>
          <t>Pass</t>
        </is>
      </c>
      <c r="J110" s="29" t="inlineStr">
        <is>
          <t>Current</t>
        </is>
      </c>
      <c r="K110" s="29" t="inlineStr">
        <is>
          <t>Found block button</t>
        </is>
      </c>
    </row>
    <row r="111" ht="42" customHeight="1">
      <c r="A111" s="29" t="inlineStr">
        <is>
          <t>EV-10-0002</t>
        </is>
      </c>
      <c r="B111" s="30" t="inlineStr">
        <is>
          <t>BLYP-10-003</t>
        </is>
      </c>
      <c r="C111" s="29" t="inlineStr">
        <is>
          <t>Source Code</t>
        </is>
      </c>
      <c r="D111" s="30" t="inlineStr">
        <is>
          <t>src/components/MuteButton.js</t>
        </is>
      </c>
      <c r="E111" s="29" t="inlineStr">
        <is>
          <t>MuteButton</t>
        </is>
      </c>
      <c r="F111" s="29" t="inlineStr">
        <is>
          <t>1</t>
        </is>
      </c>
      <c r="G111" s="29" t="inlineStr">
        <is>
          <t>8bc0dcb2a1da1b21368c5536aaeef829d587f316</t>
        </is>
      </c>
      <c r="H111" s="29" t="inlineStr">
        <is>
          <t>2026-08-02T00:00:00Z</t>
        </is>
      </c>
      <c r="I111" s="29" t="inlineStr">
        <is>
          <t>Pass</t>
        </is>
      </c>
      <c r="J111" s="29" t="inlineStr">
        <is>
          <t>Current</t>
        </is>
      </c>
      <c r="K111" s="29" t="inlineStr">
        <is>
          <t>Found mute button</t>
        </is>
      </c>
    </row>
    <row r="112" ht="42" customHeight="1">
      <c r="A112" s="29" t="inlineStr">
        <is>
          <t>EV-10-0003</t>
        </is>
      </c>
      <c r="B112" s="30" t="inlineStr">
        <is>
          <t>BLYP-10-004</t>
        </is>
      </c>
      <c r="C112" s="29" t="inlineStr">
        <is>
          <t>Source Code</t>
        </is>
      </c>
      <c r="D112" s="30" t="inlineStr">
        <is>
          <t>src/components/ReportModal.js</t>
        </is>
      </c>
      <c r="E112" s="29" t="inlineStr">
        <is>
          <t>ReportModal</t>
        </is>
      </c>
      <c r="F112" s="29" t="inlineStr">
        <is>
          <t>1</t>
        </is>
      </c>
      <c r="G112" s="29" t="inlineStr">
        <is>
          <t>8bc0dcb2a1da1b21368c5536aaeef829d587f316</t>
        </is>
      </c>
      <c r="H112" s="29" t="inlineStr">
        <is>
          <t>2026-08-02T00:00:00Z</t>
        </is>
      </c>
      <c r="I112" s="29" t="inlineStr">
        <is>
          <t>Pass</t>
        </is>
      </c>
      <c r="J112" s="29" t="inlineStr">
        <is>
          <t>Current</t>
        </is>
      </c>
      <c r="K112" s="29" t="inlineStr">
        <is>
          <t>Found report modal</t>
        </is>
      </c>
    </row>
    <row r="113" ht="42" customHeight="1">
      <c r="A113" s="29" t="inlineStr">
        <is>
          <t>EV-10-0004</t>
        </is>
      </c>
      <c r="B113" s="30" t="inlineStr">
        <is>
          <t>BLYP-10-005</t>
        </is>
      </c>
      <c r="C113" s="29" t="inlineStr">
        <is>
          <t>Source Code</t>
        </is>
      </c>
      <c r="D113" s="30" t="inlineStr">
        <is>
          <t>src/components/ReportModal.js</t>
        </is>
      </c>
      <c r="E113" s="29" t="inlineStr">
        <is>
          <t>ReportModal</t>
        </is>
      </c>
      <c r="F113" s="29" t="inlineStr">
        <is>
          <t>1</t>
        </is>
      </c>
      <c r="G113" s="29" t="inlineStr">
        <is>
          <t>8bc0dcb2a1da1b21368c5536aaeef829d587f316</t>
        </is>
      </c>
      <c r="H113" s="29" t="inlineStr">
        <is>
          <t>2026-08-02T00:00:00Z</t>
        </is>
      </c>
      <c r="I113" s="29" t="inlineStr">
        <is>
          <t>Pass</t>
        </is>
      </c>
      <c r="J113" s="29" t="inlineStr">
        <is>
          <t>Current</t>
        </is>
      </c>
      <c r="K113" s="29" t="inlineStr">
        <is>
          <t>Found report modal</t>
        </is>
      </c>
    </row>
    <row r="114" ht="42" customHeight="1">
      <c r="A114" s="29" t="inlineStr">
        <is>
          <t>EV-10-0005</t>
        </is>
      </c>
      <c r="B114" s="30" t="inlineStr">
        <is>
          <t>BLYP-10-007</t>
        </is>
      </c>
      <c r="C114" s="29" t="inlineStr">
        <is>
          <t>Source Code</t>
        </is>
      </c>
      <c r="D114" s="30" t="inlineStr">
        <is>
          <t>src/components/MuteButton.js</t>
        </is>
      </c>
      <c r="E114" s="29" t="inlineStr">
        <is>
          <t>MuteButton</t>
        </is>
      </c>
      <c r="F114" s="29" t="inlineStr">
        <is>
          <t>1</t>
        </is>
      </c>
      <c r="G114" s="29" t="inlineStr">
        <is>
          <t>8bc0dcb2a1da1b21368c5536aaeef829d587f316</t>
        </is>
      </c>
      <c r="H114" s="29" t="inlineStr">
        <is>
          <t>2026-08-02T00:00:00Z</t>
        </is>
      </c>
      <c r="I114" s="29" t="inlineStr">
        <is>
          <t>Pass</t>
        </is>
      </c>
      <c r="J114" s="29" t="inlineStr">
        <is>
          <t>Current</t>
        </is>
      </c>
      <c r="K114" s="29" t="inlineStr">
        <is>
          <t>Found mute button</t>
        </is>
      </c>
    </row>
    <row r="115" ht="42" customHeight="1">
      <c r="A115" s="29" t="inlineStr">
        <is>
          <t>EV-10-0006</t>
        </is>
      </c>
      <c r="B115" s="30" t="inlineStr">
        <is>
          <t>BLYP-10-017</t>
        </is>
      </c>
      <c r="C115" s="29" t="inlineStr">
        <is>
          <t>Source Code</t>
        </is>
      </c>
      <c r="D115" s="30" t="inlineStr">
        <is>
          <t>src/components/ReportModal.js</t>
        </is>
      </c>
      <c r="E115" s="29" t="inlineStr">
        <is>
          <t>ReportModal</t>
        </is>
      </c>
      <c r="F115" s="29" t="inlineStr">
        <is>
          <t>1</t>
        </is>
      </c>
      <c r="G115" s="29" t="inlineStr">
        <is>
          <t>8bc0dcb2a1da1b21368c5536aaeef829d587f316</t>
        </is>
      </c>
      <c r="H115" s="29" t="inlineStr">
        <is>
          <t>2026-08-02T00:00:00Z</t>
        </is>
      </c>
      <c r="I115" s="29" t="inlineStr">
        <is>
          <t>Pass</t>
        </is>
      </c>
      <c r="J115" s="29" t="inlineStr">
        <is>
          <t>Current</t>
        </is>
      </c>
      <c r="K115" s="29" t="inlineStr">
        <is>
          <t>Found report modal</t>
        </is>
      </c>
    </row>
    <row r="116" ht="42" customHeight="1">
      <c r="A116" s="29" t="inlineStr">
        <is>
          <t>EV-10-0007</t>
        </is>
      </c>
      <c r="B116" s="30" t="inlineStr">
        <is>
          <t>BLYP-10-018</t>
        </is>
      </c>
      <c r="C116" s="29" t="inlineStr">
        <is>
          <t>Source Code</t>
        </is>
      </c>
      <c r="D116" s="30" t="inlineStr">
        <is>
          <t>src/components/ReportModal.js</t>
        </is>
      </c>
      <c r="E116" s="29" t="inlineStr">
        <is>
          <t>ReportModal</t>
        </is>
      </c>
      <c r="F116" s="29" t="inlineStr">
        <is>
          <t>1</t>
        </is>
      </c>
      <c r="G116" s="29" t="inlineStr">
        <is>
          <t>8bc0dcb2a1da1b21368c5536aaeef829d587f316</t>
        </is>
      </c>
      <c r="H116" s="29" t="inlineStr">
        <is>
          <t>2026-08-02T00:00:00Z</t>
        </is>
      </c>
      <c r="I116" s="29" t="inlineStr">
        <is>
          <t>Pass</t>
        </is>
      </c>
      <c r="J116" s="29" t="inlineStr">
        <is>
          <t>Current</t>
        </is>
      </c>
      <c r="K116" s="29" t="inlineStr">
        <is>
          <t>Found report modal</t>
        </is>
      </c>
    </row>
    <row r="117" ht="42" customHeight="1">
      <c r="A117" s="29" t="inlineStr">
        <is>
          <t>EV-10-0008</t>
        </is>
      </c>
      <c r="B117" s="30" t="inlineStr">
        <is>
          <t>BLYP-10-020</t>
        </is>
      </c>
      <c r="C117" s="29" t="inlineStr">
        <is>
          <t>Source Code</t>
        </is>
      </c>
      <c r="D117" s="29" t="inlineStr">
        <is>
          <t>firestore.rules</t>
        </is>
      </c>
      <c r="E117" s="29" t="inlineStr">
        <is>
          <t>rules</t>
        </is>
      </c>
      <c r="F117" s="29" t="inlineStr">
        <is>
          <t>1</t>
        </is>
      </c>
      <c r="G117" s="29" t="inlineStr">
        <is>
          <t>8bc0dcb2a1da1b21368c5536aaeef829d587f316</t>
        </is>
      </c>
      <c r="H117" s="29" t="inlineStr">
        <is>
          <t>2026-08-02T00:00:00Z</t>
        </is>
      </c>
      <c r="I117" s="29" t="inlineStr">
        <is>
          <t>Pass</t>
        </is>
      </c>
      <c r="J117" s="29" t="inlineStr">
        <is>
          <t>Current</t>
        </is>
      </c>
      <c r="K117" s="29" t="inlineStr">
        <is>
          <t>Found firestore rules</t>
        </is>
      </c>
    </row>
    <row r="118" ht="42" customHeight="1">
      <c r="A118" s="29" t="inlineStr">
        <is>
          <t>EV-11-0001</t>
        </is>
      </c>
      <c r="B118" s="30" t="inlineStr">
        <is>
          <t>BLYP-11-001</t>
        </is>
      </c>
      <c r="C118" s="29" t="inlineStr">
        <is>
          <t>Source code</t>
        </is>
      </c>
      <c r="D118" s="30" t="inlineStr">
        <is>
          <t>src/screens/AuthScreen.js</t>
        </is>
      </c>
      <c r="E118" s="29" t="inlineStr">
        <is>
          <t>userPool.signUp</t>
        </is>
      </c>
      <c r="F118" s="29" t="inlineStr">
        <is>
          <t>326</t>
        </is>
      </c>
      <c r="G118" s="29" t="inlineStr">
        <is>
          <t>8bc0dcb2a1da1b21368c5536aaeef829d587f316</t>
        </is>
      </c>
      <c r="H118" s="29" t="inlineStr">
        <is>
          <t>2026-08-02T00:00:00Z</t>
        </is>
      </c>
      <c r="I118" s="29" t="inlineStr">
        <is>
          <t>Present</t>
        </is>
      </c>
      <c r="J118" s="29" t="inlineStr">
        <is>
          <t>Exact match</t>
        </is>
      </c>
      <c r="K118" s="29" t="inlineStr">
        <is>
          <t>Cognito userPool.signUp is called with email and password.</t>
        </is>
      </c>
    </row>
    <row r="119" ht="42" customHeight="1">
      <c r="A119" s="29" t="inlineStr">
        <is>
          <t>EV-11-0002</t>
        </is>
      </c>
      <c r="B119" s="30" t="inlineStr">
        <is>
          <t>BLYP-11-001</t>
        </is>
      </c>
      <c r="C119" s="29" t="inlineStr">
        <is>
          <t>Source code</t>
        </is>
      </c>
      <c r="D119" s="30" t="inlineStr">
        <is>
          <t>src/screens/AuthScreen.js</t>
        </is>
      </c>
      <c r="E119" s="29" t="inlineStr">
        <is>
          <t>handleAuth</t>
        </is>
      </c>
      <c r="F119" s="29" t="inlineStr">
        <is>
          <t>134</t>
        </is>
      </c>
      <c r="G119" s="29" t="inlineStr">
        <is>
          <t>8bc0dcb2a1da1b21368c5536aaeef829d587f316</t>
        </is>
      </c>
      <c r="H119" s="29" t="inlineStr">
        <is>
          <t>2026-08-02T00:00:00Z</t>
        </is>
      </c>
      <c r="I119" s="29" t="inlineStr">
        <is>
          <t>Present</t>
        </is>
      </c>
      <c r="J119" s="29" t="inlineStr">
        <is>
          <t>Exact match</t>
        </is>
      </c>
      <c r="K119" s="29" t="inlineStr">
        <is>
          <t>handleAuth function handles the sign-up flow.</t>
        </is>
      </c>
    </row>
    <row r="120" ht="42" customHeight="1">
      <c r="A120" s="29" t="inlineStr">
        <is>
          <t>EV-11-0003</t>
        </is>
      </c>
      <c r="B120" s="30" t="inlineStr">
        <is>
          <t>BLYP-11-002</t>
        </is>
      </c>
      <c r="C120" s="29" t="inlineStr">
        <is>
          <t>Source code</t>
        </is>
      </c>
      <c r="D120" s="30" t="inlineStr">
        <is>
          <t>src/screens/AuthScreen.js</t>
        </is>
      </c>
      <c r="E120" s="29" t="inlineStr">
        <is>
          <t>cognitoUser.authenticateUser</t>
        </is>
      </c>
      <c r="F120" s="29" t="inlineStr">
        <is>
          <t>231</t>
        </is>
      </c>
      <c r="G120" s="29" t="inlineStr">
        <is>
          <t>8bc0dcb2a1da1b21368c5536aaeef829d587f316</t>
        </is>
      </c>
      <c r="H120" s="29" t="inlineStr">
        <is>
          <t>2026-08-02T00:00:00Z</t>
        </is>
      </c>
      <c r="I120" s="29" t="inlineStr">
        <is>
          <t>Present</t>
        </is>
      </c>
      <c r="J120" s="29" t="inlineStr">
        <is>
          <t>Exact match</t>
        </is>
      </c>
      <c r="K120" s="29" t="inlineStr">
        <is>
          <t>Cognito authenticateUser is called with email and password.</t>
        </is>
      </c>
    </row>
    <row r="121" ht="42" customHeight="1">
      <c r="A121" s="29" t="inlineStr">
        <is>
          <t>EV-11-0004</t>
        </is>
      </c>
      <c r="B121" s="30" t="inlineStr">
        <is>
          <t>BLYP-11-003</t>
        </is>
      </c>
      <c r="C121" s="29" t="inlineStr">
        <is>
          <t>Source code</t>
        </is>
      </c>
      <c r="D121" s="30" t="inlineStr">
        <is>
          <t>src/screens/AuthScreen.js</t>
        </is>
      </c>
      <c r="E121" s="29" t="inlineStr">
        <is>
          <t>cognitoUser.confirmRegistration</t>
        </is>
      </c>
      <c r="F121" s="29" t="inlineStr">
        <is>
          <t>172</t>
        </is>
      </c>
      <c r="G121" s="29" t="inlineStr">
        <is>
          <t>8bc0dcb2a1da1b21368c5536aaeef829d587f316</t>
        </is>
      </c>
      <c r="H121" s="29" t="inlineStr">
        <is>
          <t>2026-08-02T00:00:00Z</t>
        </is>
      </c>
      <c r="I121" s="29" t="inlineStr">
        <is>
          <t>Present</t>
        </is>
      </c>
      <c r="J121" s="29" t="inlineStr">
        <is>
          <t>Exact match</t>
        </is>
      </c>
      <c r="K121" s="29" t="inlineStr">
        <is>
          <t>Cognito confirmRegistration is called with confirmCode.</t>
        </is>
      </c>
    </row>
    <row r="122" ht="42" customHeight="1">
      <c r="A122" s="29" t="inlineStr">
        <is>
          <t>EV-11-0005</t>
        </is>
      </c>
      <c r="B122" s="30" t="inlineStr">
        <is>
          <t>BLYP-11-004</t>
        </is>
      </c>
      <c r="C122" s="29" t="inlineStr">
        <is>
          <t>Source code</t>
        </is>
      </c>
      <c r="D122" s="30" t="inlineStr">
        <is>
          <t>src/screens/AuthScreen.js</t>
        </is>
      </c>
      <c r="E122" s="29" t="inlineStr">
        <is>
          <t>cognitoUser.confirmPassword</t>
        </is>
      </c>
      <c r="F122" s="29" t="inlineStr">
        <is>
          <t>150</t>
        </is>
      </c>
      <c r="G122" s="29" t="inlineStr">
        <is>
          <t>8bc0dcb2a1da1b21368c5536aaeef829d587f316</t>
        </is>
      </c>
      <c r="H122" s="29" t="inlineStr">
        <is>
          <t>2026-08-02T00:00:00Z</t>
        </is>
      </c>
      <c r="I122" s="29" t="inlineStr">
        <is>
          <t>Present</t>
        </is>
      </c>
      <c r="J122" s="29" t="inlineStr">
        <is>
          <t>Exact match</t>
        </is>
      </c>
      <c r="K122" s="29" t="inlineStr">
        <is>
          <t>Cognito confirmPassword is called with resetCode and newPassword.</t>
        </is>
      </c>
    </row>
    <row r="123" ht="42" customHeight="1">
      <c r="A123" s="29" t="inlineStr">
        <is>
          <t>EV-11-0006</t>
        </is>
      </c>
      <c r="B123" s="30" t="inlineStr">
        <is>
          <t>BLYP-11-005;BLYP-11-006</t>
        </is>
      </c>
      <c r="C123" s="29" t="inlineStr">
        <is>
          <t>Source code</t>
        </is>
      </c>
      <c r="D123" s="30" t="inlineStr">
        <is>
          <t>src/services/socialAuthService.js</t>
        </is>
      </c>
      <c r="E123" s="29" t="inlineStr">
        <is>
          <t>signInWithGoogle</t>
        </is>
      </c>
      <c r="F123" s="29" t="inlineStr">
        <is>
          <t>48</t>
        </is>
      </c>
      <c r="G123" s="29" t="inlineStr">
        <is>
          <t>8bc0dcb2a1da1b21368c5536aaeef829d587f316</t>
        </is>
      </c>
      <c r="H123" s="29" t="inlineStr">
        <is>
          <t>2026-08-02T00:00:00Z</t>
        </is>
      </c>
      <c r="I123" s="29" t="inlineStr">
        <is>
          <t>Present</t>
        </is>
      </c>
      <c r="J123" s="29" t="inlineStr">
        <is>
          <t>Exact match</t>
        </is>
      </c>
      <c r="K123" s="29" t="inlineStr">
        <is>
          <t>signInWithGoogle function handles Google OAuth flow.</t>
        </is>
      </c>
    </row>
    <row r="124" ht="42" customHeight="1">
      <c r="A124" s="29" t="inlineStr">
        <is>
          <t>EV-11-0007</t>
        </is>
      </c>
      <c r="B124" s="30" t="inlineStr">
        <is>
          <t>BLYP-11-007;BLYP-11-008</t>
        </is>
      </c>
      <c r="C124" s="29" t="inlineStr">
        <is>
          <t>Source code</t>
        </is>
      </c>
      <c r="D124" s="30" t="inlineStr">
        <is>
          <t>src/services/socialAuthService.js</t>
        </is>
      </c>
      <c r="E124" s="29" t="inlineStr">
        <is>
          <t>signInWithFacebook</t>
        </is>
      </c>
      <c r="F124" s="29" t="inlineStr">
        <is>
          <t>85</t>
        </is>
      </c>
      <c r="G124" s="29" t="inlineStr">
        <is>
          <t>8bc0dcb2a1da1b21368c5536aaeef829d587f316</t>
        </is>
      </c>
      <c r="H124" s="29" t="inlineStr">
        <is>
          <t>2026-08-02T00:00:00Z</t>
        </is>
      </c>
      <c r="I124" s="29" t="inlineStr">
        <is>
          <t>Present</t>
        </is>
      </c>
      <c r="J124" s="29" t="inlineStr">
        <is>
          <t>Exact match</t>
        </is>
      </c>
      <c r="K124" s="29" t="inlineStr">
        <is>
          <t>signInWithFacebook function handles Facebook OAuth flow.</t>
        </is>
      </c>
    </row>
    <row r="125" ht="42" customHeight="1">
      <c r="A125" s="29" t="inlineStr">
        <is>
          <t>EV-11-0008</t>
        </is>
      </c>
      <c r="B125" s="30" t="inlineStr">
        <is>
          <t>BLYP-11-011</t>
        </is>
      </c>
      <c r="C125" s="29" t="inlineStr">
        <is>
          <t>Source code</t>
        </is>
      </c>
      <c r="D125" s="30" t="inlineStr">
        <is>
          <t>src/screens/EditProfileScreen.js</t>
        </is>
      </c>
      <c r="E125" s="29" t="inlineStr">
        <is>
          <t>uploadProfileImage</t>
        </is>
      </c>
      <c r="F125" s="29" t="inlineStr">
        <is>
          <t>116</t>
        </is>
      </c>
      <c r="G125" s="29" t="inlineStr">
        <is>
          <t>8bc0dcb2a1da1b21368c5536aaeef829d587f316</t>
        </is>
      </c>
      <c r="H125" s="29" t="inlineStr">
        <is>
          <t>2026-08-02T00:00:00Z</t>
        </is>
      </c>
      <c r="I125" s="29" t="inlineStr">
        <is>
          <t>Present</t>
        </is>
      </c>
      <c r="J125" s="29" t="inlineStr">
        <is>
          <t>Exact match</t>
        </is>
      </c>
      <c r="K125" s="29" t="inlineStr">
        <is>
          <t>uploadProfileImage function uploads profile image to Firebase Storage.</t>
        </is>
      </c>
    </row>
    <row r="126" ht="42" customHeight="1">
      <c r="A126" s="29" t="inlineStr">
        <is>
          <t>EV-13-0001</t>
        </is>
      </c>
      <c r="B126" s="30" t="inlineStr">
        <is>
          <t>BLYP-13-001</t>
        </is>
      </c>
      <c r="C126" s="29" t="inlineStr">
        <is>
          <t>Source code</t>
        </is>
      </c>
      <c r="D126" s="30" t="inlineStr">
        <is>
          <t>src/services/searchService.js</t>
        </is>
      </c>
      <c r="E126" s="29" t="inlineStr">
        <is>
          <t>searchUsers</t>
        </is>
      </c>
      <c r="F126" s="29" t="inlineStr">
        <is>
          <t>72-88</t>
        </is>
      </c>
      <c r="G126" s="29" t="inlineStr">
        <is>
          <t>8bc0dcb2a1da1b21368c5536aaeef829d587f316</t>
        </is>
      </c>
      <c r="H126" s="29" t="inlineStr">
        <is>
          <t>2026-08-02T00:00:00Z</t>
        </is>
      </c>
      <c r="I126" s="29" t="inlineStr">
        <is>
          <t>Pass</t>
        </is>
      </c>
      <c r="J126" s="29" t="inlineStr">
        <is>
          <t>Current</t>
        </is>
      </c>
      <c r="K126" s="29" t="inlineStr">
        <is>
          <t>searchUsers method implemented with mock data and dynamic generation</t>
        </is>
      </c>
    </row>
    <row r="127" ht="42" customHeight="1">
      <c r="A127" s="29" t="inlineStr">
        <is>
          <t>EV-13-0002</t>
        </is>
      </c>
      <c r="B127" s="30" t="inlineStr">
        <is>
          <t>BLYP-13-001</t>
        </is>
      </c>
      <c r="C127" s="29" t="inlineStr">
        <is>
          <t>Source code</t>
        </is>
      </c>
      <c r="D127" s="30" t="inlineStr">
        <is>
          <t>src/screens/SearchScreen.js</t>
        </is>
      </c>
      <c r="E127" s="29" t="inlineStr">
        <is>
          <t>renderUserItem</t>
        </is>
      </c>
      <c r="F127" s="29" t="inlineStr">
        <is>
          <t>149-182</t>
        </is>
      </c>
      <c r="G127" s="29" t="inlineStr">
        <is>
          <t>8bc0dcb2a1da1b21368c5536aaeef829d587f316</t>
        </is>
      </c>
      <c r="H127" s="29" t="inlineStr">
        <is>
          <t>2026-08-02T00:00:00Z</t>
        </is>
      </c>
      <c r="I127" s="29" t="inlineStr">
        <is>
          <t>Pass</t>
        </is>
      </c>
      <c r="J127" s="29" t="inlineStr">
        <is>
          <t>Current</t>
        </is>
      </c>
      <c r="K127" s="29" t="inlineStr">
        <is>
          <t>UI for rendering user search results</t>
        </is>
      </c>
    </row>
    <row r="128" ht="42" customHeight="1">
      <c r="A128" s="29" t="inlineStr">
        <is>
          <t>EV-13-0003</t>
        </is>
      </c>
      <c r="B128" s="30" t="inlineStr">
        <is>
          <t>BLYP-13-002</t>
        </is>
      </c>
      <c r="C128" s="29" t="inlineStr">
        <is>
          <t>Source code</t>
        </is>
      </c>
      <c r="D128" s="30" t="inlineStr">
        <is>
          <t>src/services/searchService.js</t>
        </is>
      </c>
      <c r="E128" s="29" t="inlineStr">
        <is>
          <t>searchPosts</t>
        </is>
      </c>
      <c r="F128" s="29" t="inlineStr">
        <is>
          <t>90-106</t>
        </is>
      </c>
      <c r="G128" s="29" t="inlineStr">
        <is>
          <t>8bc0dcb2a1da1b21368c5536aaeef829d587f316</t>
        </is>
      </c>
      <c r="H128" s="29" t="inlineStr">
        <is>
          <t>2026-08-02T00:00:00Z</t>
        </is>
      </c>
      <c r="I128" s="29" t="inlineStr">
        <is>
          <t>Pass</t>
        </is>
      </c>
      <c r="J128" s="29" t="inlineStr">
        <is>
          <t>Current</t>
        </is>
      </c>
      <c r="K128" s="29" t="inlineStr">
        <is>
          <t>searchPosts method implemented with mock data</t>
        </is>
      </c>
    </row>
    <row r="129" ht="42" customHeight="1">
      <c r="A129" s="29" t="inlineStr">
        <is>
          <t>EV-13-0004</t>
        </is>
      </c>
      <c r="B129" s="30" t="inlineStr">
        <is>
          <t>BLYP-13-002</t>
        </is>
      </c>
      <c r="C129" s="29" t="inlineStr">
        <is>
          <t>Source code</t>
        </is>
      </c>
      <c r="D129" s="30" t="inlineStr">
        <is>
          <t>src/screens/SearchScreen.js</t>
        </is>
      </c>
      <c r="E129" s="29" t="inlineStr">
        <is>
          <t>renderPostItem</t>
        </is>
      </c>
      <c r="F129" s="29" t="inlineStr">
        <is>
          <t>183-206</t>
        </is>
      </c>
      <c r="G129" s="29" t="inlineStr">
        <is>
          <t>8bc0dcb2a1da1b21368c5536aaeef829d587f316</t>
        </is>
      </c>
      <c r="H129" s="29" t="inlineStr">
        <is>
          <t>2026-08-02T00:00:00Z</t>
        </is>
      </c>
      <c r="I129" s="29" t="inlineStr">
        <is>
          <t>Pass</t>
        </is>
      </c>
      <c r="J129" s="29" t="inlineStr">
        <is>
          <t>Current</t>
        </is>
      </c>
      <c r="K129" s="29" t="inlineStr">
        <is>
          <t>UI for rendering post search results</t>
        </is>
      </c>
    </row>
    <row r="130" ht="42" customHeight="1">
      <c r="A130" s="29" t="inlineStr">
        <is>
          <t>EV-13-0005</t>
        </is>
      </c>
      <c r="B130" s="30" t="inlineStr">
        <is>
          <t>BLYP-13-003</t>
        </is>
      </c>
      <c r="C130" s="29" t="inlineStr">
        <is>
          <t>Source code</t>
        </is>
      </c>
      <c r="D130" s="30" t="inlineStr">
        <is>
          <t>src/services/searchService.js</t>
        </is>
      </c>
      <c r="E130" s="29" t="inlineStr">
        <is>
          <t>generateMockPosts</t>
        </is>
      </c>
      <c r="F130" s="29" t="inlineStr">
        <is>
          <t>197-213</t>
        </is>
      </c>
      <c r="G130" s="29" t="inlineStr">
        <is>
          <t>8bc0dcb2a1da1b21368c5536aaeef829d587f316</t>
        </is>
      </c>
      <c r="H130" s="29" t="inlineStr">
        <is>
          <t>2026-08-02T00:00:00Z</t>
        </is>
      </c>
      <c r="I130" s="29" t="inlineStr">
        <is>
          <t>Pass</t>
        </is>
      </c>
      <c r="J130" s="29" t="inlineStr">
        <is>
          <t>Current</t>
        </is>
      </c>
      <c r="K130" s="29" t="inlineStr">
        <is>
          <t>generateMockPosts generates posts with type 'video' or 'photo'</t>
        </is>
      </c>
    </row>
    <row r="131" ht="42" customHeight="1">
      <c r="A131" s="29" t="inlineStr">
        <is>
          <t>EV-13-0006</t>
        </is>
      </c>
      <c r="B131" s="30" t="inlineStr">
        <is>
          <t>BLYP-13-003</t>
        </is>
      </c>
      <c r="C131" s="29" t="inlineStr">
        <is>
          <t>Source code</t>
        </is>
      </c>
      <c r="D131" s="30" t="inlineStr">
        <is>
          <t>src/screens/SearchScreen.js</t>
        </is>
      </c>
      <c r="E131" s="29" t="inlineStr">
        <is>
          <t>renderPostItem</t>
        </is>
      </c>
      <c r="F131" s="29" t="inlineStr">
        <is>
          <t>188-192</t>
        </is>
      </c>
      <c r="G131" s="29" t="inlineStr">
        <is>
          <t>8bc0dcb2a1da1b21368c5536aaeef829d587f316</t>
        </is>
      </c>
      <c r="H131" s="29" t="inlineStr">
        <is>
          <t>2026-08-02T00:00:00Z</t>
        </is>
      </c>
      <c r="I131" s="29" t="inlineStr">
        <is>
          <t>Pass</t>
        </is>
      </c>
      <c r="J131" s="29" t="inlineStr">
        <is>
          <t>Current</t>
        </is>
      </c>
      <c r="K131" s="29" t="inlineStr">
        <is>
          <t>UI shows video indicator for video posts</t>
        </is>
      </c>
    </row>
    <row r="132" ht="42" customHeight="1">
      <c r="A132" s="29" t="inlineStr">
        <is>
          <t>EV-13-0007</t>
        </is>
      </c>
      <c r="B132" s="30" t="inlineStr">
        <is>
          <t>BLYP-13-004</t>
        </is>
      </c>
      <c r="C132" s="29" t="inlineStr">
        <is>
          <t>Source code</t>
        </is>
      </c>
      <c r="D132" s="30" t="inlineStr">
        <is>
          <t>src/services/searchService.js</t>
        </is>
      </c>
      <c r="E132" s="29" t="inlineStr">
        <is>
          <t>searchHashtags</t>
        </is>
      </c>
      <c r="F132" s="29" t="inlineStr">
        <is>
          <t>108-129</t>
        </is>
      </c>
      <c r="G132" s="29" t="inlineStr">
        <is>
          <t>8bc0dcb2a1da1b21368c5536aaeef829d587f316</t>
        </is>
      </c>
      <c r="H132" s="29" t="inlineStr">
        <is>
          <t>2026-08-02T00:00:00Z</t>
        </is>
      </c>
      <c r="I132" s="29" t="inlineStr">
        <is>
          <t>Pass</t>
        </is>
      </c>
      <c r="J132" s="29" t="inlineStr">
        <is>
          <t>Current</t>
        </is>
      </c>
      <c r="K132" s="29" t="inlineStr">
        <is>
          <t>searchHashtags method implemented</t>
        </is>
      </c>
    </row>
    <row r="133" ht="42" customHeight="1">
      <c r="A133" s="29" t="inlineStr">
        <is>
          <t>EV-13-0008</t>
        </is>
      </c>
      <c r="B133" s="30" t="inlineStr">
        <is>
          <t>BLYP-13-004</t>
        </is>
      </c>
      <c r="C133" s="29" t="inlineStr">
        <is>
          <t>Source code</t>
        </is>
      </c>
      <c r="D133" s="30" t="inlineStr">
        <is>
          <t>src/screens/SearchScreen.js</t>
        </is>
      </c>
      <c r="E133" s="29" t="inlineStr">
        <is>
          <t>renderHashtagItem</t>
        </is>
      </c>
      <c r="F133" s="29" t="inlineStr">
        <is>
          <t>207-224</t>
        </is>
      </c>
      <c r="G133" s="29" t="inlineStr">
        <is>
          <t>8bc0dcb2a1da1b21368c5536aaeef829d587f316</t>
        </is>
      </c>
      <c r="H133" s="29" t="inlineStr">
        <is>
          <t>2026-08-02T00:00:00Z</t>
        </is>
      </c>
      <c r="I133" s="29" t="inlineStr">
        <is>
          <t>Pass</t>
        </is>
      </c>
      <c r="J133" s="29" t="inlineStr">
        <is>
          <t>Current</t>
        </is>
      </c>
      <c r="K133" s="29" t="inlineStr">
        <is>
          <t>UI for rendering hashtag search results</t>
        </is>
      </c>
    </row>
    <row r="134" ht="42" customHeight="1">
      <c r="A134" s="29" t="inlineStr">
        <is>
          <t>EV-13-0009</t>
        </is>
      </c>
      <c r="B134" s="30" t="inlineStr">
        <is>
          <t>BLYP-13-010</t>
        </is>
      </c>
      <c r="C134" s="29" t="inlineStr">
        <is>
          <t>Source code</t>
        </is>
      </c>
      <c r="D134" s="30" t="inlineStr">
        <is>
          <t>src/screens/SearchScreen.js</t>
        </is>
      </c>
      <c r="E134" s="29" t="inlineStr">
        <is>
          <t>renderSearchResults</t>
        </is>
      </c>
      <c r="F134" s="29" t="inlineStr">
        <is>
          <t>301-420</t>
        </is>
      </c>
      <c r="G134" s="29" t="inlineStr">
        <is>
          <t>8bc0dcb2a1da1b21368c5536aaeef829d587f316</t>
        </is>
      </c>
      <c r="H134" s="29" t="inlineStr">
        <is>
          <t>2026-08-02T00:00:00Z</t>
        </is>
      </c>
      <c r="I134" s="29" t="inlineStr">
        <is>
          <t>Pass</t>
        </is>
      </c>
      <c r="J134" s="29" t="inlineStr">
        <is>
          <t>Current</t>
        </is>
      </c>
      <c r="K134" s="29" t="inlineStr">
        <is>
          <t>renderSearchResults groups results by Users, Posts, Hashtags, Locations when selectedTab is 'all'</t>
        </is>
      </c>
    </row>
    <row r="135" ht="42" customHeight="1">
      <c r="A135" s="29" t="inlineStr">
        <is>
          <t>EV-13-0010</t>
        </is>
      </c>
      <c r="B135" s="30" t="inlineStr">
        <is>
          <t>BLYP-13-011</t>
        </is>
      </c>
      <c r="C135" s="29" t="inlineStr">
        <is>
          <t>Source code</t>
        </is>
      </c>
      <c r="D135" s="30" t="inlineStr">
        <is>
          <t>src/screens/SearchScreen.js</t>
        </is>
      </c>
      <c r="E135" s="29" t="inlineStr">
        <is>
          <t>useEffect</t>
        </is>
      </c>
      <c r="F135" s="29" t="inlineStr">
        <is>
          <t>35-41</t>
        </is>
      </c>
      <c r="G135" s="29" t="inlineStr">
        <is>
          <t>8bc0dcb2a1da1b21368c5536aaeef829d587f316</t>
        </is>
      </c>
      <c r="H135" s="29" t="inlineStr">
        <is>
          <t>2026-08-02T00:00:00Z</t>
        </is>
      </c>
      <c r="I135" s="29" t="inlineStr">
        <is>
          <t>Pass</t>
        </is>
      </c>
      <c r="J135" s="29" t="inlineStr">
        <is>
          <t>Current</t>
        </is>
      </c>
      <c r="K135" s="29" t="inlineStr">
        <is>
          <t>useEffect triggers performSearch when searchQuery.length &gt;= 2</t>
        </is>
      </c>
    </row>
    <row r="136" ht="42" customHeight="1">
      <c r="A136" s="29" t="inlineStr">
        <is>
          <t>EV-13-0011</t>
        </is>
      </c>
      <c r="B136" s="30" t="inlineStr">
        <is>
          <t>BLYP-13-011</t>
        </is>
      </c>
      <c r="C136" s="29" t="inlineStr">
        <is>
          <t>Source code</t>
        </is>
      </c>
      <c r="D136" s="30" t="inlineStr">
        <is>
          <t>src/screens/SearchScreen.js</t>
        </is>
      </c>
      <c r="E136" s="29" t="inlineStr">
        <is>
          <t>renderSuggestions</t>
        </is>
      </c>
      <c r="F136" s="29" t="inlineStr">
        <is>
          <t>232-300</t>
        </is>
      </c>
      <c r="G136" s="29" t="inlineStr">
        <is>
          <t>8bc0dcb2a1da1b21368c5536aaeef829d587f316</t>
        </is>
      </c>
      <c r="H136" s="29" t="inlineStr">
        <is>
          <t>2026-08-02T00:00:00Z</t>
        </is>
      </c>
      <c r="I136" s="29" t="inlineStr">
        <is>
          <t>Pass</t>
        </is>
      </c>
      <c r="J136" s="29" t="inlineStr">
        <is>
          <t>Current</t>
        </is>
      </c>
      <c r="K136" s="29" t="inlineStr">
        <is>
          <t>renderSuggestions shows suggestions when query is empty</t>
        </is>
      </c>
    </row>
    <row r="137" ht="42" customHeight="1">
      <c r="A137" s="29" t="inlineStr">
        <is>
          <t>EV-13-0012</t>
        </is>
      </c>
      <c r="B137" s="30" t="inlineStr">
        <is>
          <t>BLYP-13-012</t>
        </is>
      </c>
      <c r="C137" s="29" t="inlineStr">
        <is>
          <t>Source code</t>
        </is>
      </c>
      <c r="D137" s="30" t="inlineStr">
        <is>
          <t>src/services/searchService.js</t>
        </is>
      </c>
      <c r="E137" s="29" t="inlineStr">
        <is>
          <t>addToHistory</t>
        </is>
      </c>
      <c r="F137" s="29" t="inlineStr">
        <is>
          <t>229-236</t>
        </is>
      </c>
      <c r="G137" s="29" t="inlineStr">
        <is>
          <t>8bc0dcb2a1da1b21368c5536aaeef829d587f316</t>
        </is>
      </c>
      <c r="H137" s="29" t="inlineStr">
        <is>
          <t>2026-08-02T00:00:00Z</t>
        </is>
      </c>
      <c r="I137" s="29" t="inlineStr">
        <is>
          <t>Pass</t>
        </is>
      </c>
      <c r="J137" s="29" t="inlineStr">
        <is>
          <t>Current</t>
        </is>
      </c>
      <c r="K137" s="29" t="inlineStr">
        <is>
          <t>addToHistory method implemented</t>
        </is>
      </c>
    </row>
    <row r="138" ht="42" customHeight="1">
      <c r="A138" s="29" t="inlineStr">
        <is>
          <t>EV-13-0013</t>
        </is>
      </c>
      <c r="B138" s="30" t="inlineStr">
        <is>
          <t>BLYP-13-012</t>
        </is>
      </c>
      <c r="C138" s="29" t="inlineStr">
        <is>
          <t>Source code</t>
        </is>
      </c>
      <c r="D138" s="30" t="inlineStr">
        <is>
          <t>src/screens/SearchScreen.js</t>
        </is>
      </c>
      <c r="E138" s="29" t="inlineStr">
        <is>
          <t>renderSuggestions</t>
        </is>
      </c>
      <c r="F138" s="29" t="inlineStr">
        <is>
          <t>234-249</t>
        </is>
      </c>
      <c r="G138" s="29" t="inlineStr">
        <is>
          <t>8bc0dcb2a1da1b21368c5536aaeef829d587f316</t>
        </is>
      </c>
      <c r="H138" s="29" t="inlineStr">
        <is>
          <t>2026-08-02T00:00:00Z</t>
        </is>
      </c>
      <c r="I138" s="29" t="inlineStr">
        <is>
          <t>Pass</t>
        </is>
      </c>
      <c r="J138" s="29" t="inlineStr">
        <is>
          <t>Current</t>
        </is>
      </c>
      <c r="K138" s="29" t="inlineStr">
        <is>
          <t>UI renders recent searches</t>
        </is>
      </c>
    </row>
    <row r="139" ht="42" customHeight="1">
      <c r="A139" s="29" t="inlineStr">
        <is>
          <t>EV-13-0014</t>
        </is>
      </c>
      <c r="B139" s="30" t="inlineStr">
        <is>
          <t>BLYP-13-013</t>
        </is>
      </c>
      <c r="C139" s="29" t="inlineStr">
        <is>
          <t>Source code</t>
        </is>
      </c>
      <c r="D139" s="30" t="inlineStr">
        <is>
          <t>src/screens/SearchScreen.js</t>
        </is>
      </c>
      <c r="E139" s="29" t="inlineStr">
        <is>
          <t>searchTabs</t>
        </is>
      </c>
      <c r="F139" s="29" t="inlineStr">
        <is>
          <t>25-31</t>
        </is>
      </c>
      <c r="G139" s="29" t="inlineStr">
        <is>
          <t>8bc0dcb2a1da1b21368c5536aaeef829d587f316</t>
        </is>
      </c>
      <c r="H139" s="29" t="inlineStr">
        <is>
          <t>2026-08-02T00:00:00Z</t>
        </is>
      </c>
      <c r="I139" s="29" t="inlineStr">
        <is>
          <t>Pass</t>
        </is>
      </c>
      <c r="J139" s="29" t="inlineStr">
        <is>
          <t>Current</t>
        </is>
      </c>
      <c r="K139" s="29" t="inlineStr">
        <is>
          <t>searchTabs defined for filtering by all, users, posts, hashtags, locations</t>
        </is>
      </c>
    </row>
    <row r="140" ht="42" customHeight="1">
      <c r="A140" s="29" t="inlineStr">
        <is>
          <t>EV-13-0015</t>
        </is>
      </c>
      <c r="B140" s="30" t="inlineStr">
        <is>
          <t>BLYP-13-013</t>
        </is>
      </c>
      <c r="C140" s="29" t="inlineStr">
        <is>
          <t>Source code</t>
        </is>
      </c>
      <c r="D140" s="30" t="inlineStr">
        <is>
          <t>src/screens/SearchScreen.js</t>
        </is>
      </c>
      <c r="E140" s="29" t="inlineStr">
        <is>
          <t>renderSearchTabs</t>
        </is>
      </c>
      <c r="F140" s="29" t="inlineStr">
        <is>
          <t>129-148</t>
        </is>
      </c>
      <c r="G140" s="29" t="inlineStr">
        <is>
          <t>8bc0dcb2a1da1b21368c5536aaeef829d587f316</t>
        </is>
      </c>
      <c r="H140" s="29" t="inlineStr">
        <is>
          <t>2026-08-02T00:00:00Z</t>
        </is>
      </c>
      <c r="I140" s="29" t="inlineStr">
        <is>
          <t>Pass</t>
        </is>
      </c>
      <c r="J140" s="29" t="inlineStr">
        <is>
          <t>Current</t>
        </is>
      </c>
      <c r="K140" s="29" t="inlineStr">
        <is>
          <t>UI for rendering search tabs</t>
        </is>
      </c>
    </row>
    <row r="141" ht="42" customHeight="1">
      <c r="A141" s="29" t="inlineStr">
        <is>
          <t>EV-13-0016</t>
        </is>
      </c>
      <c r="B141" s="30" t="inlineStr">
        <is>
          <t>BLYP-13-018</t>
        </is>
      </c>
      <c r="C141" s="29" t="inlineStr">
        <is>
          <t>Source code</t>
        </is>
      </c>
      <c r="D141" s="30" t="inlineStr">
        <is>
          <t>src/services/searchService.js</t>
        </is>
      </c>
      <c r="E141" s="29" t="inlineStr">
        <is>
          <t>getTrendingSearches</t>
        </is>
      </c>
      <c r="F141" s="29" t="inlineStr">
        <is>
          <t>248-259</t>
        </is>
      </c>
      <c r="G141" s="29" t="inlineStr">
        <is>
          <t>8bc0dcb2a1da1b21368c5536aaeef829d587f316</t>
        </is>
      </c>
      <c r="H141" s="29" t="inlineStr">
        <is>
          <t>2026-08-02T00:00:00Z</t>
        </is>
      </c>
      <c r="I141" s="29" t="inlineStr">
        <is>
          <t>Pass</t>
        </is>
      </c>
      <c r="J141" s="29" t="inlineStr">
        <is>
          <t>Current</t>
        </is>
      </c>
      <c r="K141" s="29" t="inlineStr">
        <is>
          <t>getTrendingSearches method implemented</t>
        </is>
      </c>
    </row>
    <row r="142" ht="42" customHeight="1">
      <c r="A142" s="29" t="inlineStr">
        <is>
          <t>EV-13-0017</t>
        </is>
      </c>
      <c r="B142" s="30" t="inlineStr">
        <is>
          <t>BLYP-13-018</t>
        </is>
      </c>
      <c r="C142" s="29" t="inlineStr">
        <is>
          <t>Source code</t>
        </is>
      </c>
      <c r="D142" s="30" t="inlineStr">
        <is>
          <t>src/screens/SearchScreen.js</t>
        </is>
      </c>
      <c r="E142" s="29" t="inlineStr">
        <is>
          <t>renderSuggestions</t>
        </is>
      </c>
      <c r="F142" s="29" t="inlineStr">
        <is>
          <t>251-266</t>
        </is>
      </c>
      <c r="G142" s="29" t="inlineStr">
        <is>
          <t>8bc0dcb2a1da1b21368c5536aaeef829d587f316</t>
        </is>
      </c>
      <c r="H142" s="29" t="inlineStr">
        <is>
          <t>2026-08-02T00:00:00Z</t>
        </is>
      </c>
      <c r="I142" s="29" t="inlineStr">
        <is>
          <t>Pass</t>
        </is>
      </c>
      <c r="J142" s="29" t="inlineStr">
        <is>
          <t>Current</t>
        </is>
      </c>
      <c r="K142" s="29" t="inlineStr">
        <is>
          <t>UI renders trending subjects</t>
        </is>
      </c>
    </row>
    <row r="143" ht="42" customHeight="1">
      <c r="A143" s="29" t="inlineStr">
        <is>
          <t>EV-14-0001</t>
        </is>
      </c>
      <c r="B143" s="30" t="inlineStr">
        <is>
          <t>BLYP-14-001;BLYP-14-002</t>
        </is>
      </c>
      <c r="C143" s="29" t="inlineStr">
        <is>
          <t>Source Code</t>
        </is>
      </c>
      <c r="D143" s="29" t="inlineStr">
        <is>
          <t>/src/services/BlypCoinService.js</t>
        </is>
      </c>
      <c r="E143" s="29" t="inlineStr">
        <is>
          <t>BlypCoinService</t>
        </is>
      </c>
      <c r="F143" s="29" t="inlineStr">
        <is>
          <t>1-150</t>
        </is>
      </c>
      <c r="G143" s="29" t="inlineStr">
        <is>
          <t>8bc0dcb2a1da1b21368c5536aaeef829d587f316</t>
        </is>
      </c>
      <c r="H143" s="29" t="inlineStr">
        <is>
          <t>2026-08-02 03:17:03</t>
        </is>
      </c>
      <c r="I143" s="29" t="inlineStr">
        <is>
          <t>Pass</t>
        </is>
      </c>
      <c r="J143" s="29" t="inlineStr">
        <is>
          <t>Current</t>
        </is>
      </c>
      <c r="K143" s="29" t="inlineStr">
        <is>
          <t>Found BlypCoinService implementation for wallet and balance.</t>
        </is>
      </c>
    </row>
    <row r="144" ht="42" customHeight="1">
      <c r="A144" s="29" t="inlineStr">
        <is>
          <t>EV-14-0002</t>
        </is>
      </c>
      <c r="B144" s="30" t="inlineStr">
        <is>
          <t>BLYP-14-003</t>
        </is>
      </c>
      <c r="C144" s="29" t="inlineStr">
        <is>
          <t>Source Code</t>
        </is>
      </c>
      <c r="D144" s="29" t="inlineStr">
        <is>
          <t>/src/services/BlypCoinService.js</t>
        </is>
      </c>
      <c r="E144" s="29" t="inlineStr">
        <is>
          <t>getTransactions</t>
        </is>
      </c>
      <c r="F144" s="29" t="inlineStr">
        <is>
          <t>45-60</t>
        </is>
      </c>
      <c r="G144" s="29" t="inlineStr">
        <is>
          <t>8bc0dcb2a1da1b21368c5536aaeef829d587f316</t>
        </is>
      </c>
      <c r="H144" s="29" t="inlineStr">
        <is>
          <t>2026-08-02 03:17:03</t>
        </is>
      </c>
      <c r="I144" s="29" t="inlineStr">
        <is>
          <t>Pass</t>
        </is>
      </c>
      <c r="J144" s="29" t="inlineStr">
        <is>
          <t>Current</t>
        </is>
      </c>
      <c r="K144" s="29" t="inlineStr">
        <is>
          <t>Found transaction history implementation.</t>
        </is>
      </c>
    </row>
    <row r="145" ht="42" customHeight="1">
      <c r="A145" s="29" t="inlineStr">
        <is>
          <t>EV-14-0003</t>
        </is>
      </c>
      <c r="B145" s="30" t="inlineStr">
        <is>
          <t>BLYP-14-004</t>
        </is>
      </c>
      <c r="C145" s="29" t="inlineStr">
        <is>
          <t>Source Code</t>
        </is>
      </c>
      <c r="D145" s="29" t="inlineStr">
        <is>
          <t>/src/services/BlypCoinService.js</t>
        </is>
      </c>
      <c r="E145" s="29" t="inlineStr">
        <is>
          <t>claimDailyReward</t>
        </is>
      </c>
      <c r="F145" s="29" t="inlineStr">
        <is>
          <t>100-120</t>
        </is>
      </c>
      <c r="G145" s="29" t="inlineStr">
        <is>
          <t>8bc0dcb2a1da1b21368c5536aaeef829d587f316</t>
        </is>
      </c>
      <c r="H145" s="29" t="inlineStr">
        <is>
          <t>2026-08-02 03:17:03</t>
        </is>
      </c>
      <c r="I145" s="29" t="inlineStr">
        <is>
          <t>Pass</t>
        </is>
      </c>
      <c r="J145" s="29" t="inlineStr">
        <is>
          <t>Current</t>
        </is>
      </c>
      <c r="K145" s="29" t="inlineStr">
        <is>
          <t>Found daily rewards implementation.</t>
        </is>
      </c>
    </row>
    <row r="146" ht="42" customHeight="1">
      <c r="A146" s="29" t="inlineStr">
        <is>
          <t>EV-15-0001</t>
        </is>
      </c>
      <c r="B146" s="30" t="inlineStr">
        <is>
          <t>BLYP-15-001</t>
        </is>
      </c>
      <c r="C146" s="29" t="inlineStr">
        <is>
          <t>Source code</t>
        </is>
      </c>
      <c r="D146" s="29" t="inlineStr">
        <is>
          <t>Multiple</t>
        </is>
      </c>
      <c r="E146" s="29" t="inlineStr">
        <is>
          <t>N/A</t>
        </is>
      </c>
      <c r="F146" s="29" t="inlineStr">
        <is>
          <t>N/A</t>
        </is>
      </c>
      <c r="G146" s="29" t="inlineStr">
        <is>
          <t>8bc0dcb2a1da1b21368c5536aaeef829d587f316</t>
        </is>
      </c>
      <c r="H146" s="29" t="inlineStr">
        <is>
          <t>2026-08-02T00:00:00Z</t>
        </is>
      </c>
      <c r="I146" s="29" t="inlineStr">
        <is>
          <t>Not found</t>
        </is>
      </c>
      <c r="J146" s="29" t="inlineStr">
        <is>
          <t>Current</t>
        </is>
      </c>
      <c r="K146" s="29" t="inlineStr">
        <is>
          <t>Searched for Main member profile implementation, none found</t>
        </is>
      </c>
    </row>
    <row r="147" ht="42" customHeight="1">
      <c r="A147" s="29" t="inlineStr">
        <is>
          <t>EV-15-0002</t>
        </is>
      </c>
      <c r="B147" s="30" t="inlineStr">
        <is>
          <t>BLYP-15-002</t>
        </is>
      </c>
      <c r="C147" s="29" t="inlineStr">
        <is>
          <t>Source code</t>
        </is>
      </c>
      <c r="D147" s="29" t="inlineStr">
        <is>
          <t>Multiple</t>
        </is>
      </c>
      <c r="E147" s="29" t="inlineStr">
        <is>
          <t>N/A</t>
        </is>
      </c>
      <c r="F147" s="29" t="inlineStr">
        <is>
          <t>N/A</t>
        </is>
      </c>
      <c r="G147" s="29" t="inlineStr">
        <is>
          <t>8bc0dcb2a1da1b21368c5536aaeef829d587f316</t>
        </is>
      </c>
      <c r="H147" s="29" t="inlineStr">
        <is>
          <t>2026-08-02T00:00:00Z</t>
        </is>
      </c>
      <c r="I147" s="29" t="inlineStr">
        <is>
          <t>Not found</t>
        </is>
      </c>
      <c r="J147" s="29" t="inlineStr">
        <is>
          <t>Current</t>
        </is>
      </c>
      <c r="K147" s="29" t="inlineStr">
        <is>
          <t>Searched for Avatar implementation, none found</t>
        </is>
      </c>
    </row>
    <row r="148" ht="42" customHeight="1">
      <c r="A148" s="29" t="inlineStr">
        <is>
          <t>EV-15-0003</t>
        </is>
      </c>
      <c r="B148" s="30" t="inlineStr">
        <is>
          <t>BLYP-15-003</t>
        </is>
      </c>
      <c r="C148" s="29" t="inlineStr">
        <is>
          <t>Source code</t>
        </is>
      </c>
      <c r="D148" s="29" t="inlineStr">
        <is>
          <t>Multiple</t>
        </is>
      </c>
      <c r="E148" s="29" t="inlineStr">
        <is>
          <t>N/A</t>
        </is>
      </c>
      <c r="F148" s="29" t="inlineStr">
        <is>
          <t>N/A</t>
        </is>
      </c>
      <c r="G148" s="29" t="inlineStr">
        <is>
          <t>8bc0dcb2a1da1b21368c5536aaeef829d587f316</t>
        </is>
      </c>
      <c r="H148" s="29" t="inlineStr">
        <is>
          <t>2026-08-02T00:00:00Z</t>
        </is>
      </c>
      <c r="I148" s="29" t="inlineStr">
        <is>
          <t>Not found</t>
        </is>
      </c>
      <c r="J148" s="29" t="inlineStr">
        <is>
          <t>Current</t>
        </is>
      </c>
      <c r="K148" s="29" t="inlineStr">
        <is>
          <t>Searched for Display name implementation, none found</t>
        </is>
      </c>
    </row>
    <row r="149" ht="42" customHeight="1">
      <c r="A149" s="29" t="inlineStr">
        <is>
          <t>EV-15-0004</t>
        </is>
      </c>
      <c r="B149" s="30" t="inlineStr">
        <is>
          <t>BLYP-15-004</t>
        </is>
      </c>
      <c r="C149" s="29" t="inlineStr">
        <is>
          <t>Source code</t>
        </is>
      </c>
      <c r="D149" s="29" t="inlineStr">
        <is>
          <t>Multiple</t>
        </is>
      </c>
      <c r="E149" s="29" t="inlineStr">
        <is>
          <t>N/A</t>
        </is>
      </c>
      <c r="F149" s="29" t="inlineStr">
        <is>
          <t>N/A</t>
        </is>
      </c>
      <c r="G149" s="29" t="inlineStr">
        <is>
          <t>8bc0dcb2a1da1b21368c5536aaeef829d587f316</t>
        </is>
      </c>
      <c r="H149" s="29" t="inlineStr">
        <is>
          <t>2026-08-02T00:00:00Z</t>
        </is>
      </c>
      <c r="I149" s="29" t="inlineStr">
        <is>
          <t>Not found</t>
        </is>
      </c>
      <c r="J149" s="29" t="inlineStr">
        <is>
          <t>Current</t>
        </is>
      </c>
      <c r="K149" s="29" t="inlineStr">
        <is>
          <t>Searched for Biography implementation, none found</t>
        </is>
      </c>
    </row>
    <row r="150" ht="42" customHeight="1">
      <c r="A150" s="29" t="inlineStr">
        <is>
          <t>EV-15-0005</t>
        </is>
      </c>
      <c r="B150" s="30" t="inlineStr">
        <is>
          <t>BLYP-15-005</t>
        </is>
      </c>
      <c r="C150" s="29" t="inlineStr">
        <is>
          <t>Source code</t>
        </is>
      </c>
      <c r="D150" s="29" t="inlineStr">
        <is>
          <t>Multiple</t>
        </is>
      </c>
      <c r="E150" s="29" t="inlineStr">
        <is>
          <t>N/A</t>
        </is>
      </c>
      <c r="F150" s="29" t="inlineStr">
        <is>
          <t>N/A</t>
        </is>
      </c>
      <c r="G150" s="29" t="inlineStr">
        <is>
          <t>8bc0dcb2a1da1b21368c5536aaeef829d587f316</t>
        </is>
      </c>
      <c r="H150" s="29" t="inlineStr">
        <is>
          <t>2026-08-02T00:00:00Z</t>
        </is>
      </c>
      <c r="I150" s="29" t="inlineStr">
        <is>
          <t>Not found</t>
        </is>
      </c>
      <c r="J150" s="29" t="inlineStr">
        <is>
          <t>Current</t>
        </is>
      </c>
      <c r="K150" s="29" t="inlineStr">
        <is>
          <t>Searched for Member posts implementation, none found</t>
        </is>
      </c>
    </row>
    <row r="151" ht="42" customHeight="1">
      <c r="A151" s="29" t="inlineStr">
        <is>
          <t>EV-15-0006</t>
        </is>
      </c>
      <c r="B151" s="30" t="inlineStr">
        <is>
          <t>BLYP-15-006</t>
        </is>
      </c>
      <c r="C151" s="29" t="inlineStr">
        <is>
          <t>Source code</t>
        </is>
      </c>
      <c r="D151" s="29" t="inlineStr">
        <is>
          <t>Multiple</t>
        </is>
      </c>
      <c r="E151" s="29" t="inlineStr">
        <is>
          <t>N/A</t>
        </is>
      </c>
      <c r="F151" s="29" t="inlineStr">
        <is>
          <t>N/A</t>
        </is>
      </c>
      <c r="G151" s="29" t="inlineStr">
        <is>
          <t>8bc0dcb2a1da1b21368c5536aaeef829d587f316</t>
        </is>
      </c>
      <c r="H151" s="29" t="inlineStr">
        <is>
          <t>2026-08-02T00:00:00Z</t>
        </is>
      </c>
      <c r="I151" s="29" t="inlineStr">
        <is>
          <t>Not found</t>
        </is>
      </c>
      <c r="J151" s="29" t="inlineStr">
        <is>
          <t>Current</t>
        </is>
      </c>
      <c r="K151" s="29" t="inlineStr">
        <is>
          <t>Searched for Follower and following counts implementation, none found</t>
        </is>
      </c>
    </row>
    <row r="152" ht="42" customHeight="1">
      <c r="A152" s="29" t="inlineStr">
        <is>
          <t>EV-15-0007</t>
        </is>
      </c>
      <c r="B152" s="30" t="inlineStr">
        <is>
          <t>BLYP-15-007</t>
        </is>
      </c>
      <c r="C152" s="29" t="inlineStr">
        <is>
          <t>Source code</t>
        </is>
      </c>
      <c r="D152" s="29" t="inlineStr">
        <is>
          <t>Multiple</t>
        </is>
      </c>
      <c r="E152" s="29" t="inlineStr">
        <is>
          <t>N/A</t>
        </is>
      </c>
      <c r="F152" s="29" t="inlineStr">
        <is>
          <t>N/A</t>
        </is>
      </c>
      <c r="G152" s="29" t="inlineStr">
        <is>
          <t>8bc0dcb2a1da1b21368c5536aaeef829d587f316</t>
        </is>
      </c>
      <c r="H152" s="29" t="inlineStr">
        <is>
          <t>2026-08-02T00:00:00Z</t>
        </is>
      </c>
      <c r="I152" s="29" t="inlineStr">
        <is>
          <t>Not found</t>
        </is>
      </c>
      <c r="J152" s="29" t="inlineStr">
        <is>
          <t>Current</t>
        </is>
      </c>
      <c r="K152" s="29" t="inlineStr">
        <is>
          <t>Searched for Normal-member role implementation, none found</t>
        </is>
      </c>
    </row>
    <row r="153" ht="42" customHeight="1">
      <c r="A153" s="29" t="inlineStr">
        <is>
          <t>EV-15-0008</t>
        </is>
      </c>
      <c r="B153" s="30" t="inlineStr">
        <is>
          <t>BLYP-15-008</t>
        </is>
      </c>
      <c r="C153" s="29" t="inlineStr">
        <is>
          <t>Source code</t>
        </is>
      </c>
      <c r="D153" s="29" t="inlineStr">
        <is>
          <t>Multiple</t>
        </is>
      </c>
      <c r="E153" s="29" t="inlineStr">
        <is>
          <t>N/A</t>
        </is>
      </c>
      <c r="F153" s="29" t="inlineStr">
        <is>
          <t>N/A</t>
        </is>
      </c>
      <c r="G153" s="29" t="inlineStr">
        <is>
          <t>8bc0dcb2a1da1b21368c5536aaeef829d587f316</t>
        </is>
      </c>
      <c r="H153" s="29" t="inlineStr">
        <is>
          <t>2026-08-02T00:00:00Z</t>
        </is>
      </c>
      <c r="I153" s="29" t="inlineStr">
        <is>
          <t>Not found</t>
        </is>
      </c>
      <c r="J153" s="29" t="inlineStr">
        <is>
          <t>Current</t>
        </is>
      </c>
      <c r="K153" s="29" t="inlineStr">
        <is>
          <t>Searched for Creator role implementation, none found</t>
        </is>
      </c>
    </row>
    <row r="154" ht="42" customHeight="1">
      <c r="A154" s="29" t="inlineStr">
        <is>
          <t>EV-15-0009</t>
        </is>
      </c>
      <c r="B154" s="30" t="inlineStr">
        <is>
          <t>BLYP-15-009</t>
        </is>
      </c>
      <c r="C154" s="29" t="inlineStr">
        <is>
          <t>Source code</t>
        </is>
      </c>
      <c r="D154" s="29" t="inlineStr">
        <is>
          <t>Multiple</t>
        </is>
      </c>
      <c r="E154" s="29" t="inlineStr">
        <is>
          <t>N/A</t>
        </is>
      </c>
      <c r="F154" s="29" t="inlineStr">
        <is>
          <t>N/A</t>
        </is>
      </c>
      <c r="G154" s="29" t="inlineStr">
        <is>
          <t>8bc0dcb2a1da1b21368c5536aaeef829d587f316</t>
        </is>
      </c>
      <c r="H154" s="29" t="inlineStr">
        <is>
          <t>2026-08-02T00:00:00Z</t>
        </is>
      </c>
      <c r="I154" s="29" t="inlineStr">
        <is>
          <t>Not found</t>
        </is>
      </c>
      <c r="J154" s="29" t="inlineStr">
        <is>
          <t>Current</t>
        </is>
      </c>
      <c r="K154" s="29" t="inlineStr">
        <is>
          <t>Searched for Team role implementation, none found</t>
        </is>
      </c>
    </row>
    <row r="155" ht="42" customHeight="1">
      <c r="A155" s="29" t="inlineStr">
        <is>
          <t>EV-15-0010</t>
        </is>
      </c>
      <c r="B155" s="30" t="inlineStr">
        <is>
          <t>BLYP-15-010</t>
        </is>
      </c>
      <c r="C155" s="29" t="inlineStr">
        <is>
          <t>Source code</t>
        </is>
      </c>
      <c r="D155" s="29" t="inlineStr">
        <is>
          <t>Multiple</t>
        </is>
      </c>
      <c r="E155" s="29" t="inlineStr">
        <is>
          <t>N/A</t>
        </is>
      </c>
      <c r="F155" s="29" t="inlineStr">
        <is>
          <t>N/A</t>
        </is>
      </c>
      <c r="G155" s="29" t="inlineStr">
        <is>
          <t>8bc0dcb2a1da1b21368c5536aaeef829d587f316</t>
        </is>
      </c>
      <c r="H155" s="29" t="inlineStr">
        <is>
          <t>2026-08-02T00:00:00Z</t>
        </is>
      </c>
      <c r="I155" s="29" t="inlineStr">
        <is>
          <t>Not found</t>
        </is>
      </c>
      <c r="J155" s="29" t="inlineStr">
        <is>
          <t>Current</t>
        </is>
      </c>
      <c r="K155" s="29" t="inlineStr">
        <is>
          <t>Searched for Live role implementation, none found</t>
        </is>
      </c>
    </row>
    <row r="156" ht="42" customHeight="1">
      <c r="A156" s="29" t="inlineStr">
        <is>
          <t>EV-15-0011</t>
        </is>
      </c>
      <c r="B156" s="30" t="inlineStr">
        <is>
          <t>BLYP-15-011</t>
        </is>
      </c>
      <c r="C156" s="29" t="inlineStr">
        <is>
          <t>Source code</t>
        </is>
      </c>
      <c r="D156" s="30" t="inlineStr">
        <is>
          <t>src/screens/ProfileScreen.js</t>
        </is>
      </c>
      <c r="E156" s="29" t="inlineStr">
        <is>
          <t>ProfileScreen</t>
        </is>
      </c>
      <c r="F156" s="29" t="inlineStr">
        <is>
          <t>1-200</t>
        </is>
      </c>
      <c r="G156" s="29" t="inlineStr">
        <is>
          <t>8bc0dcb2a1da1b21368c5536aaeef829d587f316</t>
        </is>
      </c>
      <c r="H156" s="29" t="inlineStr">
        <is>
          <t>2026-08-02T00:00:00Z</t>
        </is>
      </c>
      <c r="I156" s="29" t="inlineStr">
        <is>
          <t>Present</t>
        </is>
      </c>
      <c r="J156" s="29" t="inlineStr">
        <is>
          <t>Current</t>
        </is>
      </c>
      <c r="K156" s="29" t="inlineStr">
        <is>
          <t>Profile UI component exists</t>
        </is>
      </c>
    </row>
    <row r="157" ht="42" customHeight="1">
      <c r="A157" s="29" t="inlineStr">
        <is>
          <t>EV-15-0012</t>
        </is>
      </c>
      <c r="B157" s="30" t="inlineStr">
        <is>
          <t>BLYP-15-011</t>
        </is>
      </c>
      <c r="C157" s="29" t="inlineStr">
        <is>
          <t>Source code</t>
        </is>
      </c>
      <c r="D157" s="30" t="inlineStr">
        <is>
          <t>src/screens/EditProfileScreen.js</t>
        </is>
      </c>
      <c r="E157" s="29" t="inlineStr">
        <is>
          <t>EditProfileScreen</t>
        </is>
      </c>
      <c r="F157" s="29" t="inlineStr">
        <is>
          <t>1-100</t>
        </is>
      </c>
      <c r="G157" s="29" t="inlineStr">
        <is>
          <t>8bc0dcb2a1da1b21368c5536aaeef829d587f316</t>
        </is>
      </c>
      <c r="H157" s="29" t="inlineStr">
        <is>
          <t>2026-08-02T00:00:00Z</t>
        </is>
      </c>
      <c r="I157" s="29" t="inlineStr">
        <is>
          <t>Present</t>
        </is>
      </c>
      <c r="J157" s="29" t="inlineStr">
        <is>
          <t>Current</t>
        </is>
      </c>
      <c r="K157" s="29" t="inlineStr">
        <is>
          <t>Edit Profile UI component exists</t>
        </is>
      </c>
    </row>
    <row r="158" ht="42" customHeight="1">
      <c r="A158" s="29" t="inlineStr">
        <is>
          <t>EV-15-0013</t>
        </is>
      </c>
      <c r="B158" s="30" t="inlineStr">
        <is>
          <t>BLYP-15-012</t>
        </is>
      </c>
      <c r="C158" s="29" t="inlineStr">
        <is>
          <t>Source code</t>
        </is>
      </c>
      <c r="D158" s="30" t="inlineStr">
        <is>
          <t>src/screens/ProfileScreen.js</t>
        </is>
      </c>
      <c r="E158" s="29" t="inlineStr">
        <is>
          <t>ProfileScreen</t>
        </is>
      </c>
      <c r="F158" s="29" t="inlineStr">
        <is>
          <t>1-200</t>
        </is>
      </c>
      <c r="G158" s="29" t="inlineStr">
        <is>
          <t>8bc0dcb2a1da1b21368c5536aaeef829d587f316</t>
        </is>
      </c>
      <c r="H158" s="29" t="inlineStr">
        <is>
          <t>2026-08-02T00:00:00Z</t>
        </is>
      </c>
      <c r="I158" s="29" t="inlineStr">
        <is>
          <t>Present</t>
        </is>
      </c>
      <c r="J158" s="29" t="inlineStr">
        <is>
          <t>Current</t>
        </is>
      </c>
      <c r="K158" s="29" t="inlineStr">
        <is>
          <t>Profile UI component exists</t>
        </is>
      </c>
    </row>
    <row r="159" ht="42" customHeight="1">
      <c r="A159" s="29" t="inlineStr">
        <is>
          <t>EV-15-0014</t>
        </is>
      </c>
      <c r="B159" s="30" t="inlineStr">
        <is>
          <t>BLYP-15-012</t>
        </is>
      </c>
      <c r="C159" s="29" t="inlineStr">
        <is>
          <t>Source code</t>
        </is>
      </c>
      <c r="D159" s="30" t="inlineStr">
        <is>
          <t>src/screens/EditProfileScreen.js</t>
        </is>
      </c>
      <c r="E159" s="29" t="inlineStr">
        <is>
          <t>EditProfileScreen</t>
        </is>
      </c>
      <c r="F159" s="29" t="inlineStr">
        <is>
          <t>1-100</t>
        </is>
      </c>
      <c r="G159" s="29" t="inlineStr">
        <is>
          <t>8bc0dcb2a1da1b21368c5536aaeef829d587f316</t>
        </is>
      </c>
      <c r="H159" s="29" t="inlineStr">
        <is>
          <t>2026-08-02T00:00:00Z</t>
        </is>
      </c>
      <c r="I159" s="29" t="inlineStr">
        <is>
          <t>Present</t>
        </is>
      </c>
      <c r="J159" s="29" t="inlineStr">
        <is>
          <t>Current</t>
        </is>
      </c>
      <c r="K159" s="29" t="inlineStr">
        <is>
          <t>Edit Profile UI component exists</t>
        </is>
      </c>
    </row>
    <row r="160" ht="42" customHeight="1">
      <c r="A160" s="29" t="inlineStr">
        <is>
          <t>EV-15-0015</t>
        </is>
      </c>
      <c r="B160" s="30" t="inlineStr">
        <is>
          <t>BLYP-15-013</t>
        </is>
      </c>
      <c r="C160" s="29" t="inlineStr">
        <is>
          <t>Source code</t>
        </is>
      </c>
      <c r="D160" s="30" t="inlineStr">
        <is>
          <t>src/screens/ProfileScreen.js</t>
        </is>
      </c>
      <c r="E160" s="29" t="inlineStr">
        <is>
          <t>ProfileScreen</t>
        </is>
      </c>
      <c r="F160" s="29" t="inlineStr">
        <is>
          <t>1-200</t>
        </is>
      </c>
      <c r="G160" s="29" t="inlineStr">
        <is>
          <t>8bc0dcb2a1da1b21368c5536aaeef829d587f316</t>
        </is>
      </c>
      <c r="H160" s="29" t="inlineStr">
        <is>
          <t>2026-08-02T00:00:00Z</t>
        </is>
      </c>
      <c r="I160" s="29" t="inlineStr">
        <is>
          <t>Present</t>
        </is>
      </c>
      <c r="J160" s="29" t="inlineStr">
        <is>
          <t>Current</t>
        </is>
      </c>
      <c r="K160" s="29" t="inlineStr">
        <is>
          <t>Profile UI component exists</t>
        </is>
      </c>
    </row>
    <row r="161" ht="42" customHeight="1">
      <c r="A161" s="29" t="inlineStr">
        <is>
          <t>EV-15-0016</t>
        </is>
      </c>
      <c r="B161" s="30" t="inlineStr">
        <is>
          <t>BLYP-15-013</t>
        </is>
      </c>
      <c r="C161" s="29" t="inlineStr">
        <is>
          <t>Source code</t>
        </is>
      </c>
      <c r="D161" s="30" t="inlineStr">
        <is>
          <t>src/screens/EditProfileScreen.js</t>
        </is>
      </c>
      <c r="E161" s="29" t="inlineStr">
        <is>
          <t>EditProfileScreen</t>
        </is>
      </c>
      <c r="F161" s="29" t="inlineStr">
        <is>
          <t>1-100</t>
        </is>
      </c>
      <c r="G161" s="29" t="inlineStr">
        <is>
          <t>8bc0dcb2a1da1b21368c5536aaeef829d587f316</t>
        </is>
      </c>
      <c r="H161" s="29" t="inlineStr">
        <is>
          <t>2026-08-02T00:00:00Z</t>
        </is>
      </c>
      <c r="I161" s="29" t="inlineStr">
        <is>
          <t>Present</t>
        </is>
      </c>
      <c r="J161" s="29" t="inlineStr">
        <is>
          <t>Current</t>
        </is>
      </c>
      <c r="K161" s="29" t="inlineStr">
        <is>
          <t>Edit Profile UI component exists</t>
        </is>
      </c>
    </row>
    <row r="162" ht="42" customHeight="1">
      <c r="A162" s="29" t="inlineStr">
        <is>
          <t>EV-15-0017</t>
        </is>
      </c>
      <c r="B162" s="30" t="inlineStr">
        <is>
          <t>BLYP-15-014</t>
        </is>
      </c>
      <c r="C162" s="29" t="inlineStr">
        <is>
          <t>Source code</t>
        </is>
      </c>
      <c r="D162" s="30" t="inlineStr">
        <is>
          <t>src/screens/ProfileScreen.js</t>
        </is>
      </c>
      <c r="E162" s="29" t="inlineStr">
        <is>
          <t>ProfileScreen</t>
        </is>
      </c>
      <c r="F162" s="29" t="inlineStr">
        <is>
          <t>1-200</t>
        </is>
      </c>
      <c r="G162" s="29" t="inlineStr">
        <is>
          <t>8bc0dcb2a1da1b21368c5536aaeef829d587f316</t>
        </is>
      </c>
      <c r="H162" s="29" t="inlineStr">
        <is>
          <t>2026-08-02T00:00:00Z</t>
        </is>
      </c>
      <c r="I162" s="29" t="inlineStr">
        <is>
          <t>Present</t>
        </is>
      </c>
      <c r="J162" s="29" t="inlineStr">
        <is>
          <t>Current</t>
        </is>
      </c>
      <c r="K162" s="29" t="inlineStr">
        <is>
          <t>Profile UI component exists</t>
        </is>
      </c>
    </row>
    <row r="163" ht="42" customHeight="1">
      <c r="A163" s="29" t="inlineStr">
        <is>
          <t>EV-15-0018</t>
        </is>
      </c>
      <c r="B163" s="30" t="inlineStr">
        <is>
          <t>BLYP-15-014</t>
        </is>
      </c>
      <c r="C163" s="29" t="inlineStr">
        <is>
          <t>Source code</t>
        </is>
      </c>
      <c r="D163" s="30" t="inlineStr">
        <is>
          <t>src/screens/EditProfileScreen.js</t>
        </is>
      </c>
      <c r="E163" s="29" t="inlineStr">
        <is>
          <t>EditProfileScreen</t>
        </is>
      </c>
      <c r="F163" s="29" t="inlineStr">
        <is>
          <t>1-100</t>
        </is>
      </c>
      <c r="G163" s="29" t="inlineStr">
        <is>
          <t>8bc0dcb2a1da1b21368c5536aaeef829d587f316</t>
        </is>
      </c>
      <c r="H163" s="29" t="inlineStr">
        <is>
          <t>2026-08-02T00:00:00Z</t>
        </is>
      </c>
      <c r="I163" s="29" t="inlineStr">
        <is>
          <t>Present</t>
        </is>
      </c>
      <c r="J163" s="29" t="inlineStr">
        <is>
          <t>Current</t>
        </is>
      </c>
      <c r="K163" s="29" t="inlineStr">
        <is>
          <t>Edit Profile UI component exists</t>
        </is>
      </c>
    </row>
    <row r="164" ht="42" customHeight="1">
      <c r="A164" s="29" t="inlineStr">
        <is>
          <t>EV-15-0019</t>
        </is>
      </c>
      <c r="B164" s="30" t="inlineStr">
        <is>
          <t>BLYP-15-015</t>
        </is>
      </c>
      <c r="C164" s="29" t="inlineStr">
        <is>
          <t>Source code</t>
        </is>
      </c>
      <c r="D164" s="29" t="inlineStr">
        <is>
          <t>Multiple</t>
        </is>
      </c>
      <c r="E164" s="29" t="inlineStr">
        <is>
          <t>N/A</t>
        </is>
      </c>
      <c r="F164" s="29" t="inlineStr">
        <is>
          <t>N/A</t>
        </is>
      </c>
      <c r="G164" s="29" t="inlineStr">
        <is>
          <t>8bc0dcb2a1da1b21368c5536aaeef829d587f316</t>
        </is>
      </c>
      <c r="H164" s="29" t="inlineStr">
        <is>
          <t>2026-08-02T00:00:00Z</t>
        </is>
      </c>
      <c r="I164" s="29" t="inlineStr">
        <is>
          <t>Not found</t>
        </is>
      </c>
      <c r="J164" s="29" t="inlineStr">
        <is>
          <t>Current</t>
        </is>
      </c>
      <c r="K164" s="29" t="inlineStr">
        <is>
          <t>Searched for Verification indicator implementation, none found</t>
        </is>
      </c>
    </row>
    <row r="165" ht="42" customHeight="1">
      <c r="A165" s="29" t="inlineStr">
        <is>
          <t>EV-15-0020</t>
        </is>
      </c>
      <c r="B165" s="30" t="inlineStr">
        <is>
          <t>BLYP-15-016</t>
        </is>
      </c>
      <c r="C165" s="29" t="inlineStr">
        <is>
          <t>Source code</t>
        </is>
      </c>
      <c r="D165" s="29" t="inlineStr">
        <is>
          <t>Multiple</t>
        </is>
      </c>
      <c r="E165" s="29" t="inlineStr">
        <is>
          <t>N/A</t>
        </is>
      </c>
      <c r="F165" s="29" t="inlineStr">
        <is>
          <t>N/A</t>
        </is>
      </c>
      <c r="G165" s="29" t="inlineStr">
        <is>
          <t>8bc0dcb2a1da1b21368c5536aaeef829d587f316</t>
        </is>
      </c>
      <c r="H165" s="29" t="inlineStr">
        <is>
          <t>2026-08-02T00:00:00Z</t>
        </is>
      </c>
      <c r="I165" s="29" t="inlineStr">
        <is>
          <t>Not found</t>
        </is>
      </c>
      <c r="J165" s="29" t="inlineStr">
        <is>
          <t>Current</t>
        </is>
      </c>
      <c r="K165" s="29" t="inlineStr">
        <is>
          <t>Searched for Separate Dating profile implementation, none found</t>
        </is>
      </c>
    </row>
    <row r="166" ht="42" customHeight="1">
      <c r="A166" s="29" t="inlineStr">
        <is>
          <t>EV-15-0021</t>
        </is>
      </c>
      <c r="B166" s="30" t="inlineStr">
        <is>
          <t>BLYP-15-017</t>
        </is>
      </c>
      <c r="C166" s="29" t="inlineStr">
        <is>
          <t>Source code</t>
        </is>
      </c>
      <c r="D166" s="29" t="inlineStr">
        <is>
          <t>Multiple</t>
        </is>
      </c>
      <c r="E166" s="29" t="inlineStr">
        <is>
          <t>N/A</t>
        </is>
      </c>
      <c r="F166" s="29" t="inlineStr">
        <is>
          <t>N/A</t>
        </is>
      </c>
      <c r="G166" s="29" t="inlineStr">
        <is>
          <t>8bc0dcb2a1da1b21368c5536aaeef829d587f316</t>
        </is>
      </c>
      <c r="H166" s="29" t="inlineStr">
        <is>
          <t>2026-08-02T00:00:00Z</t>
        </is>
      </c>
      <c r="I166" s="29" t="inlineStr">
        <is>
          <t>Not found</t>
        </is>
      </c>
      <c r="J166" s="29" t="inlineStr">
        <is>
          <t>Current</t>
        </is>
      </c>
      <c r="K166" s="29" t="inlineStr">
        <is>
          <t>Searched for Separate Dating photos implementation, none found</t>
        </is>
      </c>
    </row>
    <row r="167" ht="42" customHeight="1">
      <c r="A167" s="29" t="inlineStr">
        <is>
          <t>EV-15-0022</t>
        </is>
      </c>
      <c r="B167" s="30" t="inlineStr">
        <is>
          <t>BLYP-15-018</t>
        </is>
      </c>
      <c r="C167" s="29" t="inlineStr">
        <is>
          <t>Source code</t>
        </is>
      </c>
      <c r="D167" s="29" t="inlineStr">
        <is>
          <t>Multiple</t>
        </is>
      </c>
      <c r="E167" s="29" t="inlineStr">
        <is>
          <t>N/A</t>
        </is>
      </c>
      <c r="F167" s="29" t="inlineStr">
        <is>
          <t>N/A</t>
        </is>
      </c>
      <c r="G167" s="29" t="inlineStr">
        <is>
          <t>8bc0dcb2a1da1b21368c5536aaeef829d587f316</t>
        </is>
      </c>
      <c r="H167" s="29" t="inlineStr">
        <is>
          <t>2026-08-02T00:00:00Z</t>
        </is>
      </c>
      <c r="I167" s="29" t="inlineStr">
        <is>
          <t>Not found</t>
        </is>
      </c>
      <c r="J167" s="29" t="inlineStr">
        <is>
          <t>Current</t>
        </is>
      </c>
      <c r="K167" s="29" t="inlineStr">
        <is>
          <t>Searched for Separate Dating biography implementation, none found</t>
        </is>
      </c>
    </row>
    <row r="168" ht="42" customHeight="1">
      <c r="A168" s="29" t="inlineStr">
        <is>
          <t>EV-15-0023</t>
        </is>
      </c>
      <c r="B168" s="30" t="inlineStr">
        <is>
          <t>BLYP-15-019</t>
        </is>
      </c>
      <c r="C168" s="29" t="inlineStr">
        <is>
          <t>Source code</t>
        </is>
      </c>
      <c r="D168" s="29" t="inlineStr">
        <is>
          <t>Multiple</t>
        </is>
      </c>
      <c r="E168" s="29" t="inlineStr">
        <is>
          <t>N/A</t>
        </is>
      </c>
      <c r="F168" s="29" t="inlineStr">
        <is>
          <t>N/A</t>
        </is>
      </c>
      <c r="G168" s="29" t="inlineStr">
        <is>
          <t>8bc0dcb2a1da1b21368c5536aaeef829d587f316</t>
        </is>
      </c>
      <c r="H168" s="29" t="inlineStr">
        <is>
          <t>2026-08-02T00:00:00Z</t>
        </is>
      </c>
      <c r="I168" s="29" t="inlineStr">
        <is>
          <t>Not found</t>
        </is>
      </c>
      <c r="J168" s="29" t="inlineStr">
        <is>
          <t>Current</t>
        </is>
      </c>
      <c r="K168" s="29" t="inlineStr">
        <is>
          <t>Searched for Dating preferences implementation, none found</t>
        </is>
      </c>
    </row>
    <row r="169" ht="42" customHeight="1">
      <c r="A169" s="29" t="inlineStr">
        <is>
          <t>EV-15-0024</t>
        </is>
      </c>
      <c r="B169" s="30" t="inlineStr">
        <is>
          <t>BLYP-15-020</t>
        </is>
      </c>
      <c r="C169" s="29" t="inlineStr">
        <is>
          <t>Source code</t>
        </is>
      </c>
      <c r="D169" s="29" t="inlineStr">
        <is>
          <t>Multiple</t>
        </is>
      </c>
      <c r="E169" s="29" t="inlineStr">
        <is>
          <t>N/A</t>
        </is>
      </c>
      <c r="F169" s="29" t="inlineStr">
        <is>
          <t>N/A</t>
        </is>
      </c>
      <c r="G169" s="29" t="inlineStr">
        <is>
          <t>8bc0dcb2a1da1b21368c5536aaeef829d587f316</t>
        </is>
      </c>
      <c r="H169" s="29" t="inlineStr">
        <is>
          <t>2026-08-02T00:00:00Z</t>
        </is>
      </c>
      <c r="I169" s="29" t="inlineStr">
        <is>
          <t>Not found</t>
        </is>
      </c>
      <c r="J169" s="29" t="inlineStr">
        <is>
          <t>Current</t>
        </is>
      </c>
      <c r="K169" s="29" t="inlineStr">
        <is>
          <t>Searched for Dating visibility boundary implementation, none found</t>
        </is>
      </c>
    </row>
    <row r="170" ht="42" customHeight="1">
      <c r="A170" s="29" t="inlineStr">
        <is>
          <t>EV-15-0025</t>
        </is>
      </c>
      <c r="B170" s="30" t="inlineStr">
        <is>
          <t>BLYP-15-021</t>
        </is>
      </c>
      <c r="C170" s="29" t="inlineStr">
        <is>
          <t>Source code</t>
        </is>
      </c>
      <c r="D170" s="29" t="inlineStr">
        <is>
          <t>Multiple</t>
        </is>
      </c>
      <c r="E170" s="29" t="inlineStr">
        <is>
          <t>N/A</t>
        </is>
      </c>
      <c r="F170" s="29" t="inlineStr">
        <is>
          <t>N/A</t>
        </is>
      </c>
      <c r="G170" s="29" t="inlineStr">
        <is>
          <t>8bc0dcb2a1da1b21368c5536aaeef829d587f316</t>
        </is>
      </c>
      <c r="H170" s="29" t="inlineStr">
        <is>
          <t>2026-08-02T00:00:00Z</t>
        </is>
      </c>
      <c r="I170" s="29" t="inlineStr">
        <is>
          <t>Not found</t>
        </is>
      </c>
      <c r="J170" s="29" t="inlineStr">
        <is>
          <t>Current</t>
        </is>
      </c>
      <c r="K170" s="29" t="inlineStr">
        <is>
          <t>Searched for Profile visibility settings implementation, none found</t>
        </is>
      </c>
    </row>
    <row r="171" ht="42" customHeight="1">
      <c r="A171" s="29" t="inlineStr">
        <is>
          <t>EV-15-0026</t>
        </is>
      </c>
      <c r="B171" s="30" t="inlineStr">
        <is>
          <t>BLYP-15-022</t>
        </is>
      </c>
      <c r="C171" s="29" t="inlineStr">
        <is>
          <t>Source code</t>
        </is>
      </c>
      <c r="D171" s="29" t="inlineStr">
        <is>
          <t>Multiple</t>
        </is>
      </c>
      <c r="E171" s="29" t="inlineStr">
        <is>
          <t>N/A</t>
        </is>
      </c>
      <c r="F171" s="29" t="inlineStr">
        <is>
          <t>N/A</t>
        </is>
      </c>
      <c r="G171" s="29" t="inlineStr">
        <is>
          <t>8bc0dcb2a1da1b21368c5536aaeef829d587f316</t>
        </is>
      </c>
      <c r="H171" s="29" t="inlineStr">
        <is>
          <t>2026-08-02T00:00:00Z</t>
        </is>
      </c>
      <c r="I171" s="29" t="inlineStr">
        <is>
          <t>Not found</t>
        </is>
      </c>
      <c r="J171" s="29" t="inlineStr">
        <is>
          <t>Current</t>
        </is>
      </c>
      <c r="K171" s="29" t="inlineStr">
        <is>
          <t>Searched for Messaging-permission settings implementation, none found</t>
        </is>
      </c>
    </row>
    <row r="172" ht="42" customHeight="1">
      <c r="A172" s="29" t="inlineStr">
        <is>
          <t>EV-15-0027</t>
        </is>
      </c>
      <c r="B172" s="30" t="inlineStr">
        <is>
          <t>BLYP-15-023</t>
        </is>
      </c>
      <c r="C172" s="29" t="inlineStr">
        <is>
          <t>Source code</t>
        </is>
      </c>
      <c r="D172" s="29" t="inlineStr">
        <is>
          <t>Multiple</t>
        </is>
      </c>
      <c r="E172" s="29" t="inlineStr">
        <is>
          <t>N/A</t>
        </is>
      </c>
      <c r="F172" s="29" t="inlineStr">
        <is>
          <t>N/A</t>
        </is>
      </c>
      <c r="G172" s="29" t="inlineStr">
        <is>
          <t>8bc0dcb2a1da1b21368c5536aaeef829d587f316</t>
        </is>
      </c>
      <c r="H172" s="29" t="inlineStr">
        <is>
          <t>2026-08-02T00:00:00Z</t>
        </is>
      </c>
      <c r="I172" s="29" t="inlineStr">
        <is>
          <t>Not found</t>
        </is>
      </c>
      <c r="J172" s="29" t="inlineStr">
        <is>
          <t>Current</t>
        </is>
      </c>
      <c r="K172" s="29" t="inlineStr">
        <is>
          <t>Searched for Discoverability settings implementation, none found</t>
        </is>
      </c>
    </row>
    <row r="173" ht="42" customHeight="1">
      <c r="A173" s="29" t="inlineStr">
        <is>
          <t>EV-15-0028</t>
        </is>
      </c>
      <c r="B173" s="30" t="inlineStr">
        <is>
          <t>BLYP-15-024</t>
        </is>
      </c>
      <c r="C173" s="29" t="inlineStr">
        <is>
          <t>Source code</t>
        </is>
      </c>
      <c r="D173" s="29" t="inlineStr">
        <is>
          <t>Multiple</t>
        </is>
      </c>
      <c r="E173" s="29" t="inlineStr">
        <is>
          <t>N/A</t>
        </is>
      </c>
      <c r="F173" s="29" t="inlineStr">
        <is>
          <t>N/A</t>
        </is>
      </c>
      <c r="G173" s="29" t="inlineStr">
        <is>
          <t>8bc0dcb2a1da1b21368c5536aaeef829d587f316</t>
        </is>
      </c>
      <c r="H173" s="29" t="inlineStr">
        <is>
          <t>2026-08-02T00:00:00Z</t>
        </is>
      </c>
      <c r="I173" s="29" t="inlineStr">
        <is>
          <t>Not found</t>
        </is>
      </c>
      <c r="J173" s="29" t="inlineStr">
        <is>
          <t>Current</t>
        </is>
      </c>
      <c r="K173" s="29" t="inlineStr">
        <is>
          <t>Searched for Activity-status settings implementation, none found</t>
        </is>
      </c>
    </row>
    <row r="174" ht="42" customHeight="1">
      <c r="A174" s="29" t="inlineStr">
        <is>
          <t>EV-15-0029</t>
        </is>
      </c>
      <c r="B174" s="30" t="inlineStr">
        <is>
          <t>BLYP-15-025</t>
        </is>
      </c>
      <c r="C174" s="29" t="inlineStr">
        <is>
          <t>Source code</t>
        </is>
      </c>
      <c r="D174" s="29" t="inlineStr">
        <is>
          <t>Multiple</t>
        </is>
      </c>
      <c r="E174" s="29" t="inlineStr">
        <is>
          <t>N/A</t>
        </is>
      </c>
      <c r="F174" s="29" t="inlineStr">
        <is>
          <t>N/A</t>
        </is>
      </c>
      <c r="G174" s="29" t="inlineStr">
        <is>
          <t>8bc0dcb2a1da1b21368c5536aaeef829d587f316</t>
        </is>
      </c>
      <c r="H174" s="29" t="inlineStr">
        <is>
          <t>2026-08-02T00:00:00Z</t>
        </is>
      </c>
      <c r="I174" s="29" t="inlineStr">
        <is>
          <t>Not found</t>
        </is>
      </c>
      <c r="J174" s="29" t="inlineStr">
        <is>
          <t>Current</t>
        </is>
      </c>
      <c r="K174" s="29" t="inlineStr">
        <is>
          <t>Searched for Blocked-accounts management implementation, none found</t>
        </is>
      </c>
    </row>
    <row r="175" ht="42" customHeight="1">
      <c r="A175" s="29" t="inlineStr">
        <is>
          <t>EV-15-0030</t>
        </is>
      </c>
      <c r="B175" s="30" t="inlineStr">
        <is>
          <t>BLYP-15-026</t>
        </is>
      </c>
      <c r="C175" s="29" t="inlineStr">
        <is>
          <t>Source code</t>
        </is>
      </c>
      <c r="D175" s="29" t="inlineStr">
        <is>
          <t>Multiple</t>
        </is>
      </c>
      <c r="E175" s="29" t="inlineStr">
        <is>
          <t>N/A</t>
        </is>
      </c>
      <c r="F175" s="29" t="inlineStr">
        <is>
          <t>N/A</t>
        </is>
      </c>
      <c r="G175" s="29" t="inlineStr">
        <is>
          <t>8bc0dcb2a1da1b21368c5536aaeef829d587f316</t>
        </is>
      </c>
      <c r="H175" s="29" t="inlineStr">
        <is>
          <t>2026-08-02T00:00:00Z</t>
        </is>
      </c>
      <c r="I175" s="29" t="inlineStr">
        <is>
          <t>Not found</t>
        </is>
      </c>
      <c r="J175" s="29" t="inlineStr">
        <is>
          <t>Current</t>
        </is>
      </c>
      <c r="K175" s="29" t="inlineStr">
        <is>
          <t>Searched for Account-data download implementation, none found</t>
        </is>
      </c>
    </row>
    <row r="176" ht="42" customHeight="1">
      <c r="A176" s="29" t="inlineStr">
        <is>
          <t>EV-15-0031</t>
        </is>
      </c>
      <c r="B176" s="30" t="inlineStr">
        <is>
          <t>BLYP-15-027</t>
        </is>
      </c>
      <c r="C176" s="29" t="inlineStr">
        <is>
          <t>Source code</t>
        </is>
      </c>
      <c r="D176" s="29" t="inlineStr">
        <is>
          <t>Multiple</t>
        </is>
      </c>
      <c r="E176" s="29" t="inlineStr">
        <is>
          <t>N/A</t>
        </is>
      </c>
      <c r="F176" s="29" t="inlineStr">
        <is>
          <t>N/A</t>
        </is>
      </c>
      <c r="G176" s="29" t="inlineStr">
        <is>
          <t>8bc0dcb2a1da1b21368c5536aaeef829d587f316</t>
        </is>
      </c>
      <c r="H176" s="29" t="inlineStr">
        <is>
          <t>2026-08-02T00:00:00Z</t>
        </is>
      </c>
      <c r="I176" s="29" t="inlineStr">
        <is>
          <t>Not found</t>
        </is>
      </c>
      <c r="J176" s="29" t="inlineStr">
        <is>
          <t>Current</t>
        </is>
      </c>
      <c r="K176" s="29" t="inlineStr">
        <is>
          <t>Searched for Account deletion implementation, none found</t>
        </is>
      </c>
    </row>
    <row r="177" ht="42" customHeight="1">
      <c r="A177" s="29" t="inlineStr">
        <is>
          <t>EV-15-0032</t>
        </is>
      </c>
      <c r="B177" s="30" t="inlineStr">
        <is>
          <t>BLYP-15-028</t>
        </is>
      </c>
      <c r="C177" s="29" t="inlineStr">
        <is>
          <t>Architecture</t>
        </is>
      </c>
      <c r="D177" s="29" t="inlineStr">
        <is>
          <t>architecture_base.json</t>
        </is>
      </c>
      <c r="E177" s="29" t="inlineStr">
        <is>
          <t>AWS Cognito identity</t>
        </is>
      </c>
      <c r="F177" s="29" t="inlineStr">
        <is>
          <t>1-10</t>
        </is>
      </c>
      <c r="G177" s="29" t="inlineStr">
        <is>
          <t>8bc0dcb2a1da1b21368c5536aaeef829d587f316</t>
        </is>
      </c>
      <c r="H177" s="29" t="inlineStr">
        <is>
          <t>2026-08-02T00:00:00Z</t>
        </is>
      </c>
      <c r="I177" s="29" t="inlineStr">
        <is>
          <t>Present</t>
        </is>
      </c>
      <c r="J177" s="29" t="inlineStr">
        <is>
          <t>Current</t>
        </is>
      </c>
      <c r="K177" s="29" t="inlineStr">
        <is>
          <t>Cognito is used for backend identity</t>
        </is>
      </c>
    </row>
    <row r="178" ht="42" customHeight="1">
      <c r="A178" s="29" t="inlineStr">
        <is>
          <t>EV-15-0033</t>
        </is>
      </c>
      <c r="B178" s="30" t="inlineStr">
        <is>
          <t>BLYP-15-028</t>
        </is>
      </c>
      <c r="C178" s="29" t="inlineStr">
        <is>
          <t>Architecture</t>
        </is>
      </c>
      <c r="D178" s="29" t="inlineStr">
        <is>
          <t>architecture_base.json</t>
        </is>
      </c>
      <c r="E178" s="29" t="inlineStr">
        <is>
          <t>Firebase compatibility layer</t>
        </is>
      </c>
      <c r="F178" s="29" t="inlineStr">
        <is>
          <t>1-10</t>
        </is>
      </c>
      <c r="G178" s="29" t="inlineStr">
        <is>
          <t>8bc0dcb2a1da1b21368c5536aaeef829d587f316</t>
        </is>
      </c>
      <c r="H178" s="29" t="inlineStr">
        <is>
          <t>2026-08-02T00:00:00Z</t>
        </is>
      </c>
      <c r="I178" s="29" t="inlineStr">
        <is>
          <t>Present</t>
        </is>
      </c>
      <c r="J178" s="29" t="inlineStr">
        <is>
          <t>Current</t>
        </is>
      </c>
      <c r="K178" s="29" t="inlineStr">
        <is>
          <t>Firebase Auth is also present</t>
        </is>
      </c>
    </row>
    <row r="179" ht="42" customHeight="1">
      <c r="A179" s="29" t="inlineStr">
        <is>
          <t>EV-16-0001</t>
        </is>
      </c>
      <c r="B179" s="30" t="inlineStr">
        <is>
          <t>BLYP-16-001</t>
        </is>
      </c>
      <c r="C179" s="29" t="inlineStr">
        <is>
          <t>Source code</t>
        </is>
      </c>
      <c r="D179" s="30" t="inlineStr">
        <is>
          <t>src/screens/ReviewScreen.js</t>
        </is>
      </c>
      <c r="E179" s="29" t="inlineStr">
        <is>
          <t>handleSaveAsDraft</t>
        </is>
      </c>
      <c r="F179" s="29" t="inlineStr">
        <is>
          <t>222-261</t>
        </is>
      </c>
      <c r="G179" s="29" t="inlineStr">
        <is>
          <t>8bc0dcb2a1da1b21368c5536aaeef829d587f316</t>
        </is>
      </c>
      <c r="H179" s="29" t="inlineStr">
        <is>
          <t>2026-08-02T00:00:00Z</t>
        </is>
      </c>
      <c r="I179" s="29" t="inlineStr">
        <is>
          <t>Supports</t>
        </is>
      </c>
      <c r="J179" s="29" t="inlineStr">
        <is>
          <t>Current revision</t>
        </is>
      </c>
      <c r="K179" s="29" t="inlineStr">
        <is>
          <t>handleSaveAsDraft writes {userId, type:'draft', mediaItems, caption, manualDescription, createdAt, updatedAt} to firestore.collection('drafts'). This proves a manual 'Save as Draft' action exists on ReviewScreen. It does NOT prove auto-save on navigation-away or background persistence.</t>
        </is>
      </c>
    </row>
    <row r="180" ht="42" customHeight="1">
      <c r="A180" s="29" t="inlineStr">
        <is>
          <t>EV-16-0002</t>
        </is>
      </c>
      <c r="B180" s="30" t="inlineStr">
        <is>
          <t>BLYP-16-001</t>
        </is>
      </c>
      <c r="C180" s="29" t="inlineStr">
        <is>
          <t>Source code</t>
        </is>
      </c>
      <c r="D180" s="30" t="inlineStr">
        <is>
          <t>src/screens/ReviewScreen.js</t>
        </is>
      </c>
      <c r="E180" s="29" t="inlineStr">
        <is>
          <t>handleBackNavigation / hasUnsavedContent</t>
        </is>
      </c>
      <c r="F180" s="29" t="inlineStr">
        <is>
          <t>212-219</t>
        </is>
      </c>
      <c r="G180" s="29" t="inlineStr">
        <is>
          <t>8bc0dcb2a1da1b21368c5536aaeef829d587f316</t>
        </is>
      </c>
      <c r="H180" s="29" t="inlineStr">
        <is>
          <t>2026-08-02T00:00:00Z</t>
        </is>
      </c>
      <c r="I180" s="29" t="inlineStr">
        <is>
          <t>Supports</t>
        </is>
      </c>
      <c r="J180" s="29" t="inlineStr">
        <is>
          <t>Current revision</t>
        </is>
      </c>
      <c r="K180" s="29" t="inlineStr">
        <is>
          <t>handleBackNavigation calls hasUnsavedContent() and shows a confirmation modal offering 'Save as Draft' before leaving. Proves the draft-save prompt exists on back navigation. Does NOT prove automatic background draft creation.</t>
        </is>
      </c>
    </row>
    <row r="181" ht="42" customHeight="1">
      <c r="A181" s="29" t="inlineStr">
        <is>
          <t>EV-16-0003</t>
        </is>
      </c>
      <c r="B181" s="30" t="inlineStr">
        <is>
          <t>BLYP-16-002</t>
        </is>
      </c>
      <c r="C181" s="29" t="inlineStr">
        <is>
          <t>Source code</t>
        </is>
      </c>
      <c r="D181" s="30" t="inlineStr">
        <is>
          <t>src/screens/ProfileScreen.js</t>
        </is>
      </c>
      <c r="E181" s="29" t="inlineStr">
        <is>
          <t>renderTabContent case '3'</t>
        </is>
      </c>
      <c r="F181" s="29" t="inlineStr">
        <is>
          <t>160</t>
        </is>
      </c>
      <c r="G181" s="29" t="inlineStr">
        <is>
          <t>8bc0dcb2a1da1b21368c5536aaeef829d587f316</t>
        </is>
      </c>
      <c r="H181" s="29" t="inlineStr">
        <is>
          <t>2026-08-02T00:00:00Z</t>
        </is>
      </c>
      <c r="I181" s="29" t="inlineStr">
        <is>
          <t>Supports</t>
        </is>
      </c>
      <c r="J181" s="29" t="inlineStr">
        <is>
          <t>Current revision</t>
        </is>
      </c>
      <c r="K181" s="29" t="inlineStr">
        <is>
          <t>ProfileScreen tab '3' renders a 'coming soon' placeholder with text 'Your saved drafts will appear here'. A Drafts tab exists in the navigation but the list is not implemented – no Firestore query for drafts collection. This proves the tab entry point is present but the screen is a stub.</t>
        </is>
      </c>
    </row>
    <row r="182" ht="42" customHeight="1">
      <c r="A182" s="29" t="inlineStr">
        <is>
          <t>EV-16-0004</t>
        </is>
      </c>
      <c r="B182" s="30" t="inlineStr">
        <is>
          <t>BLYP-16-003</t>
        </is>
      </c>
      <c r="C182" s="29" t="inlineStr">
        <is>
          <t>Source code</t>
        </is>
      </c>
      <c r="D182" s="30" t="inlineStr">
        <is>
          <t>src/screens/ReviewScreen.js</t>
        </is>
      </c>
      <c r="E182" s="29" t="inlineStr">
        <is>
          <t>isUploading state / Modal visible={isUploading}</t>
        </is>
      </c>
      <c r="F182" s="29" t="inlineStr">
        <is>
          <t>64; 2702-2714; 2853</t>
        </is>
      </c>
      <c r="G182" s="29" t="inlineStr">
        <is>
          <t>8bc0dcb2a1da1b21368c5536aaeef829d587f316</t>
        </is>
      </c>
      <c r="H182" s="29" t="inlineStr">
        <is>
          <t>2026-08-02T00:00:00Z</t>
        </is>
      </c>
      <c r="I182" s="29" t="inlineStr">
        <is>
          <t>Supports</t>
        </is>
      </c>
      <c r="J182" s="29" t="inlineStr">
        <is>
          <t>Current revision</t>
        </is>
      </c>
      <c r="K182" s="29" t="inlineStr">
        <is>
          <t>isUploading state is set true at start of handlePost and false on completion. Post button is disabled and a Modal overlay is shown while isUploading is true. Proves a blocking upload-in-progress indicator exists. Does NOT prove byte-level progress percentage display.</t>
        </is>
      </c>
    </row>
    <row r="183" ht="42" customHeight="1">
      <c r="A183" s="29" t="inlineStr">
        <is>
          <t>EV-16-0005</t>
        </is>
      </c>
      <c r="B183" s="30" t="inlineStr">
        <is>
          <t>BLYP-16-004</t>
        </is>
      </c>
      <c r="C183" s="29" t="inlineStr">
        <is>
          <t>Source code</t>
        </is>
      </c>
      <c r="D183" s="30" t="inlineStr">
        <is>
          <t>src/screens/ReviewScreen.js</t>
        </is>
      </c>
      <c r="E183" s="29" t="inlineStr">
        <is>
          <t>uploadError catch block / Alert 'Skip This Media'</t>
        </is>
      </c>
      <c r="F183" s="29" t="inlineStr">
        <is>
          <t>1902-1934</t>
        </is>
      </c>
      <c r="G183" s="29" t="inlineStr">
        <is>
          <t>8bc0dcb2a1da1b21368c5536aaeef829d587f316</t>
        </is>
      </c>
      <c r="H183" s="29" t="inlineStr">
        <is>
          <t>2026-08-02T00:00:00Z</t>
        </is>
      </c>
      <c r="I183" s="29" t="inlineStr">
        <is>
          <t>Supports</t>
        </is>
      </c>
      <c r="J183" s="29" t="inlineStr">
        <is>
          <t>Current revision</t>
        </is>
      </c>
      <c r="K183" s="29" t="inlineStr">
        <is>
          <t>On upload failure an Alert is shown with 'Cancel All' / 'Skip This Media'. No automatic background retry logic is present; the user must manually decide. Proves a failure-recovery prompt exists but NOT background retry.</t>
        </is>
      </c>
    </row>
    <row r="184" ht="42" customHeight="1">
      <c r="A184" s="29" t="inlineStr">
        <is>
          <t>EV-16-0006</t>
        </is>
      </c>
      <c r="B184" s="30" t="inlineStr">
        <is>
          <t>BLYP-16-004</t>
        </is>
      </c>
      <c r="C184" s="29" t="inlineStr">
        <is>
          <t>Source code</t>
        </is>
      </c>
      <c r="D184" s="30" t="inlineStr">
        <is>
          <t>src/screens/ReviewScreen.js</t>
        </is>
      </c>
      <c r="E184" s="29" t="inlineStr">
        <is>
          <t>uploadBytes with 60-second timeout</t>
        </is>
      </c>
      <c r="F184" s="29" t="inlineStr">
        <is>
          <t>1767-1769</t>
        </is>
      </c>
      <c r="G184" s="29" t="inlineStr">
        <is>
          <t>8bc0dcb2a1da1b21368c5536aaeef829d587f316</t>
        </is>
      </c>
      <c r="H184" s="29" t="inlineStr">
        <is>
          <t>2026-08-02T00:00:00Z</t>
        </is>
      </c>
      <c r="I184" s="29" t="inlineStr">
        <is>
          <t>Supports</t>
        </is>
      </c>
      <c r="J184" s="29" t="inlineStr">
        <is>
          <t>Current revision</t>
        </is>
      </c>
      <c r="K184" s="29" t="inlineStr">
        <is>
          <t>uploadMedia wraps uploadBytes in a Promise.race with a 60-second timeout. Proves a timeout guard exists. Does NOT prove automatic background retry.</t>
        </is>
      </c>
    </row>
    <row r="185" ht="42" customHeight="1">
      <c r="A185" s="29" t="inlineStr">
        <is>
          <t>EV-16-0007</t>
        </is>
      </c>
      <c r="B185" s="30" t="inlineStr">
        <is>
          <t>BLYP-16-005</t>
        </is>
      </c>
      <c r="C185" s="29" t="inlineStr">
        <is>
          <t>Source code</t>
        </is>
      </c>
      <c r="D185" s="30" t="inlineStr">
        <is>
          <t>src/screens/ReviewScreen.js</t>
        </is>
      </c>
      <c r="E185" s="29" t="inlineStr">
        <is>
          <t>mediaItemPreview / modalMediaPreview styles</t>
        </is>
      </c>
      <c r="F185" s="29" t="inlineStr">
        <is>
          <t>2283; styles.mediaItemPreview; styles.mediaPreview</t>
        </is>
      </c>
      <c r="G185" s="29" t="inlineStr">
        <is>
          <t>8bc0dcb2a1da1b21368c5536aaeef829d587f316</t>
        </is>
      </c>
      <c r="H185" s="29" t="inlineStr">
        <is>
          <t>2026-08-02T00:00:00Z</t>
        </is>
      </c>
      <c r="I185" s="29" t="inlineStr">
        <is>
          <t>Supports</t>
        </is>
      </c>
      <c r="J185" s="29" t="inlineStr">
        <is>
          <t>Current revision</t>
        </is>
      </c>
      <c r="K185" s="29" t="inlineStr">
        <is>
          <t>ReviewScreen renders mediaItems array with Image components using styles.mediaItemPreview and styles.mediaPreview. A modal media viewer is also present. Proves photo preview UI components exist on ReviewScreen.</t>
        </is>
      </c>
    </row>
    <row r="186" ht="42" customHeight="1">
      <c r="A186" s="29" t="inlineStr">
        <is>
          <t>EV-16-0008</t>
        </is>
      </c>
      <c r="B186" s="30" t="inlineStr">
        <is>
          <t>BLYP-16-005</t>
        </is>
      </c>
      <c r="C186" s="29" t="inlineStr">
        <is>
          <t>Source code</t>
        </is>
      </c>
      <c r="D186" s="30" t="inlineStr">
        <is>
          <t>src/screens/CameraScreen.js</t>
        </is>
      </c>
      <c r="E186" s="29" t="inlineStr">
        <is>
          <t>capturedPhotos.map / finishPhotoCapture</t>
        </is>
      </c>
      <c r="F186" s="29" t="inlineStr">
        <is>
          <t>646-667</t>
        </is>
      </c>
      <c r="G186" s="29" t="inlineStr">
        <is>
          <t>8bc0dcb2a1da1b21368c5536aaeef829d587f316</t>
        </is>
      </c>
      <c r="H186" s="29" t="inlineStr">
        <is>
          <t>2026-08-02T00:00:00Z</t>
        </is>
      </c>
      <c r="I186" s="29" t="inlineStr">
        <is>
          <t>Supports</t>
        </is>
      </c>
      <c r="J186" s="29" t="inlineStr">
        <is>
          <t>Current revision</t>
        </is>
      </c>
      <c r="K186" s="29" t="inlineStr">
        <is>
          <t>CameraScreen renders thumbnails of capturedPhotos array inline. Proves a photo strip preview is shown after capture.</t>
        </is>
      </c>
    </row>
    <row r="187" ht="42" customHeight="1">
      <c r="A187" s="29" t="inlineStr">
        <is>
          <t>EV-16-0009</t>
        </is>
      </c>
      <c r="B187" s="30" t="inlineStr">
        <is>
          <t>BLYP-16-006</t>
        </is>
      </c>
      <c r="C187" s="29" t="inlineStr">
        <is>
          <t>Source code</t>
        </is>
      </c>
      <c r="D187" s="30" t="inlineStr">
        <is>
          <t>src/screens/ReviewScreen.js</t>
        </is>
      </c>
      <c r="E187" s="29" t="inlineStr">
        <is>
          <t>import UnifiedVideo / handleTakeVideo</t>
        </is>
      </c>
      <c r="F187" s="29" t="inlineStr">
        <is>
          <t>import line; 1707-1728</t>
        </is>
      </c>
      <c r="G187" s="29" t="inlineStr">
        <is>
          <t>8bc0dcb2a1da1b21368c5536aaeef829d587f316</t>
        </is>
      </c>
      <c r="H187" s="29" t="inlineStr">
        <is>
          <t>2026-08-02T00:00:00Z</t>
        </is>
      </c>
      <c r="I187" s="29" t="inlineStr">
        <is>
          <t>Supports</t>
        </is>
      </c>
      <c r="J187" s="29" t="inlineStr">
        <is>
          <t>Current revision</t>
        </is>
      </c>
      <c r="K187" s="29" t="inlineStr">
        <is>
          <t>ReviewScreen imports UnifiedVideo component and adds video mediaItems to the mediaItems array. The media preview section renders UnifiedVideo for type='video'. Proves video preview component is wired in ReviewScreen.</t>
        </is>
      </c>
    </row>
    <row r="188" ht="42" customHeight="1">
      <c r="A188" s="29" t="inlineStr">
        <is>
          <t>EV-16-0010</t>
        </is>
      </c>
      <c r="B188" s="30" t="inlineStr">
        <is>
          <t>BLYP-16-007</t>
        </is>
      </c>
      <c r="C188" s="29" t="inlineStr">
        <is>
          <t>Source code</t>
        </is>
      </c>
      <c r="D188" s="30" t="inlineStr">
        <is>
          <t>src/screens/CameraScreen.js</t>
        </is>
      </c>
      <c r="E188" s="29" t="inlineStr">
        <is>
          <t>useSystemVideoRecording / allowsEditing: false</t>
        </is>
      </c>
      <c r="F188" s="29" t="inlineStr">
        <is>
          <t>309</t>
        </is>
      </c>
      <c r="G188" s="29" t="inlineStr">
        <is>
          <t>8bc0dcb2a1da1b21368c5536aaeef829d587f316</t>
        </is>
      </c>
      <c r="H188" s="29" t="inlineStr">
        <is>
          <t>2026-08-02T00:00:00Z</t>
        </is>
      </c>
      <c r="I188" s="29" t="inlineStr">
        <is>
          <t>Contradicts</t>
        </is>
      </c>
      <c r="J188" s="29" t="inlineStr">
        <is>
          <t>Current revision</t>
        </is>
      </c>
      <c r="K188" s="29" t="inlineStr">
        <is>
          <t>ImagePicker.launchCameraAsync is called with allowsEditing: false, explicitly disabling the system trim/edit UI. No other trim implementation found in source. Proves trimming is intentionally disabled.</t>
        </is>
      </c>
    </row>
    <row r="189" ht="42" customHeight="1">
      <c r="A189" s="29" t="inlineStr">
        <is>
          <t>EV-16-0011</t>
        </is>
      </c>
      <c r="B189" s="30" t="inlineStr">
        <is>
          <t>BLYP-16-008</t>
        </is>
      </c>
      <c r="C189" s="29" t="inlineStr">
        <is>
          <t>Source code</t>
        </is>
      </c>
      <c r="D189" s="30" t="inlineStr">
        <is>
          <t>src/screens/ReviewScreen.js</t>
        </is>
      </c>
      <c r="E189" s="29" t="inlineStr">
        <is>
          <t>VideoThumbnails.getThumbnailAsync / uploadBytes thumbRef</t>
        </is>
      </c>
      <c r="F189" s="29" t="inlineStr">
        <is>
          <t>1775-1833</t>
        </is>
      </c>
      <c r="G189" s="29" t="inlineStr">
        <is>
          <t>8bc0dcb2a1da1b21368c5536aaeef829d587f316</t>
        </is>
      </c>
      <c r="H189" s="29" t="inlineStr">
        <is>
          <t>2026-08-02T00:00:00Z</t>
        </is>
      </c>
      <c r="I189" s="29" t="inlineStr">
        <is>
          <t>Supports</t>
        </is>
      </c>
      <c r="J189" s="29" t="inlineStr">
        <is>
          <t>Current revision</t>
        </is>
      </c>
      <c r="K189" s="29" t="inlineStr">
        <is>
          <t>uploadMedia calls VideoThumbnails.getThumbnailAsync at 1-second mark with 10-second timeout, uploads the thumbnail to Firebase Storage, and stores the URL in the post document. Proves automatic thumbnail generation and upload. No user thumbnail selection UI found – selection is not implemented.</t>
        </is>
      </c>
    </row>
    <row r="190" ht="42" customHeight="1">
      <c r="A190" s="29" t="inlineStr">
        <is>
          <t>EV-16-0012</t>
        </is>
      </c>
      <c r="B190" s="30" t="inlineStr">
        <is>
          <t>BLYP-16-009</t>
        </is>
      </c>
      <c r="C190" s="29" t="inlineStr">
        <is>
          <t>Source code</t>
        </is>
      </c>
      <c r="D190" s="30" t="inlineStr">
        <is>
          <t>src/screens/CameraScreen.js</t>
        </is>
      </c>
      <c r="E190" s="29" t="inlineStr">
        <is>
          <t>capturedPhotos / isMultiPhotoMode / finishPhotoCapture</t>
        </is>
      </c>
      <c r="F190" s="29" t="inlineStr">
        <is>
          <t>25-26; 186-198; 251-263</t>
        </is>
      </c>
      <c r="G190" s="29" t="inlineStr">
        <is>
          <t>8bc0dcb2a1da1b21368c5536aaeef829d587f316</t>
        </is>
      </c>
      <c r="H190" s="29" t="inlineStr">
        <is>
          <t>2026-08-02T00:00:00Z</t>
        </is>
      </c>
      <c r="I190" s="29" t="inlineStr">
        <is>
          <t>Supports</t>
        </is>
      </c>
      <c r="J190" s="29" t="inlineStr">
        <is>
          <t>Current revision</t>
        </is>
      </c>
      <c r="K190" s="29" t="inlineStr">
        <is>
          <t>CameraScreen accumulates photos in capturedPhotos array, enables isMultiPhotoMode after first photo, and navigates to Review with the full array via finishPhotoCapture. Gallery also supports multiple selection (selectionLimit: 10). Proves multi-photo capture and selection are implemented.</t>
        </is>
      </c>
    </row>
    <row r="191" ht="42" customHeight="1">
      <c r="A191" s="29" t="inlineStr">
        <is>
          <t>EV-16-0013</t>
        </is>
      </c>
      <c r="B191" s="30" t="inlineStr">
        <is>
          <t>BLYP-16-009</t>
        </is>
      </c>
      <c r="C191" s="29" t="inlineStr">
        <is>
          <t>Source code</t>
        </is>
      </c>
      <c r="D191" s="30" t="inlineStr">
        <is>
          <t>src/screens/ReviewScreen.js</t>
        </is>
      </c>
      <c r="E191" s="29" t="inlineStr">
        <is>
          <t>mediaItems array / uploadedMedia loop</t>
        </is>
      </c>
      <c r="F191" s="29" t="inlineStr">
        <is>
          <t>1892-1938; 1969</t>
        </is>
      </c>
      <c r="G191" s="29" t="inlineStr">
        <is>
          <t>8bc0dcb2a1da1b21368c5536aaeef829d587f316</t>
        </is>
      </c>
      <c r="H191" s="29" t="inlineStr">
        <is>
          <t>2026-08-02T00:00:00Z</t>
        </is>
      </c>
      <c r="I191" s="29" t="inlineStr">
        <is>
          <t>Supports</t>
        </is>
      </c>
      <c r="J191" s="29" t="inlineStr">
        <is>
          <t>Current revision</t>
        </is>
      </c>
      <c r="K191" s="29" t="inlineStr">
        <is>
          <t>handlePost iterates mediaItems and uploads each, storing results in uploadedMedia array which is written to the post document as media:[]. Proves multi-photo upload and Firestore write are implemented.</t>
        </is>
      </c>
    </row>
    <row r="192" ht="42" customHeight="1">
      <c r="A192" s="29" t="inlineStr">
        <is>
          <t>EV-16-0014</t>
        </is>
      </c>
      <c r="B192" s="30" t="inlineStr">
        <is>
          <t>BLYP-16-010</t>
        </is>
      </c>
      <c r="C192" s="29" t="inlineStr">
        <is>
          <t>Source code</t>
        </is>
      </c>
      <c r="D192" s="30" t="inlineStr">
        <is>
          <t>src/screens/ReviewScreen.js</t>
        </is>
      </c>
      <c r="E192" s="29" t="inlineStr">
        <is>
          <t>hasAudio / postType='audio' / audioUrl</t>
        </is>
      </c>
      <c r="F192" s="29" t="inlineStr">
        <is>
          <t>1944-1951; 1973</t>
        </is>
      </c>
      <c r="G192" s="29" t="inlineStr">
        <is>
          <t>8bc0dcb2a1da1b21368c5536aaeef829d587f316</t>
        </is>
      </c>
      <c r="H192" s="29" t="inlineStr">
        <is>
          <t>2026-08-02T00:00:00Z</t>
        </is>
      </c>
      <c r="I192" s="29" t="inlineStr">
        <is>
          <t>Supports</t>
        </is>
      </c>
      <c r="J192" s="29" t="inlineStr">
        <is>
          <t>Current revision</t>
        </is>
      </c>
      <c r="K192" s="29" t="inlineStr">
        <is>
          <t>handlePost derives postType='audio' when hasAudio is true and writes audioUrl to the post document. Audio recording uses expo-av. Proves audio-only post type is handled in the publish path.</t>
        </is>
      </c>
    </row>
    <row r="193" ht="42" customHeight="1">
      <c r="A193" s="29" t="inlineStr">
        <is>
          <t>EV-16-0015</t>
        </is>
      </c>
      <c r="B193" s="30" t="inlineStr">
        <is>
          <t>BLYP-16-010</t>
        </is>
      </c>
      <c r="C193" s="29" t="inlineStr">
        <is>
          <t>Source code</t>
        </is>
      </c>
      <c r="D193" s="30" t="inlineStr">
        <is>
          <t>src/screens/VoiceMemoScreen.js</t>
        </is>
      </c>
      <c r="E193" s="29" t="inlineStr">
        <is>
          <t>VoiceMemoScreen</t>
        </is>
      </c>
      <c r="F193" s="29" t="inlineStr">
        <is>
          <t>1-end</t>
        </is>
      </c>
      <c r="G193" s="29" t="inlineStr">
        <is>
          <t>8bc0dcb2a1da1b21368c5536aaeef829d587f316</t>
        </is>
      </c>
      <c r="H193" s="29" t="inlineStr">
        <is>
          <t>2026-08-02T00:00:00Z</t>
        </is>
      </c>
      <c r="I193" s="29" t="inlineStr">
        <is>
          <t>Supports</t>
        </is>
      </c>
      <c r="J193" s="29" t="inlineStr">
        <is>
          <t>Current revision</t>
        </is>
      </c>
      <c r="K193" s="29" t="inlineStr">
        <is>
          <t>VoiceMemoScreen.js exists and provides a dedicated audio recording UI. Proves a dedicated audio-capture screen is present.</t>
        </is>
      </c>
    </row>
    <row r="194" ht="42" customHeight="1">
      <c r="A194" s="29" t="inlineStr">
        <is>
          <t>EV-16-0016</t>
        </is>
      </c>
      <c r="B194" s="30" t="inlineStr">
        <is>
          <t>BLYP-16-011</t>
        </is>
      </c>
      <c r="C194" s="29" t="inlineStr">
        <is>
          <t>Source code</t>
        </is>
      </c>
      <c r="D194" s="30" t="inlineStr">
        <is>
          <t>src/screens/ReviewScreen.js</t>
        </is>
      </c>
      <c r="E194" s="29" t="inlineStr">
        <is>
          <t>caption / transcript / aiCaption states</t>
        </is>
      </c>
      <c r="F194" s="29" t="inlineStr">
        <is>
          <t>caption state; 1963-1966</t>
        </is>
      </c>
      <c r="G194" s="29" t="inlineStr">
        <is>
          <t>8bc0dcb2a1da1b21368c5536aaeef829d587f316</t>
        </is>
      </c>
      <c r="H194" s="29" t="inlineStr">
        <is>
          <t>2026-08-02T00:00:00Z</t>
        </is>
      </c>
      <c r="I194" s="29" t="inlineStr">
        <is>
          <t>Supports</t>
        </is>
      </c>
      <c r="J194" s="29" t="inlineStr">
        <is>
          <t>Current revision</t>
        </is>
      </c>
      <c r="K194" s="29" t="inlineStr">
        <is>
          <t>ReviewScreen stores caption, transcript, and aiCaption. The post document includes caption, transcript, and description fields. Proves text captions are written to posts. Does NOT prove these fields are used as accessibility alt-text or closed captions in any media player.</t>
        </is>
      </c>
    </row>
    <row r="195" ht="42" customHeight="1">
      <c r="A195" s="29" t="inlineStr">
        <is>
          <t>EV-16-0017</t>
        </is>
      </c>
      <c r="B195" s="30" t="inlineStr">
        <is>
          <t>BLYP-16-012</t>
        </is>
      </c>
      <c r="C195" s="29" t="inlineStr">
        <is>
          <t>Source code</t>
        </is>
      </c>
      <c r="D195" s="30" t="inlineStr">
        <is>
          <t>src/screens/ReviewScreen.js</t>
        </is>
      </c>
      <c r="E195" s="29" t="inlineStr">
        <is>
          <t>selectedPlatforms / sharedTo field</t>
        </is>
      </c>
      <c r="F195" s="29" t="inlineStr">
        <is>
          <t>69-74; 1982</t>
        </is>
      </c>
      <c r="G195" s="29" t="inlineStr">
        <is>
          <t>8bc0dcb2a1da1b21368c5536aaeef829d587f316</t>
        </is>
      </c>
      <c r="H195" s="29" t="inlineStr">
        <is>
          <t>2026-08-02T00:00:00Z</t>
        </is>
      </c>
      <c r="I195" s="29" t="inlineStr">
        <is>
          <t>Supports</t>
        </is>
      </c>
      <c r="J195" s="29" t="inlineStr">
        <is>
          <t>Current revision</t>
        </is>
      </c>
      <c r="K195" s="29" t="inlineStr">
        <is>
          <t>selectedPlatforms state tracks facebook/instagram/tiktok/youtube toggles. sharedTo is written to the post document. Proves platform-sharing selection exists. No visibility (public/private/followers-only) field found in postData – audience restriction controls are not evidenced.</t>
        </is>
      </c>
    </row>
    <row r="196" ht="42" customHeight="1">
      <c r="A196" s="29" t="inlineStr">
        <is>
          <t>EV-16-0018</t>
        </is>
      </c>
      <c r="B196" s="30" t="inlineStr">
        <is>
          <t>BLYP-16-013</t>
        </is>
      </c>
      <c r="C196" s="29" t="inlineStr">
        <is>
          <t>Source code</t>
        </is>
      </c>
      <c r="D196" s="30" t="inlineStr">
        <is>
          <t>src/screens/ReviewScreen.js</t>
        </is>
      </c>
      <c r="E196" s="29" t="inlineStr">
        <is>
          <t>caption text input</t>
        </is>
      </c>
      <c r="F196" s="29" t="inlineStr">
        <is>
          <t>caption state; extractHashtags</t>
        </is>
      </c>
      <c r="G196" s="29" t="inlineStr">
        <is>
          <t>8bc0dcb2a1da1b21368c5536aaeef829d587f316</t>
        </is>
      </c>
      <c r="H196" s="29" t="inlineStr">
        <is>
          <t>2026-08-02T00:00:00Z</t>
        </is>
      </c>
      <c r="I196" s="29" t="inlineStr">
        <is>
          <t>Supports</t>
        </is>
      </c>
      <c r="J196" s="29" t="inlineStr">
        <is>
          <t>Current revision</t>
        </is>
      </c>
      <c r="K196" s="29" t="inlineStr">
        <is>
          <t>Caption is a free-text input. No @mention parsing, autocomplete, or user-existence validation found in ReviewScreen or any service file. Proves mentions can be typed but are not validated.</t>
        </is>
      </c>
    </row>
    <row r="197" ht="42" customHeight="1">
      <c r="A197" s="29" t="inlineStr">
        <is>
          <t>EV-16-0019</t>
        </is>
      </c>
      <c r="B197" s="30" t="inlineStr">
        <is>
          <t>BLYP-16-014</t>
        </is>
      </c>
      <c r="C197" s="29" t="inlineStr">
        <is>
          <t>Source code</t>
        </is>
      </c>
      <c r="D197" s="30" t="inlineStr">
        <is>
          <t>src/screens/ReviewScreen.js</t>
        </is>
      </c>
      <c r="E197" s="29" t="inlineStr">
        <is>
          <t>extractHashtags / generatedHashtags</t>
        </is>
      </c>
      <c r="F197" s="29" t="inlineStr">
        <is>
          <t>2173-2178; 1967</t>
        </is>
      </c>
      <c r="G197" s="29" t="inlineStr">
        <is>
          <t>8bc0dcb2a1da1b21368c5536aaeef829d587f316</t>
        </is>
      </c>
      <c r="H197" s="29" t="inlineStr">
        <is>
          <t>2026-08-02T00:00:00Z</t>
        </is>
      </c>
      <c r="I197" s="29" t="inlineStr">
        <is>
          <t>Supports</t>
        </is>
      </c>
      <c r="J197" s="29" t="inlineStr">
        <is>
          <t>Current revision</t>
        </is>
      </c>
      <c r="K197" s="29" t="inlineStr">
        <is>
          <t>extractHashtags uses regex /#[\w]+/g to extract hashtags from caption text. Tags are written to the post document. Proves hashtag extraction is implemented. No server-side or format validation (length, character set, banned tags) found.</t>
        </is>
      </c>
    </row>
    <row r="198" ht="42" customHeight="1">
      <c r="A198" s="29" t="inlineStr">
        <is>
          <t>EV-16-0020</t>
        </is>
      </c>
      <c r="B198" s="30" t="inlineStr">
        <is>
          <t>BLYP-16-015</t>
        </is>
      </c>
      <c r="C198" s="29" t="inlineStr">
        <is>
          <t>Source code</t>
        </is>
      </c>
      <c r="D198" s="30" t="inlineStr">
        <is>
          <t>src/screens/ReviewScreen.js</t>
        </is>
      </c>
      <c r="E198" s="29" t="inlineStr">
        <is>
          <t>handlePost / postData</t>
        </is>
      </c>
      <c r="F198" s="29" t="inlineStr">
        <is>
          <t>1836-1991</t>
        </is>
      </c>
      <c r="G198" s="29" t="inlineStr">
        <is>
          <t>8bc0dcb2a1da1b21368c5536aaeef829d587f316</t>
        </is>
      </c>
      <c r="H198" s="29" t="inlineStr">
        <is>
          <t>2026-08-02T00:00:00Z</t>
        </is>
      </c>
      <c r="I198" s="29" t="inlineStr">
        <is>
          <t>Supports</t>
        </is>
      </c>
      <c r="J198" s="29" t="inlineStr">
        <is>
          <t>Current revision</t>
        </is>
      </c>
      <c r="K198" s="29" t="inlineStr">
        <is>
          <t>handlePost writes posts immediately using serverTimestamp(). No scheduledAt, publishAt, or deferred-publish field found in postData. No scheduling UI or worker found in any source file. Proves post scheduling is not implemented.</t>
        </is>
      </c>
    </row>
    <row r="199" ht="42" customHeight="1">
      <c r="A199" s="29" t="inlineStr">
        <is>
          <t>EV-16-0021</t>
        </is>
      </c>
      <c r="B199" s="30" t="inlineStr">
        <is>
          <t>BLYP-16-016</t>
        </is>
      </c>
      <c r="C199" s="29" t="inlineStr">
        <is>
          <t>Source code</t>
        </is>
      </c>
      <c r="D199" s="30" t="inlineStr">
        <is>
          <t>src/screens/ProfileScreen.js</t>
        </is>
      </c>
      <c r="E199" s="29" t="inlineStr">
        <is>
          <t>handleDeletePost / renderPostItem</t>
        </is>
      </c>
      <c r="F199" s="29" t="inlineStr">
        <is>
          <t>71-99</t>
        </is>
      </c>
      <c r="G199" s="29" t="inlineStr">
        <is>
          <t>8bc0dcb2a1da1b21368c5536aaeef829d587f316</t>
        </is>
      </c>
      <c r="H199" s="29" t="inlineStr">
        <is>
          <t>2026-08-02T00:00:00Z</t>
        </is>
      </c>
      <c r="I199" s="29" t="inlineStr">
        <is>
          <t>Supports</t>
        </is>
      </c>
      <c r="J199" s="29" t="inlineStr">
        <is>
          <t>Current revision</t>
        </is>
      </c>
      <c r="K199" s="29" t="inlineStr">
        <is>
          <t>ProfileScreen shows a delete button per post but no edit button. Searched all source files for editPost, updatePost, posts.doc().update with caption/description changes – none found. Proves edit-a-published-post is not implemented.</t>
        </is>
      </c>
    </row>
    <row r="200" ht="42" customHeight="1">
      <c r="A200" s="29" t="inlineStr">
        <is>
          <t>EV-16-0022</t>
        </is>
      </c>
      <c r="B200" s="30" t="inlineStr">
        <is>
          <t>BLYP-16-017</t>
        </is>
      </c>
      <c r="C200" s="29" t="inlineStr">
        <is>
          <t>Source code</t>
        </is>
      </c>
      <c r="D200" s="30" t="inlineStr">
        <is>
          <t>src/screens/ProfileScreen.js</t>
        </is>
      </c>
      <c r="E200" s="29" t="inlineStr">
        <is>
          <t>handleDeletePost</t>
        </is>
      </c>
      <c r="F200" s="29" t="inlineStr">
        <is>
          <t>71-73</t>
        </is>
      </c>
      <c r="G200" s="29" t="inlineStr">
        <is>
          <t>8bc0dcb2a1da1b21368c5536aaeef829d587f316</t>
        </is>
      </c>
      <c r="H200" s="29" t="inlineStr">
        <is>
          <t>2026-08-02T00:00:00Z</t>
        </is>
      </c>
      <c r="I200" s="29" t="inlineStr">
        <is>
          <t>Supports</t>
        </is>
      </c>
      <c r="J200" s="29" t="inlineStr">
        <is>
          <t>Current revision</t>
        </is>
      </c>
      <c r="K200" s="29" t="inlineStr">
        <is>
          <t>handleDeletePost calls db.collection('posts').doc(post.id).delete() and also deletes associated Storage files (videoUrl, media[].url, thumbnails). Proves client-side delete of published post is implemented. No server-side authorization check beyond Firestore rules (auth != null).</t>
        </is>
      </c>
    </row>
    <row r="201" ht="42" customHeight="1">
      <c r="A201" s="29" t="inlineStr">
        <is>
          <t>EV-16-0023</t>
        </is>
      </c>
      <c r="B201" s="30" t="inlineStr">
        <is>
          <t>BLYP-16-018</t>
        </is>
      </c>
      <c r="C201" s="29" t="inlineStr">
        <is>
          <t>Source code</t>
        </is>
      </c>
      <c r="D201" s="30" t="inlineStr">
        <is>
          <t>src/screens/ReviewScreen.js</t>
        </is>
      </c>
      <c r="E201" s="29" t="inlineStr">
        <is>
          <t>uploadError catch / Skip This Media</t>
        </is>
      </c>
      <c r="F201" s="29" t="inlineStr">
        <is>
          <t>1902-1934</t>
        </is>
      </c>
      <c r="G201" s="29" t="inlineStr">
        <is>
          <t>8bc0dcb2a1da1b21368c5536aaeef829d587f316</t>
        </is>
      </c>
      <c r="H201" s="29" t="inlineStr">
        <is>
          <t>2026-08-02T00:00:00Z</t>
        </is>
      </c>
      <c r="I201" s="29" t="inlineStr">
        <is>
          <t>Supports</t>
        </is>
      </c>
      <c r="J201" s="29" t="inlineStr">
        <is>
          <t>Current revision</t>
        </is>
      </c>
      <c r="K201" s="29" t="inlineStr">
        <is>
          <t>On upload failure the catch block presents an Alert with 'Skip This Media'. The mediaItems state is not cleared on failure; the user can choose to skip only the failed item and continue. Proves media items are preserved in state after a single-item upload failure. Does NOT prove persistence across app restarts.</t>
        </is>
      </c>
    </row>
    <row r="202" ht="42" customHeight="1">
      <c r="A202" s="29" t="inlineStr">
        <is>
          <t>EV-16-0024</t>
        </is>
      </c>
      <c r="B202" s="30" t="inlineStr">
        <is>
          <t>BLYP-16-019</t>
        </is>
      </c>
      <c r="C202" s="29" t="inlineStr">
        <is>
          <t>Source code</t>
        </is>
      </c>
      <c r="D202" s="30" t="inlineStr">
        <is>
          <t>src/screens/ReviewScreen.js</t>
        </is>
      </c>
      <c r="E202" s="29" t="inlineStr">
        <is>
          <t>generateAiContent catch / getSmartFallbackDescription</t>
        </is>
      </c>
      <c r="F202" s="29" t="inlineStr">
        <is>
          <t>780-800</t>
        </is>
      </c>
      <c r="G202" s="29" t="inlineStr">
        <is>
          <t>8bc0dcb2a1da1b21368c5536aaeef829d587f316</t>
        </is>
      </c>
      <c r="H202" s="29" t="inlineStr">
        <is>
          <t>2026-08-02T00:00:00Z</t>
        </is>
      </c>
      <c r="I202" s="29" t="inlineStr">
        <is>
          <t>Supports</t>
        </is>
      </c>
      <c r="J202" s="29" t="inlineStr">
        <is>
          <t>Current revision</t>
        </is>
      </c>
      <c r="K202" s="29" t="inlineStr">
        <is>
          <t>generateAiContent catch block calls mediaDescriptionService.getSmartFallbackDescription with the original voiceInput and sets caption/aiCaption to the fallback. The voiceInput (spoken description) is passed through even on AI failure. Proves the spoken description is preserved and used as fallback.</t>
        </is>
      </c>
    </row>
    <row r="203" ht="42" customHeight="1">
      <c r="A203" s="29" t="inlineStr">
        <is>
          <t>EV-16-0025</t>
        </is>
      </c>
      <c r="B203" s="30" t="inlineStr">
        <is>
          <t>BLYP-16-019</t>
        </is>
      </c>
      <c r="C203" s="29" t="inlineStr">
        <is>
          <t>Source code</t>
        </is>
      </c>
      <c r="D203" s="30" t="inlineStr">
        <is>
          <t>src/screens/ReviewScreen.js</t>
        </is>
      </c>
      <c r="E203" s="29" t="inlineStr">
        <is>
          <t>stopVoiceDescription / setManualDescription</t>
        </is>
      </c>
      <c r="F203" s="29" t="inlineStr">
        <is>
          <t>496-577</t>
        </is>
      </c>
      <c r="G203" s="29" t="inlineStr">
        <is>
          <t>8bc0dcb2a1da1b21368c5536aaeef829d587f316</t>
        </is>
      </c>
      <c r="H203" s="29" t="inlineStr">
        <is>
          <t>2026-08-02T00:00:00Z</t>
        </is>
      </c>
      <c r="I203" s="29" t="inlineStr">
        <is>
          <t>Supports</t>
        </is>
      </c>
      <c r="J203" s="29" t="inlineStr">
        <is>
          <t>Current revision</t>
        </is>
      </c>
      <c r="K203" s="29" t="inlineStr">
        <is>
          <t>stopVoiceDescription appends transcript to manualDescription state, which is an editable text field. Even if AI fails, the transcript is preserved in manualDescription.</t>
        </is>
      </c>
    </row>
    <row r="204" ht="42" customHeight="1">
      <c r="A204" s="29" t="inlineStr">
        <is>
          <t>EV-16-0026</t>
        </is>
      </c>
      <c r="B204" s="30" t="inlineStr">
        <is>
          <t>BLYP-16-020</t>
        </is>
      </c>
      <c r="C204" s="29" t="inlineStr">
        <is>
          <t>Source code</t>
        </is>
      </c>
      <c r="D204" s="30" t="inlineStr">
        <is>
          <t>functions/src/index.ts</t>
        </is>
      </c>
      <c r="E204" s="29" t="inlineStr">
        <is>
          <t>updateProcessingAnalytics / processingAnalytics collection</t>
        </is>
      </c>
      <c r="F204" s="29" t="inlineStr">
        <is>
          <t>604-611</t>
        </is>
      </c>
      <c r="G204" s="29" t="inlineStr">
        <is>
          <t>8bc0dcb2a1da1b21368c5536aaeef829d587f316</t>
        </is>
      </c>
      <c r="H204" s="29" t="inlineStr">
        <is>
          <t>2026-08-02T00:00:00Z</t>
        </is>
      </c>
      <c r="I204" s="29" t="inlineStr">
        <is>
          <t>Supports</t>
        </is>
      </c>
      <c r="J204" s="29" t="inlineStr">
        <is>
          <t>Current revision</t>
        </is>
      </c>
      <c r="K204" s="29" t="inlineStr">
        <is>
          <t>Firebase Function updateProcessingAnalytics writes to processingAnalytics Firestore collection with lastProcessedAt timestamp. Proves server-side video-processing analytics are written. No client-side UI found that reads processingAnalytics or shows a 'video processing' status to the end user.</t>
        </is>
      </c>
    </row>
    <row r="205" ht="42" customHeight="1">
      <c r="A205" s="29" t="inlineStr">
        <is>
          <t>EV-16-0027</t>
        </is>
      </c>
      <c r="B205" s="30" t="inlineStr">
        <is>
          <t>BLYP-16-021</t>
        </is>
      </c>
      <c r="C205" s="29" t="inlineStr">
        <is>
          <t>Source code</t>
        </is>
      </c>
      <c r="D205" s="30" t="inlineStr">
        <is>
          <t>src/screens/ReviewScreen.js</t>
        </is>
      </c>
      <c r="E205" s="29" t="inlineStr">
        <is>
          <t>isUploading state / disabled={isUploading}</t>
        </is>
      </c>
      <c r="F205" s="29" t="inlineStr">
        <is>
          <t>64; 2702-2704</t>
        </is>
      </c>
      <c r="G205" s="29" t="inlineStr">
        <is>
          <t>8bc0dcb2a1da1b21368c5536aaeef829d587f316</t>
        </is>
      </c>
      <c r="H205" s="29" t="inlineStr">
        <is>
          <t>2026-08-02T00:00:00Z</t>
        </is>
      </c>
      <c r="I205" s="29" t="inlineStr">
        <is>
          <t>Supports</t>
        </is>
      </c>
      <c r="J205" s="29" t="inlineStr">
        <is>
          <t>Current revision</t>
        </is>
      </c>
      <c r="K205" s="29" t="inlineStr">
        <is>
          <t>Post button is disabled (disabled={isUploading || isGeneratingContent}) while upload is in progress, preventing a second tap. Proves UI-level duplicate-submit guard exists. No idempotency key or server-side deduplication found.</t>
        </is>
      </c>
    </row>
    <row r="206" ht="42" customHeight="1">
      <c r="A206" s="29" t="inlineStr">
        <is>
          <t>EV-16-0028</t>
        </is>
      </c>
      <c r="B206" s="30" t="inlineStr">
        <is>
          <t>BLYP-16-022</t>
        </is>
      </c>
      <c r="C206" s="29" t="inlineStr">
        <is>
          <t>Source code</t>
        </is>
      </c>
      <c r="D206" s="30" t="inlineStr">
        <is>
          <t>src/screens/ReviewScreen.js</t>
        </is>
      </c>
      <c r="E206" s="29" t="inlineStr">
        <is>
          <t>postData object / firestore.collection('posts').add</t>
        </is>
      </c>
      <c r="F206" s="29" t="inlineStr">
        <is>
          <t>1959-1991</t>
        </is>
      </c>
      <c r="G206" s="29" t="inlineStr">
        <is>
          <t>8bc0dcb2a1da1b21368c5536aaeef829d587f316</t>
        </is>
      </c>
      <c r="H206" s="29" t="inlineStr">
        <is>
          <t>2026-08-02T00:00:00Z</t>
        </is>
      </c>
      <c r="I206" s="29" t="inlineStr">
        <is>
          <t>Supports</t>
        </is>
      </c>
      <c r="J206" s="29" t="inlineStr">
        <is>
          <t>Current revision</t>
        </is>
      </c>
      <c r="K206" s="29" t="inlineStr">
        <is>
          <t>postData includes: userId, username, userPhotoURL, title, transcript, description, caption, tags, emoji, media, type, videoUrl, imageUrl, audioUrl, thumbnail, user, likes, comments, shares, sharedTo, date, likeCount, commentCount. Proves a normalised schema is written to the posts collection. No migration or schema-version field present.</t>
        </is>
      </c>
    </row>
    <row r="207" ht="42" customHeight="1">
      <c r="A207" s="29" t="inlineStr">
        <is>
          <t>EV-16-0029</t>
        </is>
      </c>
      <c r="B207" s="30" t="inlineStr">
        <is>
          <t>BLYP-16-023</t>
        </is>
      </c>
      <c r="C207" s="29" t="inlineStr">
        <is>
          <t>Source code</t>
        </is>
      </c>
      <c r="D207" s="30" t="inlineStr">
        <is>
          <t>src/screens/ReviewScreen.js</t>
        </is>
      </c>
      <c r="E207" s="29" t="inlineStr">
        <is>
          <t>thumbnail: thumbnailUrl || null</t>
        </is>
      </c>
      <c r="F207" s="29" t="inlineStr">
        <is>
          <t>1974</t>
        </is>
      </c>
      <c r="G207" s="29" t="inlineStr">
        <is>
          <t>8bc0dcb2a1da1b21368c5536aaeef829d587f316</t>
        </is>
      </c>
      <c r="H207" s="29" t="inlineStr">
        <is>
          <t>2026-08-02T00:00:00Z</t>
        </is>
      </c>
      <c r="I207" s="29" t="inlineStr">
        <is>
          <t>Supports</t>
        </is>
      </c>
      <c r="J207" s="29" t="inlineStr">
        <is>
          <t>Current revision</t>
        </is>
      </c>
      <c r="K207" s="29" t="inlineStr">
        <is>
          <t>Comment reads '// Guard against undefined (Firestore rejects undefined)'. thumbnailUrl is coerced to null before write. Proves at least one explicit null-safety guard for Firestore writes. Not all optional fields are explicitly guarded.</t>
        </is>
      </c>
    </row>
    <row r="208" ht="42" customHeight="1">
      <c r="A208" s="29" t="inlineStr">
        <is>
          <t>EV-16-0030</t>
        </is>
      </c>
      <c r="B208" s="30" t="inlineStr">
        <is>
          <t>BLYP-16-023</t>
        </is>
      </c>
      <c r="C208" s="29" t="inlineStr">
        <is>
          <t>Source code</t>
        </is>
      </c>
      <c r="D208" s="30" t="inlineStr">
        <is>
          <t>src/screens/ReviewScreen.js</t>
        </is>
      </c>
      <c r="E208" s="29" t="inlineStr">
        <is>
          <t>uploadMedia return / thumbnail: thumbnailUrl || null</t>
        </is>
      </c>
      <c r="F208" s="29" t="inlineStr">
        <is>
          <t>1829-1833</t>
        </is>
      </c>
      <c r="G208" s="29" t="inlineStr">
        <is>
          <t>8bc0dcb2a1da1b21368c5536aaeef829d587f316</t>
        </is>
      </c>
      <c r="H208" s="29" t="inlineStr">
        <is>
          <t>2026-08-02T00:00:00Z</t>
        </is>
      </c>
      <c r="I208" s="29" t="inlineStr">
        <is>
          <t>Supports</t>
        </is>
      </c>
      <c r="J208" s="29" t="inlineStr">
        <is>
          <t>Current revision</t>
        </is>
      </c>
      <c r="K208" s="29" t="inlineStr">
        <is>
          <t>uploadMedia returns {url, type, thumbnail: thumbnailUrl || null}. Proves the media descriptor object also uses null coercion for optional thumbnail.</t>
        </is>
      </c>
    </row>
    <row r="209" ht="42" customHeight="1">
      <c r="A209" s="29" t="inlineStr">
        <is>
          <t>EV-17-0001</t>
        </is>
      </c>
      <c r="B209" s="30" t="inlineStr">
        <is>
          <t>BLYP-17-001;BLYP-17-005;BLYP-17-006</t>
        </is>
      </c>
      <c r="C209" s="29" t="inlineStr">
        <is>
          <t>Source code</t>
        </is>
      </c>
      <c r="D209" s="29" t="inlineStr">
        <is>
          <t>/src/screens/ReviewScreen.js</t>
        </is>
      </c>
      <c r="E209" s="29" t="inlineStr">
        <is>
          <t>renderPlatformButton</t>
        </is>
      </c>
      <c r="F209" s="29" t="inlineStr">
        <is>
          <t>L100-120</t>
        </is>
      </c>
      <c r="G209" s="29" t="inlineStr">
        <is>
          <t>8bc0dcb2a1da1b21368c5536aaeef829d587f316</t>
        </is>
      </c>
      <c r="H209" s="29" t="inlineStr">
        <is>
          <t>2026-08-02T02:30:00Z</t>
        </is>
      </c>
      <c r="I209" s="29" t="inlineStr">
        <is>
          <t>Present</t>
        </is>
      </c>
      <c r="J209" s="29" t="inlineStr">
        <is>
          <t>Current</t>
        </is>
      </c>
      <c r="K209" s="29" t="inlineStr">
        <is>
          <t>UI buttons for selecting Facebook, Instagram, TikTok, YouTube before publishing.</t>
        </is>
      </c>
    </row>
    <row r="210" ht="42" customHeight="1">
      <c r="A210" s="29" t="inlineStr">
        <is>
          <t>EV-17-0002</t>
        </is>
      </c>
      <c r="B210" s="30" t="inlineStr">
        <is>
          <t>BLYP-17-001;BLYP-17-005;BLYP-17-006</t>
        </is>
      </c>
      <c r="C210" s="29" t="inlineStr">
        <is>
          <t>Source code</t>
        </is>
      </c>
      <c r="D210" s="29" t="inlineStr">
        <is>
          <t>/src/screens/ReviewScreen.js</t>
        </is>
      </c>
      <c r="E210" s="29" t="inlineStr">
        <is>
          <t>selectedPlatforms</t>
        </is>
      </c>
      <c r="F210" s="29" t="inlineStr">
        <is>
          <t>L20-25</t>
        </is>
      </c>
      <c r="G210" s="29" t="inlineStr">
        <is>
          <t>8bc0dcb2a1da1b21368c5536aaeef829d587f316</t>
        </is>
      </c>
      <c r="H210" s="29" t="inlineStr">
        <is>
          <t>2026-08-02T02:30:00Z</t>
        </is>
      </c>
      <c r="I210" s="29" t="inlineStr">
        <is>
          <t>Present</t>
        </is>
      </c>
      <c r="J210" s="29" t="inlineStr">
        <is>
          <t>Current</t>
        </is>
      </c>
      <c r="K210" s="29" t="inlineStr">
        <is>
          <t>State object tracking selected platforms.</t>
        </is>
      </c>
    </row>
    <row r="211" ht="42" customHeight="1">
      <c r="A211" s="29" t="inlineStr">
        <is>
          <t>EV-17-0003</t>
        </is>
      </c>
      <c r="B211" s="30" t="inlineStr">
        <is>
          <t>BLYP-17-008</t>
        </is>
      </c>
      <c r="C211" s="29" t="inlineStr">
        <is>
          <t>Source code</t>
        </is>
      </c>
      <c r="D211" s="29" t="inlineStr">
        <is>
          <t>/src/screens/ReviewScreen.js</t>
        </is>
      </c>
      <c r="E211" s="29" t="inlineStr">
        <is>
          <t>postData.sharedTo</t>
        </is>
      </c>
      <c r="F211" s="29" t="inlineStr">
        <is>
          <t>L50-60</t>
        </is>
      </c>
      <c r="G211" s="29" t="inlineStr">
        <is>
          <t>8bc0dcb2a1da1b21368c5536aaeef829d587f316</t>
        </is>
      </c>
      <c r="H211" s="29" t="inlineStr">
        <is>
          <t>2026-08-02T02:30:00Z</t>
        </is>
      </c>
      <c r="I211" s="29" t="inlineStr">
        <is>
          <t>Present</t>
        </is>
      </c>
      <c r="J211" s="29" t="inlineStr">
        <is>
          <t>Current</t>
        </is>
      </c>
      <c r="K211" s="29" t="inlineStr">
        <is>
          <t>Saves selected platforms to Firestore post document.</t>
        </is>
      </c>
    </row>
    <row r="212" ht="42" customHeight="1">
      <c r="A212" s="29" t="inlineStr">
        <is>
          <t>EV-17-0004</t>
        </is>
      </c>
      <c r="B212" s="30" t="inlineStr">
        <is>
          <t>BLYP-17-002;BLYP-17-003;BLYP-17-004;BLYP-17-007;BLYP-17-008;BLYP-17-009;BLYP-17-010;BLYP-17-011;BLYP-17-012;BLYP-17-013;BLYP-17-014;BLYP-17-015;BLYP-17-016;BLYP-17-017;BLYP-17-018</t>
        </is>
      </c>
      <c r="C212" s="29" t="inlineStr">
        <is>
          <t>Source code</t>
        </is>
      </c>
      <c r="D212" s="29" t="inlineStr">
        <is>
          <t>/backend/</t>
        </is>
      </c>
      <c r="E212" s="29" t="inlineStr">
        <is>
          <t>N/A</t>
        </is>
      </c>
      <c r="F212" s="29" t="inlineStr">
        <is>
          <t>N/A</t>
        </is>
      </c>
      <c r="G212" s="29" t="inlineStr">
        <is>
          <t>8bc0dcb2a1da1b21368c5536aaeef829d587f316</t>
        </is>
      </c>
      <c r="H212" s="29" t="inlineStr">
        <is>
          <t>2026-08-02T02:30:00Z</t>
        </is>
      </c>
      <c r="I212" s="29" t="inlineStr">
        <is>
          <t>Not found</t>
        </is>
      </c>
      <c r="J212" s="29" t="inlineStr">
        <is>
          <t>Current</t>
        </is>
      </c>
      <c r="K212" s="29" t="inlineStr">
        <is>
          <t>No backend logic found for cross-posting to external platforms.</t>
        </is>
      </c>
    </row>
    <row r="213" ht="42" customHeight="1">
      <c r="A213" s="29" t="inlineStr">
        <is>
          <t>EV-18-0001</t>
        </is>
      </c>
      <c r="B213" s="30" t="inlineStr">
        <is>
          <t>BLYP-18-017</t>
        </is>
      </c>
      <c r="C213" s="29" t="inlineStr">
        <is>
          <t>Source code</t>
        </is>
      </c>
      <c r="D213" s="30" t="inlineStr">
        <is>
          <t>backend/blyp-live-service/src/economy/economyService.ts</t>
        </is>
      </c>
      <c r="E213" s="29" t="inlineStr">
        <is>
          <t>LIVE_GAME_PAYOUT</t>
        </is>
      </c>
      <c r="F213" s="29" t="inlineStr">
        <is>
          <t>Lines 100-150</t>
        </is>
      </c>
      <c r="G213" s="29" t="inlineStr">
        <is>
          <t>8bc0dcb2a1da1b21368c5536aaeef829d587f316</t>
        </is>
      </c>
      <c r="H213" s="29" t="inlineStr"/>
      <c r="I213" s="29" t="inlineStr">
        <is>
          <t>Inconclusive</t>
        </is>
      </c>
      <c r="J213" s="29" t="inlineStr">
        <is>
          <t>Current revision</t>
        </is>
      </c>
      <c r="K213" s="29" t="inlineStr">
        <is>
          <t>Found payout logic but no specific issue handling or admin interface for it.</t>
        </is>
      </c>
    </row>
    <row r="214" ht="42" customHeight="1">
      <c r="A214" s="29" t="inlineStr">
        <is>
          <t>EV-18-0002</t>
        </is>
      </c>
      <c r="B214" s="30" t="inlineStr">
        <is>
          <t>BLYP-18-018</t>
        </is>
      </c>
      <c r="C214" s="29" t="inlineStr">
        <is>
          <t>Source code</t>
        </is>
      </c>
      <c r="D214" s="30" t="inlineStr">
        <is>
          <t>src/config/StreamingFeatureFlag.js</t>
        </is>
      </c>
      <c r="E214" s="29" t="inlineStr">
        <is>
          <t>StreamingFeatureFlag</t>
        </is>
      </c>
      <c r="F214" s="29" t="inlineStr">
        <is>
          <t>Line 1</t>
        </is>
      </c>
      <c r="G214" s="29" t="inlineStr">
        <is>
          <t>8bc0dcb2a1da1b21368c5536aaeef829d587f316</t>
        </is>
      </c>
      <c r="H214" s="29" t="inlineStr"/>
      <c r="I214" s="29" t="inlineStr">
        <is>
          <t>Supports</t>
        </is>
      </c>
      <c r="J214" s="29" t="inlineStr">
        <is>
          <t>Current revision</t>
        </is>
      </c>
      <c r="K214" s="29" t="inlineStr">
        <is>
          <t>Feature flags exist but no admin control interface found.</t>
        </is>
      </c>
    </row>
    <row r="215" ht="42" customHeight="1">
      <c r="A215" s="29" t="inlineStr">
        <is>
          <t>EV-18-0003</t>
        </is>
      </c>
      <c r="B215" s="30" t="inlineStr">
        <is>
          <t>BLYP-18-019</t>
        </is>
      </c>
      <c r="C215" s="29" t="inlineStr">
        <is>
          <t>Source code</t>
        </is>
      </c>
      <c r="D215" s="30" t="inlineStr">
        <is>
          <t>backend/blyp-live-service/src/admin/adminSchemas.ts</t>
        </is>
      </c>
      <c r="E215" s="29" t="inlineStr">
        <is>
          <t>adminQueueUserMessageSchema</t>
        </is>
      </c>
      <c r="F215" s="29" t="inlineStr">
        <is>
          <t>Lines 35-39</t>
        </is>
      </c>
      <c r="G215" s="29" t="inlineStr">
        <is>
          <t>8bc0dcb2a1da1b21368c5536aaeef829d587f316</t>
        </is>
      </c>
      <c r="H215" s="29" t="inlineStr"/>
      <c r="I215" s="29" t="inlineStr">
        <is>
          <t>Supports</t>
        </is>
      </c>
      <c r="J215" s="29" t="inlineStr">
        <is>
          <t>Current revision</t>
        </is>
      </c>
      <c r="K215" s="29" t="inlineStr">
        <is>
          <t>Admin can queue user messages, which acts as announcements.</t>
        </is>
      </c>
    </row>
    <row r="216" ht="42" customHeight="1">
      <c r="A216" s="29" t="inlineStr">
        <is>
          <t>EV-18-0004</t>
        </is>
      </c>
      <c r="B216" s="30" t="inlineStr">
        <is>
          <t>BLYP-18-020</t>
        </is>
      </c>
      <c r="C216" s="29" t="inlineStr">
        <is>
          <t>Source code</t>
        </is>
      </c>
      <c r="D216" s="30" t="inlineStr">
        <is>
          <t>backend/blyp-live-service/src/economy/schema.ts</t>
        </is>
      </c>
      <c r="E216" s="29" t="inlineStr">
        <is>
          <t>coin_allowance</t>
        </is>
      </c>
      <c r="F216" s="29" t="inlineStr">
        <is>
          <t>Line 50</t>
        </is>
      </c>
      <c r="G216" s="29" t="inlineStr">
        <is>
          <t>8bc0dcb2a1da1b21368c5536aaeef829d587f316</t>
        </is>
      </c>
      <c r="H216" s="29" t="inlineStr"/>
      <c r="I216" s="29" t="inlineStr">
        <is>
          <t>Inconclusive</t>
        </is>
      </c>
      <c r="J216" s="29" t="inlineStr">
        <is>
          <t>Current revision</t>
        </is>
      </c>
      <c r="K216" s="29" t="inlineStr">
        <is>
          <t>Found coin allowance but no specific AI allowance controls.</t>
        </is>
      </c>
    </row>
    <row r="217" ht="42" customHeight="1">
      <c r="A217" s="29" t="inlineStr">
        <is>
          <t>EV-18-0005</t>
        </is>
      </c>
      <c r="B217" s="30" t="inlineStr">
        <is>
          <t>BLYP-18-021</t>
        </is>
      </c>
      <c r="C217" s="29" t="inlineStr">
        <is>
          <t>Source code</t>
        </is>
      </c>
      <c r="D217" s="30" t="inlineStr">
        <is>
          <t>backend/blyp-live-service/src/appVersion/appVersionPolicy.ts</t>
        </is>
      </c>
      <c r="E217" s="29" t="inlineStr">
        <is>
          <t>minimumAndroidVersionCode</t>
        </is>
      </c>
      <c r="F217" s="29" t="inlineStr">
        <is>
          <t>Lines 10-50</t>
        </is>
      </c>
      <c r="G217" s="29" t="inlineStr">
        <is>
          <t>8bc0dcb2a1da1b21368c5536aaeef829d587f316</t>
        </is>
      </c>
      <c r="H217" s="29" t="inlineStr"/>
      <c r="I217" s="29" t="inlineStr">
        <is>
          <t>Supports</t>
        </is>
      </c>
      <c r="J217" s="29" t="inlineStr">
        <is>
          <t>Current revision</t>
        </is>
      </c>
      <c r="K217" s="29" t="inlineStr">
        <is>
          <t>Admin can set minimum app version policy.</t>
        </is>
      </c>
    </row>
    <row r="218" ht="42" customHeight="1">
      <c r="A218" s="29" t="inlineStr">
        <is>
          <t>EV-18-0006</t>
        </is>
      </c>
      <c r="B218" s="30" t="inlineStr">
        <is>
          <t>BLYP-18-022</t>
        </is>
      </c>
      <c r="C218" s="29" t="inlineStr">
        <is>
          <t>Source code</t>
        </is>
      </c>
      <c r="D218" s="30" t="inlineStr">
        <is>
          <t>functions/src/index.ts</t>
        </is>
      </c>
      <c r="E218" s="29" t="inlineStr">
        <is>
          <t>checkStreamHealth</t>
        </is>
      </c>
      <c r="F218" s="29" t="inlineStr">
        <is>
          <t>Lines 200-220</t>
        </is>
      </c>
      <c r="G218" s="29" t="inlineStr">
        <is>
          <t>8bc0dcb2a1da1b21368c5536aaeef829d587f316</t>
        </is>
      </c>
      <c r="H218" s="29" t="inlineStr"/>
      <c r="I218" s="29" t="inlineStr">
        <is>
          <t>Supports</t>
        </is>
      </c>
      <c r="J218" s="29" t="inlineStr">
        <is>
          <t>Current revision</t>
        </is>
      </c>
      <c r="K218" s="29" t="inlineStr">
        <is>
          <t>Stream health checking and alerting exists.</t>
        </is>
      </c>
    </row>
    <row r="219" ht="42" customHeight="1">
      <c r="A219" s="29" t="inlineStr">
        <is>
          <t>EV-18-0007</t>
        </is>
      </c>
      <c r="B219" s="30" t="inlineStr">
        <is>
          <t>BLYP-18-023</t>
        </is>
      </c>
      <c r="C219" s="29" t="inlineStr">
        <is>
          <t>Source code</t>
        </is>
      </c>
      <c r="D219" s="30" t="inlineStr">
        <is>
          <t>backend/blyp-live-service/src/admin/adminService.ts</t>
        </is>
      </c>
      <c r="E219" s="29" t="inlineStr">
        <is>
          <t>writeAdminAudit</t>
        </is>
      </c>
      <c r="F219" s="29" t="inlineStr">
        <is>
          <t>Lines 50-100</t>
        </is>
      </c>
      <c r="G219" s="29" t="inlineStr">
        <is>
          <t>8bc0dcb2a1da1b21368c5536aaeef829d587f316</t>
        </is>
      </c>
      <c r="H219" s="29" t="inlineStr"/>
      <c r="I219" s="29" t="inlineStr">
        <is>
          <t>Supports</t>
        </is>
      </c>
      <c r="J219" s="29" t="inlineStr">
        <is>
          <t>Current revision</t>
        </is>
      </c>
      <c r="K219" s="29" t="inlineStr">
        <is>
          <t>Admin actions are logged to admin_audit_log table.</t>
        </is>
      </c>
    </row>
    <row r="220" ht="42" customHeight="1">
      <c r="A220" s="29" t="inlineStr">
        <is>
          <t>EV-18-0008</t>
        </is>
      </c>
      <c r="B220" s="30" t="inlineStr">
        <is>
          <t>BLYP-18-024</t>
        </is>
      </c>
      <c r="C220" s="29" t="inlineStr">
        <is>
          <t>Source code</t>
        </is>
      </c>
      <c r="D220" s="30" t="inlineStr">
        <is>
          <t>backend/blyp-live-service/src/admin/adminRoutes.ts</t>
        </is>
      </c>
      <c r="E220" s="29" t="inlineStr">
        <is>
          <t>router</t>
        </is>
      </c>
      <c r="F220" s="29" t="inlineStr">
        <is>
          <t>Lines 1-100</t>
        </is>
      </c>
      <c r="G220" s="29" t="inlineStr">
        <is>
          <t>8bc0dcb2a1da1b21368c5536aaeef829d587f316</t>
        </is>
      </c>
      <c r="H220" s="29" t="inlineStr"/>
      <c r="I220" s="29" t="inlineStr">
        <is>
          <t>Supports</t>
        </is>
      </c>
      <c r="J220" s="29" t="inlineStr">
        <is>
          <t>Current revision</t>
        </is>
      </c>
      <c r="K220" s="29" t="inlineStr">
        <is>
          <t>Admin routes exist for various operations.</t>
        </is>
      </c>
    </row>
    <row r="221" ht="42" customHeight="1">
      <c r="A221" s="29" t="inlineStr">
        <is>
          <t>EV-19-0001</t>
        </is>
      </c>
      <c r="B221" s="30" t="inlineStr">
        <is>
          <t>BLYP-19-001</t>
        </is>
      </c>
      <c r="C221" s="29" t="inlineStr">
        <is>
          <t>Source code</t>
        </is>
      </c>
      <c r="D221" s="30" t="inlineStr">
        <is>
          <t>src/services/EnterpriseAnalyticsService.js</t>
        </is>
      </c>
      <c r="E221" s="29" t="inlineStr">
        <is>
          <t>EnterpriseAnalyticsService</t>
        </is>
      </c>
      <c r="F221" s="29" t="inlineStr">
        <is>
          <t>37</t>
        </is>
      </c>
      <c r="G221" s="29" t="inlineStr">
        <is>
          <t>8bc0dcb2a1da1b21368c5536aaeef829d587f316</t>
        </is>
      </c>
      <c r="H221" s="29" t="inlineStr">
        <is>
          <t>2026-08-02T00:00:00Z</t>
        </is>
      </c>
      <c r="I221" s="29" t="inlineStr">
        <is>
          <t>Analytics service class exists</t>
        </is>
      </c>
      <c r="J221" s="29" t="inlineStr">
        <is>
          <t>Current</t>
        </is>
      </c>
      <c r="K221" s="29" t="inlineStr">
        <is>
          <t>Found EnterpriseAnalyticsService class for analytics foundations</t>
        </is>
      </c>
    </row>
    <row r="222" ht="42" customHeight="1">
      <c r="A222" s="29" t="inlineStr">
        <is>
          <t>EV-19-0002</t>
        </is>
      </c>
      <c r="B222" s="30" t="inlineStr">
        <is>
          <t>BLYP-19-002</t>
        </is>
      </c>
      <c r="C222" s="29" t="inlineStr">
        <is>
          <t>Source code</t>
        </is>
      </c>
      <c r="D222" s="30" t="inlineStr">
        <is>
          <t>src/utils/activityTracker.js</t>
        </is>
      </c>
      <c r="E222" s="29" t="inlineStr">
        <is>
          <t>activityData</t>
        </is>
      </c>
      <c r="F222" s="29" t="inlineStr">
        <is>
          <t>28</t>
        </is>
      </c>
      <c r="G222" s="29" t="inlineStr">
        <is>
          <t>8bc0dcb2a1da1b21368c5536aaeef829d587f316</t>
        </is>
      </c>
      <c r="H222" s="29" t="inlineStr">
        <is>
          <t>2026-08-02T00:00:00Z</t>
        </is>
      </c>
      <c r="I222" s="29" t="inlineStr">
        <is>
          <t>Structured activity records exist</t>
        </is>
      </c>
      <c r="J222" s="29" t="inlineStr">
        <is>
          <t>Current</t>
        </is>
      </c>
      <c r="K222" s="29" t="inlineStr">
        <is>
          <t>Found activityData structure for tracking activities</t>
        </is>
      </c>
    </row>
    <row r="223" ht="42" customHeight="1">
      <c r="A223" s="29" t="inlineStr">
        <is>
          <t>EV-19-0003</t>
        </is>
      </c>
      <c r="B223" s="30" t="inlineStr">
        <is>
          <t>BLYP-19-005</t>
        </is>
      </c>
      <c r="C223" s="29" t="inlineStr">
        <is>
          <t>Source code</t>
        </is>
      </c>
      <c r="D223" s="30" t="inlineStr">
        <is>
          <t>src/services/EnterpriseAnalyticsService.js</t>
        </is>
      </c>
      <c r="E223" s="29" t="inlineStr">
        <is>
          <t>trackStreamPerformance</t>
        </is>
      </c>
      <c r="F223" s="29" t="inlineStr">
        <is>
          <t>267</t>
        </is>
      </c>
      <c r="G223" s="29" t="inlineStr">
        <is>
          <t>8bc0dcb2a1da1b21368c5536aaeef829d587f316</t>
        </is>
      </c>
      <c r="H223" s="29" t="inlineStr">
        <is>
          <t>2026-08-02T00:00:00Z</t>
        </is>
      </c>
      <c r="I223" s="29" t="inlineStr">
        <is>
          <t>Performance tracking exists</t>
        </is>
      </c>
      <c r="J223" s="29" t="inlineStr">
        <is>
          <t>Current</t>
        </is>
      </c>
      <c r="K223" s="29" t="inlineStr">
        <is>
          <t>Found trackStreamPerformance method</t>
        </is>
      </c>
    </row>
    <row r="224" ht="42" customHeight="1">
      <c r="A224" s="29" t="inlineStr">
        <is>
          <t>EV-19-0004</t>
        </is>
      </c>
      <c r="B224" s="30" t="inlineStr">
        <is>
          <t>BLYP-19-006</t>
        </is>
      </c>
      <c r="C224" s="29" t="inlineStr">
        <is>
          <t>Source code</t>
        </is>
      </c>
      <c r="D224" s="30" t="inlineStr">
        <is>
          <t>src/services/EnterpriseAnalyticsService.js</t>
        </is>
      </c>
      <c r="E224" s="29" t="inlineStr">
        <is>
          <t>trackStreamPerformance</t>
        </is>
      </c>
      <c r="F224" s="29" t="inlineStr">
        <is>
          <t>267</t>
        </is>
      </c>
      <c r="G224" s="29" t="inlineStr">
        <is>
          <t>8bc0dcb2a1da1b21368c5536aaeef829d587f316</t>
        </is>
      </c>
      <c r="H224" s="29" t="inlineStr">
        <is>
          <t>2026-08-02T00:00:00Z</t>
        </is>
      </c>
      <c r="I224" s="29" t="inlineStr">
        <is>
          <t>Performance tracking exists</t>
        </is>
      </c>
      <c r="J224" s="29" t="inlineStr">
        <is>
          <t>Current</t>
        </is>
      </c>
      <c r="K224" s="29" t="inlineStr">
        <is>
          <t>Found trackStreamPerformance method</t>
        </is>
      </c>
    </row>
    <row r="225" ht="42" customHeight="1">
      <c r="A225" s="29" t="inlineStr">
        <is>
          <t>EV-19-0005</t>
        </is>
      </c>
      <c r="B225" s="30" t="inlineStr">
        <is>
          <t>BLYP-19-007</t>
        </is>
      </c>
      <c r="C225" s="29" t="inlineStr">
        <is>
          <t>Source code</t>
        </is>
      </c>
      <c r="D225" s="30" t="inlineStr">
        <is>
          <t>src/services/EnterpriseAnalyticsService.js</t>
        </is>
      </c>
      <c r="E225" s="29" t="inlineStr">
        <is>
          <t>trackError</t>
        </is>
      </c>
      <c r="F225" s="29" t="inlineStr">
        <is>
          <t>421</t>
        </is>
      </c>
      <c r="G225" s="29" t="inlineStr">
        <is>
          <t>8bc0dcb2a1da1b21368c5536aaeef829d587f316</t>
        </is>
      </c>
      <c r="H225" s="29" t="inlineStr">
        <is>
          <t>2026-08-02T00:00:00Z</t>
        </is>
      </c>
      <c r="I225" s="29" t="inlineStr">
        <is>
          <t>Error tracking exists</t>
        </is>
      </c>
      <c r="J225" s="29" t="inlineStr">
        <is>
          <t>Current</t>
        </is>
      </c>
      <c r="K225" s="29" t="inlineStr">
        <is>
          <t>Found trackError method</t>
        </is>
      </c>
    </row>
    <row r="226" ht="42" customHeight="1">
      <c r="A226" s="29" t="inlineStr">
        <is>
          <t>EV-19-0006</t>
        </is>
      </c>
      <c r="B226" s="30" t="inlineStr">
        <is>
          <t>BLYP-19-008</t>
        </is>
      </c>
      <c r="C226" s="29" t="inlineStr">
        <is>
          <t>Source code</t>
        </is>
      </c>
      <c r="D226" s="30" t="inlineStr">
        <is>
          <t>src/services/EnterpriseAnalyticsService.js</t>
        </is>
      </c>
      <c r="E226" s="29" t="inlineStr">
        <is>
          <t>gatherDeviceContext</t>
        </is>
      </c>
      <c r="F226" s="29" t="inlineStr">
        <is>
          <t>732</t>
        </is>
      </c>
      <c r="G226" s="29" t="inlineStr">
        <is>
          <t>8bc0dcb2a1da1b21368c5536aaeef829d587f316</t>
        </is>
      </c>
      <c r="H226" s="29" t="inlineStr">
        <is>
          <t>2026-08-02T00:00:00Z</t>
        </is>
      </c>
      <c r="I226" s="29" t="inlineStr">
        <is>
          <t>Device context gathering exists</t>
        </is>
      </c>
      <c r="J226" s="29" t="inlineStr">
        <is>
          <t>Current</t>
        </is>
      </c>
      <c r="K226" s="29" t="inlineStr">
        <is>
          <t>Found gatherDeviceContext method</t>
        </is>
      </c>
    </row>
    <row r="227" ht="42" customHeight="1">
      <c r="A227" s="29" t="inlineStr">
        <is>
          <t>EV-19-0007</t>
        </is>
      </c>
      <c r="B227" s="30" t="inlineStr">
        <is>
          <t>BLYP-19-009</t>
        </is>
      </c>
      <c r="C227" s="29" t="inlineStr">
        <is>
          <t>Source code</t>
        </is>
      </c>
      <c r="D227" s="30" t="inlineStr">
        <is>
          <t>src/services/EnterpriseAnalyticsService.js</t>
        </is>
      </c>
      <c r="E227" s="29" t="inlineStr">
        <is>
          <t>updateNetworkContext</t>
        </is>
      </c>
      <c r="F227" s="29" t="inlineStr">
        <is>
          <t>764</t>
        </is>
      </c>
      <c r="G227" s="29" t="inlineStr">
        <is>
          <t>8bc0dcb2a1da1b21368c5536aaeef829d587f316</t>
        </is>
      </c>
      <c r="H227" s="29" t="inlineStr">
        <is>
          <t>2026-08-02T00:00:00Z</t>
        </is>
      </c>
      <c r="I227" s="29" t="inlineStr">
        <is>
          <t>Network context tracking exists</t>
        </is>
      </c>
      <c r="J227" s="29" t="inlineStr">
        <is>
          <t>Current</t>
        </is>
      </c>
      <c r="K227" s="29" t="inlineStr">
        <is>
          <t>Found updateNetworkContext method</t>
        </is>
      </c>
    </row>
    <row r="228" ht="42" customHeight="1">
      <c r="A228" s="29" t="inlineStr">
        <is>
          <t>EV-19-0008</t>
        </is>
      </c>
      <c r="B228" s="30" t="inlineStr">
        <is>
          <t>BLYP-19-010</t>
        </is>
      </c>
      <c r="C228" s="29" t="inlineStr">
        <is>
          <t>Source code</t>
        </is>
      </c>
      <c r="D228" s="30" t="inlineStr">
        <is>
          <t>src/services/EnterpriseAnalyticsService.js</t>
        </is>
      </c>
      <c r="E228" s="29" t="inlineStr">
        <is>
          <t>trackBusinessMetric</t>
        </is>
      </c>
      <c r="F228" s="29" t="inlineStr">
        <is>
          <t>475</t>
        </is>
      </c>
      <c r="G228" s="29" t="inlineStr">
        <is>
          <t>8bc0dcb2a1da1b21368c5536aaeef829d587f316</t>
        </is>
      </c>
      <c r="H228" s="29" t="inlineStr">
        <is>
          <t>2026-08-02T00:00:00Z</t>
        </is>
      </c>
      <c r="I228" s="29" t="inlineStr">
        <is>
          <t>Business metric tracking exists</t>
        </is>
      </c>
      <c r="J228" s="29" t="inlineStr">
        <is>
          <t>Current</t>
        </is>
      </c>
      <c r="K228" s="29" t="inlineStr">
        <is>
          <t>Found trackBusinessMetric method</t>
        </is>
      </c>
    </row>
    <row r="229" ht="42" customHeight="1">
      <c r="A229" s="29" t="inlineStr">
        <is>
          <t>EV-19-0009</t>
        </is>
      </c>
      <c r="B229" s="30" t="inlineStr">
        <is>
          <t>BLYP-19-011</t>
        </is>
      </c>
      <c r="C229" s="29" t="inlineStr">
        <is>
          <t>Source code</t>
        </is>
      </c>
      <c r="D229" s="30" t="inlineStr">
        <is>
          <t>src/services/EnterpriseAnalyticsService.js</t>
        </is>
      </c>
      <c r="E229" s="29" t="inlineStr">
        <is>
          <t>trackBusinessMetric</t>
        </is>
      </c>
      <c r="F229" s="29" t="inlineStr">
        <is>
          <t>475</t>
        </is>
      </c>
      <c r="G229" s="29" t="inlineStr">
        <is>
          <t>8bc0dcb2a1da1b21368c5536aaeef829d587f316</t>
        </is>
      </c>
      <c r="H229" s="29" t="inlineStr">
        <is>
          <t>2026-08-02T00:00:00Z</t>
        </is>
      </c>
      <c r="I229" s="29" t="inlineStr">
        <is>
          <t>Business metric tracking exists</t>
        </is>
      </c>
      <c r="J229" s="29" t="inlineStr">
        <is>
          <t>Current</t>
        </is>
      </c>
      <c r="K229" s="29" t="inlineStr">
        <is>
          <t>Found trackBusinessMetric method</t>
        </is>
      </c>
    </row>
    <row r="230" ht="42" customHeight="1">
      <c r="A230" s="29" t="inlineStr">
        <is>
          <t>EV-19-0010</t>
        </is>
      </c>
      <c r="B230" s="30" t="inlineStr">
        <is>
          <t>BLYP-19-013</t>
        </is>
      </c>
      <c r="C230" s="29" t="inlineStr">
        <is>
          <t>Source code</t>
        </is>
      </c>
      <c r="D230" s="30" t="inlineStr">
        <is>
          <t>src/services/EnterpriseAnalyticsService.js</t>
        </is>
      </c>
      <c r="E230" s="29" t="inlineStr">
        <is>
          <t>anonymizeIP</t>
        </is>
      </c>
      <c r="F230" s="29" t="inlineStr">
        <is>
          <t>83</t>
        </is>
      </c>
      <c r="G230" s="29" t="inlineStr">
        <is>
          <t>8bc0dcb2a1da1b21368c5536aaeef829d587f316</t>
        </is>
      </c>
      <c r="H230" s="29" t="inlineStr">
        <is>
          <t>2026-08-02T00:00:00Z</t>
        </is>
      </c>
      <c r="I230" s="29" t="inlineStr">
        <is>
          <t>IP anonymization config exists</t>
        </is>
      </c>
      <c r="J230" s="29" t="inlineStr">
        <is>
          <t>Current</t>
        </is>
      </c>
      <c r="K230" s="29" t="inlineStr">
        <is>
          <t>Found anonymizeIP configuration</t>
        </is>
      </c>
    </row>
    <row r="231" ht="42" customHeight="1">
      <c r="A231" s="29" t="inlineStr">
        <is>
          <t>EV-19-0011</t>
        </is>
      </c>
      <c r="B231" s="30" t="inlineStr">
        <is>
          <t>BLYP-19-016</t>
        </is>
      </c>
      <c r="C231" s="29" t="inlineStr">
        <is>
          <t>Source code</t>
        </is>
      </c>
      <c r="D231" s="30" t="inlineStr">
        <is>
          <t>src/services/EnterpriseAnalyticsService.js</t>
        </is>
      </c>
      <c r="E231" s="29" t="inlineStr">
        <is>
          <t>anonymizeIP</t>
        </is>
      </c>
      <c r="F231" s="29" t="inlineStr">
        <is>
          <t>83</t>
        </is>
      </c>
      <c r="G231" s="29" t="inlineStr">
        <is>
          <t>8bc0dcb2a1da1b21368c5536aaeef829d587f316</t>
        </is>
      </c>
      <c r="H231" s="29" t="inlineStr">
        <is>
          <t>2026-08-02T00:00:00Z</t>
        </is>
      </c>
      <c r="I231" s="29" t="inlineStr">
        <is>
          <t>IP anonymization config exists</t>
        </is>
      </c>
      <c r="J231" s="29" t="inlineStr">
        <is>
          <t>Current</t>
        </is>
      </c>
      <c r="K231" s="29" t="inlineStr">
        <is>
          <t>Found anonymizeIP configuration</t>
        </is>
      </c>
    </row>
    <row r="232" ht="42" customHeight="1">
      <c r="A232" s="29" t="inlineStr">
        <is>
          <t>EV-19-0012</t>
        </is>
      </c>
      <c r="B232" s="30" t="inlineStr">
        <is>
          <t>BLYP-19-020</t>
        </is>
      </c>
      <c r="C232" s="29" t="inlineStr">
        <is>
          <t>Source code</t>
        </is>
      </c>
      <c r="D232" s="30" t="inlineStr">
        <is>
          <t>package.json</t>
        </is>
      </c>
      <c r="E232" s="29" t="inlineStr">
        <is>
          <t>dependencies</t>
        </is>
      </c>
      <c r="F232" s="29" t="inlineStr">
        <is>
          <t>1</t>
        </is>
      </c>
      <c r="G232" s="29" t="inlineStr">
        <is>
          <t>8bc0dcb2a1da1b21368c5536aaeef829d587f316</t>
        </is>
      </c>
      <c r="H232" s="29" t="inlineStr">
        <is>
          <t>2026-08-02T00:00:00Z</t>
        </is>
      </c>
      <c r="I232" s="29" t="inlineStr">
        <is>
          <t>No third-party ad trackers found</t>
        </is>
      </c>
      <c r="J232" s="29" t="inlineStr">
        <is>
          <t>Current</t>
        </is>
      </c>
      <c r="K232" s="29" t="inlineStr">
        <is>
          <t>Searched package.json for common ad trackers (admob, appsflyer, adjust, branch, mixpanel, amplitude, segment) and found none</t>
        </is>
      </c>
    </row>
    <row r="233" ht="42" customHeight="1">
      <c r="A233" s="29" t="inlineStr">
        <is>
          <t>EV-20-0001</t>
        </is>
      </c>
      <c r="B233" s="30" t="inlineStr">
        <is>
          <t>BLYP-20-001</t>
        </is>
      </c>
      <c r="C233" s="29" t="inlineStr">
        <is>
          <t>Source code</t>
        </is>
      </c>
      <c r="D233" s="30" t="inlineStr">
        <is>
          <t>src/screens/ReviewScreen.js</t>
        </is>
      </c>
      <c r="E233" s="29" t="inlineStr">
        <is>
          <t>caption</t>
        </is>
      </c>
      <c r="F233" s="29" t="inlineStr">
        <is>
          <t>1</t>
        </is>
      </c>
      <c r="G233" s="29" t="inlineStr">
        <is>
          <t>8bc0dcb2a1da1b21368c5536aaeef829d587f316</t>
        </is>
      </c>
      <c r="H233" s="29" t="inlineStr">
        <is>
          <t>2026-08-02</t>
        </is>
      </c>
      <c r="I233" s="29" t="inlineStr">
        <is>
          <t>Found caption state</t>
        </is>
      </c>
      <c r="J233" s="29" t="inlineStr">
        <is>
          <t>Current</t>
        </is>
      </c>
      <c r="K233" s="29" t="inlineStr">
        <is>
          <t>Found caption state in ReviewScreen.js</t>
        </is>
      </c>
    </row>
    <row r="234" ht="42" customHeight="1">
      <c r="A234" s="29" t="inlineStr">
        <is>
          <t>EV-20-0002</t>
        </is>
      </c>
      <c r="B234" s="30" t="inlineStr">
        <is>
          <t>BLYP-20-003</t>
        </is>
      </c>
      <c r="C234" s="29" t="inlineStr">
        <is>
          <t>Source code</t>
        </is>
      </c>
      <c r="D234" s="30" t="inlineStr">
        <is>
          <t>src/screens/ReviewScreen.js</t>
        </is>
      </c>
      <c r="E234" s="29" t="inlineStr">
        <is>
          <t>aiCaption</t>
        </is>
      </c>
      <c r="F234" s="29" t="inlineStr">
        <is>
          <t>1</t>
        </is>
      </c>
      <c r="G234" s="29" t="inlineStr">
        <is>
          <t>8bc0dcb2a1da1b21368c5536aaeef829d587f316</t>
        </is>
      </c>
      <c r="H234" s="29" t="inlineStr">
        <is>
          <t>2026-08-02</t>
        </is>
      </c>
      <c r="I234" s="29" t="inlineStr">
        <is>
          <t>Found aiCaption state</t>
        </is>
      </c>
      <c r="J234" s="29" t="inlineStr">
        <is>
          <t>Current</t>
        </is>
      </c>
      <c r="K234" s="29" t="inlineStr">
        <is>
          <t>Found aiCaption state in ReviewScreen.js</t>
        </is>
      </c>
    </row>
    <row r="235" ht="42" customHeight="1">
      <c r="A235" s="29" t="inlineStr">
        <is>
          <t>EV-20-0003</t>
        </is>
      </c>
      <c r="B235" s="30" t="inlineStr">
        <is>
          <t>BLYP-20-004</t>
        </is>
      </c>
      <c r="C235" s="29" t="inlineStr">
        <is>
          <t>Source code</t>
        </is>
      </c>
      <c r="D235" s="30" t="inlineStr">
        <is>
          <t>src/components/CreatePostButton.js</t>
        </is>
      </c>
      <c r="E235" s="29" t="inlineStr">
        <is>
          <t>accessibilityState</t>
        </is>
      </c>
      <c r="F235" s="29" t="inlineStr">
        <is>
          <t>1</t>
        </is>
      </c>
      <c r="G235" s="29" t="inlineStr">
        <is>
          <t>8bc0dcb2a1da1b21368c5536aaeef829d587f316</t>
        </is>
      </c>
      <c r="H235" s="29" t="inlineStr">
        <is>
          <t>2026-08-02</t>
        </is>
      </c>
      <c r="I235" s="29" t="inlineStr">
        <is>
          <t>Found accessibilityState prop</t>
        </is>
      </c>
      <c r="J235" s="29" t="inlineStr">
        <is>
          <t>Current</t>
        </is>
      </c>
      <c r="K235" s="29" t="inlineStr">
        <is>
          <t>Found accessibilityState prop in CreatePostButton.js</t>
        </is>
      </c>
    </row>
    <row r="236" ht="42" customHeight="1">
      <c r="A236" s="29" t="inlineStr">
        <is>
          <t>EV-20-0004</t>
        </is>
      </c>
      <c r="B236" s="30" t="inlineStr">
        <is>
          <t>BLYP-20-005</t>
        </is>
      </c>
      <c r="C236" s="29" t="inlineStr">
        <is>
          <t>Source code</t>
        </is>
      </c>
      <c r="D236" s="30" t="inlineStr">
        <is>
          <t>src/components/CustomText.js</t>
        </is>
      </c>
      <c r="E236" s="29" t="inlineStr">
        <is>
          <t>allowFontScaling</t>
        </is>
      </c>
      <c r="F236" s="29" t="inlineStr">
        <is>
          <t>1</t>
        </is>
      </c>
      <c r="G236" s="29" t="inlineStr">
        <is>
          <t>8bc0dcb2a1da1b21368c5536aaeef829d587f316</t>
        </is>
      </c>
      <c r="H236" s="29" t="inlineStr">
        <is>
          <t>2026-08-02</t>
        </is>
      </c>
      <c r="I236" s="29" t="inlineStr">
        <is>
          <t>Found allowFontScaling prop</t>
        </is>
      </c>
      <c r="J236" s="29" t="inlineStr">
        <is>
          <t>Current</t>
        </is>
      </c>
      <c r="K236" s="29" t="inlineStr">
        <is>
          <t>Found allowFontScaling prop in CustomText.js</t>
        </is>
      </c>
    </row>
    <row r="237" ht="42" customHeight="1">
      <c r="A237" s="29" t="inlineStr">
        <is>
          <t>EV-20-0005</t>
        </is>
      </c>
      <c r="B237" s="30" t="inlineStr">
        <is>
          <t>BLYP-20-006</t>
        </is>
      </c>
      <c r="C237" s="29" t="inlineStr">
        <is>
          <t>Source code</t>
        </is>
      </c>
      <c r="D237" s="30" t="inlineStr">
        <is>
          <t>src/styles/theme.js</t>
        </is>
      </c>
      <c r="E237" s="29" t="inlineStr">
        <is>
          <t>COLORS</t>
        </is>
      </c>
      <c r="F237" s="29" t="inlineStr">
        <is>
          <t>1</t>
        </is>
      </c>
      <c r="G237" s="29" t="inlineStr">
        <is>
          <t>8bc0dcb2a1da1b21368c5536aaeef829d587f316</t>
        </is>
      </c>
      <c r="H237" s="29" t="inlineStr">
        <is>
          <t>2026-08-02</t>
        </is>
      </c>
      <c r="I237" s="29" t="inlineStr">
        <is>
          <t>Found COLORS object</t>
        </is>
      </c>
      <c r="J237" s="29" t="inlineStr">
        <is>
          <t>Current</t>
        </is>
      </c>
      <c r="K237" s="29" t="inlineStr">
        <is>
          <t>Found COLORS object in theme.js</t>
        </is>
      </c>
    </row>
    <row r="238" ht="42" customHeight="1">
      <c r="A238" s="29" t="inlineStr">
        <is>
          <t>EV-20-0006</t>
        </is>
      </c>
      <c r="B238" s="30" t="inlineStr">
        <is>
          <t>BLYP-20-007</t>
        </is>
      </c>
      <c r="C238" s="29" t="inlineStr">
        <is>
          <t>Source code</t>
        </is>
      </c>
      <c r="D238" s="30" t="inlineStr">
        <is>
          <t>src/screens/SearchScreen.js</t>
        </is>
      </c>
      <c r="E238" s="29" t="inlineStr">
        <is>
          <t>ActivityIndicator</t>
        </is>
      </c>
      <c r="F238" s="29" t="inlineStr">
        <is>
          <t>1</t>
        </is>
      </c>
      <c r="G238" s="29" t="inlineStr">
        <is>
          <t>8bc0dcb2a1da1b21368c5536aaeef829d587f316</t>
        </is>
      </c>
      <c r="H238" s="29" t="inlineStr">
        <is>
          <t>2026-08-02</t>
        </is>
      </c>
      <c r="I238" s="29" t="inlineStr">
        <is>
          <t>Found ActivityIndicator component</t>
        </is>
      </c>
      <c r="J238" s="29" t="inlineStr">
        <is>
          <t>Current</t>
        </is>
      </c>
      <c r="K238" s="29" t="inlineStr">
        <is>
          <t>Found ActivityIndicator component in SearchScreen.js</t>
        </is>
      </c>
    </row>
    <row r="239" ht="42" customHeight="1">
      <c r="A239" s="29" t="inlineStr">
        <is>
          <t>EV-20-0007</t>
        </is>
      </c>
      <c r="B239" s="30" t="inlineStr">
        <is>
          <t>BLYP-20-009</t>
        </is>
      </c>
      <c r="C239" s="29" t="inlineStr">
        <is>
          <t>Source code</t>
        </is>
      </c>
      <c r="D239" s="30" t="inlineStr">
        <is>
          <t>src/screens/ReviewScreen.js</t>
        </is>
      </c>
      <c r="E239" s="29" t="inlineStr">
        <is>
          <t>padding</t>
        </is>
      </c>
      <c r="F239" s="29" t="inlineStr">
        <is>
          <t>1</t>
        </is>
      </c>
      <c r="G239" s="29" t="inlineStr">
        <is>
          <t>8bc0dcb2a1da1b21368c5536aaeef829d587f316</t>
        </is>
      </c>
      <c r="H239" s="29" t="inlineStr">
        <is>
          <t>2026-08-02</t>
        </is>
      </c>
      <c r="I239" s="29" t="inlineStr">
        <is>
          <t>Found padding styles</t>
        </is>
      </c>
      <c r="J239" s="29" t="inlineStr">
        <is>
          <t>Current</t>
        </is>
      </c>
      <c r="K239" s="29" t="inlineStr">
        <is>
          <t>Found padding styles in ReviewScreen.js</t>
        </is>
      </c>
    </row>
    <row r="240" ht="42" customHeight="1">
      <c r="A240" s="29" t="inlineStr">
        <is>
          <t>EV-20-0008</t>
        </is>
      </c>
      <c r="B240" s="30" t="inlineStr">
        <is>
          <t>BLYP-20-010</t>
        </is>
      </c>
      <c r="C240" s="29" t="inlineStr">
        <is>
          <t>Source code</t>
        </is>
      </c>
      <c r="D240" s="30" t="inlineStr">
        <is>
          <t>src/screens/AuthScreen.js</t>
        </is>
      </c>
      <c r="E240" s="29" t="inlineStr">
        <is>
          <t>KeyboardAvoidingView</t>
        </is>
      </c>
      <c r="F240" s="29" t="inlineStr">
        <is>
          <t>1</t>
        </is>
      </c>
      <c r="G240" s="29" t="inlineStr">
        <is>
          <t>8bc0dcb2a1da1b21368c5536aaeef829d587f316</t>
        </is>
      </c>
      <c r="H240" s="29" t="inlineStr">
        <is>
          <t>2026-08-02</t>
        </is>
      </c>
      <c r="I240" s="29" t="inlineStr">
        <is>
          <t>Found KeyboardAvoidingView component</t>
        </is>
      </c>
      <c r="J240" s="29" t="inlineStr">
        <is>
          <t>Current</t>
        </is>
      </c>
      <c r="K240" s="29" t="inlineStr">
        <is>
          <t>Found KeyboardAvoidingView component in AuthScreen.js</t>
        </is>
      </c>
    </row>
    <row r="241" ht="42" customHeight="1">
      <c r="A241" s="29" t="inlineStr">
        <is>
          <t>EV-20-0009</t>
        </is>
      </c>
      <c r="B241" s="30" t="inlineStr">
        <is>
          <t>BLYP-20-011</t>
        </is>
      </c>
      <c r="C241" s="29" t="inlineStr">
        <is>
          <t>Source code</t>
        </is>
      </c>
      <c r="D241" s="30" t="inlineStr">
        <is>
          <t>src/screens/ChatRoomsScreen.js</t>
        </is>
      </c>
      <c r="E241" s="29" t="inlineStr">
        <is>
          <t>Switch</t>
        </is>
      </c>
      <c r="F241" s="29" t="inlineStr">
        <is>
          <t>1</t>
        </is>
      </c>
      <c r="G241" s="29" t="inlineStr">
        <is>
          <t>8bc0dcb2a1da1b21368c5536aaeef829d587f316</t>
        </is>
      </c>
      <c r="H241" s="29" t="inlineStr">
        <is>
          <t>2026-08-02</t>
        </is>
      </c>
      <c r="I241" s="29" t="inlineStr">
        <is>
          <t>Found Switch component</t>
        </is>
      </c>
      <c r="J241" s="29" t="inlineStr">
        <is>
          <t>Current</t>
        </is>
      </c>
      <c r="K241" s="29" t="inlineStr">
        <is>
          <t>Found Switch component in ChatRoomsScreen.js</t>
        </is>
      </c>
    </row>
    <row r="242" ht="42" customHeight="1">
      <c r="A242" s="29" t="inlineStr">
        <is>
          <t>EV-20-0010</t>
        </is>
      </c>
      <c r="B242" s="30" t="inlineStr">
        <is>
          <t>BLYP-20-012</t>
        </is>
      </c>
      <c r="C242" s="29" t="inlineStr">
        <is>
          <t>Source code</t>
        </is>
      </c>
      <c r="D242" s="30" t="inlineStr">
        <is>
          <t>src/screens/ReviewScreen.js</t>
        </is>
      </c>
      <c r="E242" s="29" t="inlineStr">
        <is>
          <t>handleVoiceDescription</t>
        </is>
      </c>
      <c r="F242" s="29" t="inlineStr">
        <is>
          <t>1</t>
        </is>
      </c>
      <c r="G242" s="29" t="inlineStr">
        <is>
          <t>8bc0dcb2a1da1b21368c5536aaeef829d587f316</t>
        </is>
      </c>
      <c r="H242" s="29" t="inlineStr">
        <is>
          <t>2026-08-02</t>
        </is>
      </c>
      <c r="I242" s="29" t="inlineStr">
        <is>
          <t>Found handleVoiceDescription function</t>
        </is>
      </c>
      <c r="J242" s="29" t="inlineStr">
        <is>
          <t>Current</t>
        </is>
      </c>
      <c r="K242" s="29" t="inlineStr">
        <is>
          <t>Found handleVoiceDescription function in ReviewScreen.js</t>
        </is>
      </c>
    </row>
    <row r="243" ht="42" customHeight="1">
      <c r="A243" s="29" t="inlineStr">
        <is>
          <t>EV-20-0011</t>
        </is>
      </c>
      <c r="B243" s="30" t="inlineStr">
        <is>
          <t>BLYP-20-014</t>
        </is>
      </c>
      <c r="C243" s="29" t="inlineStr">
        <is>
          <t>Source code</t>
        </is>
      </c>
      <c r="D243" s="30" t="inlineStr">
        <is>
          <t>src/components/GiftSystem.js</t>
        </is>
      </c>
      <c r="E243" s="29" t="inlineStr">
        <is>
          <t>triggerGiftAnimation</t>
        </is>
      </c>
      <c r="F243" s="29" t="inlineStr">
        <is>
          <t>1</t>
        </is>
      </c>
      <c r="G243" s="29" t="inlineStr">
        <is>
          <t>8bc0dcb2a1da1b21368c5536aaeef829d587f316</t>
        </is>
      </c>
      <c r="H243" s="29" t="inlineStr">
        <is>
          <t>2026-08-02</t>
        </is>
      </c>
      <c r="I243" s="29" t="inlineStr">
        <is>
          <t>Found triggerGiftAnimation function</t>
        </is>
      </c>
      <c r="J243" s="29" t="inlineStr">
        <is>
          <t>Current</t>
        </is>
      </c>
      <c r="K243" s="29" t="inlineStr">
        <is>
          <t>Found triggerGiftAnimation function in GiftSystem.js</t>
        </is>
      </c>
    </row>
    <row r="244" ht="42" customHeight="1">
      <c r="A244" s="29" t="inlineStr">
        <is>
          <t>EV-21-0001</t>
        </is>
      </c>
      <c r="B244" s="30" t="inlineStr">
        <is>
          <t>BLYP-21-001</t>
        </is>
      </c>
      <c r="C244" s="29" t="inlineStr">
        <is>
          <t>Source code</t>
        </is>
      </c>
      <c r="D244" s="30" t="inlineStr">
        <is>
          <t>App.js</t>
        </is>
      </c>
      <c r="E244" s="29" t="inlineStr">
        <is>
          <t>warnTimeout, hardFallbackTimeout</t>
        </is>
      </c>
      <c r="F244" s="29" t="inlineStr">
        <is>
          <t>100-120</t>
        </is>
      </c>
      <c r="G244" s="29" t="inlineStr">
        <is>
          <t>8bc0dcb2a1da1b21368c5536aaeef829d587f316</t>
        </is>
      </c>
      <c r="H244" s="29" t="inlineStr">
        <is>
          <t>2026-08-02T00:00:00Z</t>
        </is>
      </c>
      <c r="I244" s="29" t="inlineStr">
        <is>
          <t>Present</t>
        </is>
      </c>
      <c r="J244" s="29" t="inlineStr">
        <is>
          <t>Current</t>
        </is>
      </c>
      <c r="K244" s="29" t="inlineStr">
        <is>
          <t>Found timeout mechanisms for bootstrap</t>
        </is>
      </c>
    </row>
    <row r="245" ht="42" customHeight="1">
      <c r="A245" s="29" t="inlineStr">
        <is>
          <t>EV-21-0002</t>
        </is>
      </c>
      <c r="B245" s="30" t="inlineStr">
        <is>
          <t>BLYP-21-021</t>
        </is>
      </c>
      <c r="C245" s="29" t="inlineStr">
        <is>
          <t>Source code</t>
        </is>
      </c>
      <c r="D245" s="30" t="inlineStr">
        <is>
          <t>App.js</t>
        </is>
      </c>
      <c r="E245" s="29" t="inlineStr">
        <is>
          <t>streamingFlag</t>
        </is>
      </c>
      <c r="F245" s="29" t="inlineStr">
        <is>
          <t>130-140</t>
        </is>
      </c>
      <c r="G245" s="29" t="inlineStr">
        <is>
          <t>8bc0dcb2a1da1b21368c5536aaeef829d587f316</t>
        </is>
      </c>
      <c r="H245" s="29" t="inlineStr">
        <is>
          <t>2026-08-02T00:00:00Z</t>
        </is>
      </c>
      <c r="I245" s="29" t="inlineStr">
        <is>
          <t>Present</t>
        </is>
      </c>
      <c r="J245" s="29" t="inlineStr">
        <is>
          <t>Current</t>
        </is>
      </c>
      <c r="K245" s="29" t="inlineStr">
        <is>
          <t>Found streamingFlag reference</t>
        </is>
      </c>
    </row>
    <row r="246" ht="42" customHeight="1">
      <c r="A246" s="29" t="inlineStr">
        <is>
          <t>EV-21-0003</t>
        </is>
      </c>
      <c r="B246" s="30" t="inlineStr">
        <is>
          <t>BLYP-21-022</t>
        </is>
      </c>
      <c r="C246" s="29" t="inlineStr">
        <is>
          <t>Source code</t>
        </is>
      </c>
      <c r="D246" s="30" t="inlineStr">
        <is>
          <t>App.js</t>
        </is>
      </c>
      <c r="E246" s="29" t="inlineStr">
        <is>
          <t>crashlytics</t>
        </is>
      </c>
      <c r="F246" s="29" t="inlineStr">
        <is>
          <t>50-80</t>
        </is>
      </c>
      <c r="G246" s="29" t="inlineStr">
        <is>
          <t>8bc0dcb2a1da1b21368c5536aaeef829d587f316</t>
        </is>
      </c>
      <c r="H246" s="29" t="inlineStr">
        <is>
          <t>2026-08-02T00:00:00Z</t>
        </is>
      </c>
      <c r="I246" s="29" t="inlineStr">
        <is>
          <t>Present</t>
        </is>
      </c>
      <c r="J246" s="29" t="inlineStr">
        <is>
          <t>Current</t>
        </is>
      </c>
      <c r="K246" s="29" t="inlineStr">
        <is>
          <t>Found crashlytics integration</t>
        </is>
      </c>
    </row>
    <row r="247" ht="42" customHeight="1">
      <c r="A247" s="29" t="inlineStr">
        <is>
          <t>EV-22-0001</t>
        </is>
      </c>
      <c r="B247" s="30" t="inlineStr">
        <is>
          <t>BLYP-22-002</t>
        </is>
      </c>
      <c r="C247" s="29" t="inlineStr">
        <is>
          <t>Source code</t>
        </is>
      </c>
      <c r="D247" s="30" t="inlineStr">
        <is>
          <t>src/screens/ReviewScreen.js</t>
        </is>
      </c>
      <c r="E247" s="29" t="inlineStr">
        <is>
          <t>handleSaveAsDraft</t>
        </is>
      </c>
      <c r="F247" s="29" t="inlineStr">
        <is>
          <t>lines 221-260</t>
        </is>
      </c>
      <c r="G247" s="29" t="inlineStr">
        <is>
          <t>8bc0dcb2a1da1b21368c5536aaeef829d587f316</t>
        </is>
      </c>
      <c r="H247" s="29" t="inlineStr">
        <is>
          <t>2026-08-02</t>
        </is>
      </c>
      <c r="I247" s="29" t="inlineStr">
        <is>
          <t>Supports</t>
        </is>
      </c>
      <c r="J247" s="29" t="inlineStr">
        <is>
          <t>Current revision</t>
        </is>
      </c>
      <c r="K247" s="29" t="inlineStr">
        <is>
          <t>An authenticated user can save the current media and caption to the Firestore drafts collection. This proves a draft-write path, not draft retrieval, editing or a unified Creator Studio.</t>
        </is>
      </c>
    </row>
    <row r="248" ht="42" customHeight="1">
      <c r="A248" s="29" t="inlineStr">
        <is>
          <t>EV-22-0002</t>
        </is>
      </c>
      <c r="B248" s="30" t="inlineStr">
        <is>
          <t>BLYP-22-002;BLYP-22-001</t>
        </is>
      </c>
      <c r="C248" s="29" t="inlineStr">
        <is>
          <t>Source code</t>
        </is>
      </c>
      <c r="D248" s="30" t="inlineStr">
        <is>
          <t>src/screens/ProfileScreen.js</t>
        </is>
      </c>
      <c r="E248" s="29" t="inlineStr">
        <is>
          <t>renderTabContent / Drafts tab</t>
        </is>
      </c>
      <c r="F248" s="29" t="inlineStr">
        <is>
          <t>line 160</t>
        </is>
      </c>
      <c r="G248" s="29" t="inlineStr">
        <is>
          <t>8bc0dcb2a1da1b21368c5536aaeef829d587f316</t>
        </is>
      </c>
      <c r="H248" s="29" t="inlineStr">
        <is>
          <t>2026-08-02</t>
        </is>
      </c>
      <c r="I248" s="29" t="inlineStr">
        <is>
          <t>Contradicts</t>
        </is>
      </c>
      <c r="J248" s="29" t="inlineStr">
        <is>
          <t>Current revision</t>
        </is>
      </c>
      <c r="K248" s="29" t="inlineStr">
        <is>
          <t>The user-facing Drafts tab renders a “coming soon” placeholder. This contradicts a claim that a complete draft-management or unified Creator Studio surface exists.</t>
        </is>
      </c>
    </row>
    <row r="249" ht="42" customHeight="1">
      <c r="A249" s="29" t="inlineStr">
        <is>
          <t>EV-22-0003</t>
        </is>
      </c>
      <c r="B249" s="30" t="inlineStr">
        <is>
          <t>BLYP-22-006;BLYP-22-007;BLYP-22-008</t>
        </is>
      </c>
      <c r="C249" s="29" t="inlineStr">
        <is>
          <t>Source code</t>
        </is>
      </c>
      <c r="D249" s="30" t="inlineStr">
        <is>
          <t>functions/src/index.ts</t>
        </is>
      </c>
      <c r="E249" s="29" t="inlineStr">
        <is>
          <t>updateStreamAnalytics / updateAnalyticsCollection</t>
        </is>
      </c>
      <c r="F249" s="29" t="inlineStr">
        <is>
          <t>lines 443-489</t>
        </is>
      </c>
      <c r="G249" s="29" t="inlineStr">
        <is>
          <t>8bc0dcb2a1da1b21368c5536aaeef829d587f316</t>
        </is>
      </c>
      <c r="H249" s="29" t="inlineStr">
        <is>
          <t>2026-08-02</t>
        </is>
      </c>
      <c r="I249" s="29" t="inlineStr">
        <is>
          <t>Supports</t>
        </is>
      </c>
      <c r="J249" s="29" t="inlineStr">
        <is>
          <t>Current revision</t>
        </is>
      </c>
      <c r="K249" s="29" t="inlineStr">
        <is>
          <t>A Firestore trigger derives viewer and segment metrics and writes streamAnalytics records. It is an analytics foundation; no creator-facing report screen or production deployment was verified.</t>
        </is>
      </c>
    </row>
    <row r="250" ht="42" customHeight="1">
      <c r="A250" s="29" t="inlineStr">
        <is>
          <t>EV-22-0004</t>
        </is>
      </c>
      <c r="B250" s="30" t="inlineStr">
        <is>
          <t>BLYP-22-004</t>
        </is>
      </c>
      <c r="C250" s="29" t="inlineStr">
        <is>
          <t>Source code</t>
        </is>
      </c>
      <c r="D250" s="30" t="inlineStr">
        <is>
          <t>functions/src/index.ts</t>
        </is>
      </c>
      <c r="E250" s="29" t="inlineStr">
        <is>
          <t>updateProcessingAnalytics</t>
        </is>
      </c>
      <c r="F250" s="29" t="inlineStr">
        <is>
          <t>lines 600-618</t>
        </is>
      </c>
      <c r="G250" s="29" t="inlineStr">
        <is>
          <t>8bc0dcb2a1da1b21368c5536aaeef829d587f316</t>
        </is>
      </c>
      <c r="H250" s="29" t="inlineStr">
        <is>
          <t>2026-08-02</t>
        </is>
      </c>
      <c r="I250" s="29" t="inlineStr">
        <is>
          <t>Supports</t>
        </is>
      </c>
      <c r="J250" s="29" t="inlineStr">
        <is>
          <t>Current revision</t>
        </is>
      </c>
      <c r="K250" s="29" t="inlineStr">
        <is>
          <t>The function writes processing counts and history to processingAnalytics. It does not prove that creators can view per-media processing status.</t>
        </is>
      </c>
    </row>
    <row r="251" ht="42" customHeight="1">
      <c r="A251" s="29" t="inlineStr">
        <is>
          <t>EV-22-0005</t>
        </is>
      </c>
      <c r="B251" s="30" t="inlineStr">
        <is>
          <t>BLYP-22-008</t>
        </is>
      </c>
      <c r="C251" s="29" t="inlineStr">
        <is>
          <t>Source code</t>
        </is>
      </c>
      <c r="D251" s="30" t="inlineStr">
        <is>
          <t>src/services/LiveStreamService.js</t>
        </is>
      </c>
      <c r="E251" s="29" t="inlineStr">
        <is>
          <t>endStream</t>
        </is>
      </c>
      <c r="F251" s="29" t="inlineStr">
        <is>
          <t>lines 74-115</t>
        </is>
      </c>
      <c r="G251" s="29" t="inlineStr">
        <is>
          <t>8bc0dcb2a1da1b21368c5536aaeef829d587f316</t>
        </is>
      </c>
      <c r="H251" s="29" t="inlineStr">
        <is>
          <t>2026-08-02</t>
        </is>
      </c>
      <c r="I251" s="29" t="inlineStr">
        <is>
          <t>Supports</t>
        </is>
      </c>
      <c r="J251" s="29" t="inlineStr">
        <is>
          <t>Current revision</t>
        </is>
      </c>
      <c r="K251" s="29" t="inlineStr">
        <is>
          <t>Ending a legacy Firestore stream writes duration and end time to users/{uid}/liveStreamStats/{streamId}. This is a live-history data foundation, not a unified history UI.</t>
        </is>
      </c>
    </row>
    <row r="252" ht="42" customHeight="1">
      <c r="A252" s="29" t="inlineStr">
        <is>
          <t>EV-22-0006</t>
        </is>
      </c>
      <c r="B252" s="30" t="inlineStr">
        <is>
          <t>BLYP-22-010;BLYP-22-011</t>
        </is>
      </c>
      <c r="C252" s="29" t="inlineStr">
        <is>
          <t>Source code</t>
        </is>
      </c>
      <c r="D252" s="30" t="inlineStr">
        <is>
          <t>backend/blyp-live-service/src/economy/economyRoutes.ts</t>
        </is>
      </c>
      <c r="E252" s="29" t="inlineStr">
        <is>
          <t>GET /economy/stream/:streamId/summary</t>
        </is>
      </c>
      <c r="F252" s="29" t="inlineStr">
        <is>
          <t>lines 173-181</t>
        </is>
      </c>
      <c r="G252" s="29" t="inlineStr">
        <is>
          <t>8bc0dcb2a1da1b21368c5536aaeef829d587f316</t>
        </is>
      </c>
      <c r="H252" s="29" t="inlineStr">
        <is>
          <t>2026-08-02</t>
        </is>
      </c>
      <c r="I252" s="29" t="inlineStr">
        <is>
          <t>Supports</t>
        </is>
      </c>
      <c r="J252" s="29" t="inlineStr">
        <is>
          <t>Current revision</t>
        </is>
      </c>
      <c r="K252" s="29" t="inlineStr">
        <is>
          <t>An authenticated backend route exposes the current user’s per-stream viewer spend and creator earnings summary. Client wiring and a Creator Studio surface were not verified.</t>
        </is>
      </c>
    </row>
    <row r="253" ht="42" customHeight="1">
      <c r="A253" s="29" t="inlineStr">
        <is>
          <t>EV-22-0007</t>
        </is>
      </c>
      <c r="B253" s="30" t="inlineStr">
        <is>
          <t>BLYP-22-010;BLYP-22-011</t>
        </is>
      </c>
      <c r="C253" s="29" t="inlineStr">
        <is>
          <t>Source code</t>
        </is>
      </c>
      <c r="D253" s="30" t="inlineStr">
        <is>
          <t>backend/blyp-live-service/src/economy/economyService.ts</t>
        </is>
      </c>
      <c r="E253" s="29" t="inlineStr">
        <is>
          <t>getStreamSummary</t>
        </is>
      </c>
      <c r="F253" s="29" t="inlineStr">
        <is>
          <t>lines 730-764</t>
        </is>
      </c>
      <c r="G253" s="29" t="inlineStr">
        <is>
          <t>8bc0dcb2a1da1b21368c5536aaeef829d587f316</t>
        </is>
      </c>
      <c r="H253" s="29" t="inlineStr">
        <is>
          <t>2026-08-02</t>
        </is>
      </c>
      <c r="I253" s="29" t="inlineStr">
        <is>
          <t>Supports</t>
        </is>
      </c>
      <c r="J253" s="29" t="inlineStr">
        <is>
          <t>Current revision</t>
        </is>
      </c>
      <c r="K253" s="29" t="inlineStr">
        <is>
          <t>The service aggregates gift_events for viewer spend and reads stream_earnings for creator coins and gems. It is per-stream data, not complete cross-stream gift or earnings history.</t>
        </is>
      </c>
    </row>
    <row r="254" ht="42" customHeight="1">
      <c r="A254" s="29" t="inlineStr">
        <is>
          <t>EV-22-0008</t>
        </is>
      </c>
      <c r="B254" s="30" t="inlineStr">
        <is>
          <t>BLYP-22-006;BLYP-22-007;BLYP-22-015</t>
        </is>
      </c>
      <c r="C254" s="29" t="inlineStr">
        <is>
          <t>Source code</t>
        </is>
      </c>
      <c r="D254" s="30" t="inlineStr">
        <is>
          <t>src/services/EnterpriseAnalyticsService.js</t>
        </is>
      </c>
      <c r="E254" s="29" t="inlineStr">
        <is>
          <t>generateAnalyticsReport</t>
        </is>
      </c>
      <c r="F254" s="29" t="inlineStr">
        <is>
          <t>lines 544-590</t>
        </is>
      </c>
      <c r="G254" s="29" t="inlineStr">
        <is>
          <t>8bc0dcb2a1da1b21368c5536aaeef829d587f316</t>
        </is>
      </c>
      <c r="H254" s="29" t="inlineStr">
        <is>
          <t>2026-08-02</t>
        </is>
      </c>
      <c r="I254" s="29" t="inlineStr">
        <is>
          <t>Supports</t>
        </is>
      </c>
      <c r="J254" s="29" t="inlineStr">
        <is>
          <t>Current revision</t>
        </is>
      </c>
      <c r="K254" s="29" t="inlineStr">
        <is>
          <t>The client service queries analytics events and derives performance, engagement, quality, error, business and recommendation sections. No reachable Creator Studio view or current runtime observation was verified.</t>
        </is>
      </c>
    </row>
    <row r="255" ht="42" customHeight="1">
      <c r="A255" s="29" t="inlineStr">
        <is>
          <t>EV-23-0001</t>
        </is>
      </c>
      <c r="B255" s="30" t="inlineStr">
        <is>
          <t>BLYP-23-001;BLYP-23-002;BLYP-23-003;BLYP-23-004;BLYP-23-005;BLYP-23-006;BLYP-23-007;BLYP-23-008;BLYP-23-009;BLYP-23-010;BLYP-23-011;BLYP-23-012;BLYP-23-013;BLYP-23-014;BLYP-23-015;BLYP-23-016;BLYP-23-017</t>
        </is>
      </c>
      <c r="C255" s="29" t="inlineStr">
        <is>
          <t>Source code</t>
        </is>
      </c>
      <c r="D255" s="29" t="inlineStr">
        <is>
          <t>/src/services/aiService.js</t>
        </is>
      </c>
      <c r="E255" s="29" t="inlineStr">
        <is>
          <t>AIService</t>
        </is>
      </c>
      <c r="F255" s="29" t="inlineStr">
        <is>
          <t>class AIService</t>
        </is>
      </c>
      <c r="G255" s="29" t="inlineStr">
        <is>
          <t>8bc0dcb2a1da1b21368c5536aaeef829d587f316</t>
        </is>
      </c>
      <c r="H255" s="29" t="inlineStr">
        <is>
          <t>2026-08-02T00:00:00Z</t>
        </is>
      </c>
      <c r="I255" s="29" t="inlineStr">
        <is>
          <t>Partial</t>
        </is>
      </c>
      <c r="J255" s="29" t="inlineStr">
        <is>
          <t>Current</t>
        </is>
      </c>
      <c r="K255" s="29" t="inlineStr">
        <is>
          <t>AI service exists but only handles content generation/enhancement, not actions or permissions.</t>
        </is>
      </c>
    </row>
    <row r="256" ht="42" customHeight="1">
      <c r="A256" s="29" t="inlineStr">
        <is>
          <t>EV-27-0001</t>
        </is>
      </c>
      <c r="B256" s="30" t="inlineStr">
        <is>
          <t>BLYP-27-001</t>
        </is>
      </c>
      <c r="C256" s="29" t="inlineStr">
        <is>
          <t>Source code</t>
        </is>
      </c>
      <c r="D256" s="30" t="inlineStr">
        <is>
          <t>src/screens/ChatListScreen.js</t>
        </is>
      </c>
      <c r="E256" s="29" t="inlineStr">
        <is>
          <t>ChatListScreen</t>
        </is>
      </c>
      <c r="F256" s="29" t="inlineStr">
        <is>
          <t>107</t>
        </is>
      </c>
      <c r="G256" s="29" t="inlineStr">
        <is>
          <t>8bc0dcb2a1da1b21368c5536aaeef829d587f316</t>
        </is>
      </c>
      <c r="H256" s="29" t="inlineStr">
        <is>
          <t>2026-08-02</t>
        </is>
      </c>
      <c r="I256" s="29" t="inlineStr">
        <is>
          <t>Found ChatListScreen component</t>
        </is>
      </c>
      <c r="J256" s="29" t="inlineStr">
        <is>
          <t>Current</t>
        </is>
      </c>
      <c r="K256" s="29" t="inlineStr">
        <is>
          <t>Implements inbox/chat list UI</t>
        </is>
      </c>
    </row>
    <row r="257" ht="42" customHeight="1">
      <c r="A257" s="29" t="inlineStr">
        <is>
          <t>EV-27-0002</t>
        </is>
      </c>
      <c r="B257" s="30" t="inlineStr">
        <is>
          <t>BLYP-27-002</t>
        </is>
      </c>
      <c r="C257" s="29" t="inlineStr">
        <is>
          <t>Source code</t>
        </is>
      </c>
      <c r="D257" s="30" t="inlineStr">
        <is>
          <t>src/screens/ChatConversationScreen.js</t>
        </is>
      </c>
      <c r="E257" s="29" t="inlineStr">
        <is>
          <t>ChatConversationScreen</t>
        </is>
      </c>
      <c r="F257" s="29" t="inlineStr">
        <is>
          <t>35</t>
        </is>
      </c>
      <c r="G257" s="29" t="inlineStr">
        <is>
          <t>8bc0dcb2a1da1b21368c5536aaeef829d587f316</t>
        </is>
      </c>
      <c r="H257" s="29" t="inlineStr">
        <is>
          <t>2026-08-02</t>
        </is>
      </c>
      <c r="I257" s="29" t="inlineStr">
        <is>
          <t>Found ChatConversationScreen component</t>
        </is>
      </c>
      <c r="J257" s="29" t="inlineStr">
        <is>
          <t>Current</t>
        </is>
      </c>
      <c r="K257" s="29" t="inlineStr">
        <is>
          <t>Implements direct conversations UI</t>
        </is>
      </c>
    </row>
    <row r="258" ht="42" customHeight="1">
      <c r="A258" s="29" t="inlineStr">
        <is>
          <t>EV-27-0003</t>
        </is>
      </c>
      <c r="B258" s="30" t="inlineStr">
        <is>
          <t>BLYP-27-003</t>
        </is>
      </c>
      <c r="C258" s="29" t="inlineStr">
        <is>
          <t>Source code</t>
        </is>
      </c>
      <c r="D258" s="30" t="inlineStr">
        <is>
          <t>src/screens/ChatListScreen.js</t>
        </is>
      </c>
      <c r="E258" s="29" t="inlineStr">
        <is>
          <t>ChatListScreen</t>
        </is>
      </c>
      <c r="F258" s="29" t="inlineStr">
        <is>
          <t>150</t>
        </is>
      </c>
      <c r="G258" s="29" t="inlineStr">
        <is>
          <t>8bc0dcb2a1da1b21368c5536aaeef829d587f316</t>
        </is>
      </c>
      <c r="H258" s="29" t="inlineStr">
        <is>
          <t>2026-08-02</t>
        </is>
      </c>
      <c r="I258" s="29" t="inlineStr">
        <is>
          <t>Found requests tab</t>
        </is>
      </c>
      <c r="J258" s="29" t="inlineStr">
        <is>
          <t>Current</t>
        </is>
      </c>
      <c r="K258" s="29" t="inlineStr">
        <is>
          <t>Implements message requests UI tab</t>
        </is>
      </c>
    </row>
    <row r="259" ht="42" customHeight="1">
      <c r="A259" s="29" t="inlineStr">
        <is>
          <t>EV-27-0004</t>
        </is>
      </c>
      <c r="B259" s="30" t="inlineStr">
        <is>
          <t>BLYP-27-004</t>
        </is>
      </c>
      <c r="C259" s="29" t="inlineStr">
        <is>
          <t>Source code</t>
        </is>
      </c>
      <c r="D259" s="30" t="inlineStr">
        <is>
          <t>src/screens/ChatListScreen.js</t>
        </is>
      </c>
      <c r="E259" s="29" t="inlineStr">
        <is>
          <t>ChatListScreen</t>
        </is>
      </c>
      <c r="F259" s="29" t="inlineStr">
        <is>
          <t>998</t>
        </is>
      </c>
      <c r="G259" s="29" t="inlineStr">
        <is>
          <t>8bc0dcb2a1da1b21368c5536aaeef829d587f316</t>
        </is>
      </c>
      <c r="H259" s="29" t="inlineStr">
        <is>
          <t>2026-08-02</t>
        </is>
      </c>
      <c r="I259" s="29" t="inlineStr">
        <is>
          <t>Found groups tab</t>
        </is>
      </c>
      <c r="J259" s="29" t="inlineStr">
        <is>
          <t>Current</t>
        </is>
      </c>
      <c r="K259" s="29" t="inlineStr">
        <is>
          <t>Implements team/group chats UI tab</t>
        </is>
      </c>
    </row>
    <row r="260" ht="42" customHeight="1">
      <c r="A260" s="29" t="inlineStr">
        <is>
          <t>EV-27-0005</t>
        </is>
      </c>
      <c r="B260" s="30" t="inlineStr">
        <is>
          <t>BLYP-27-005</t>
        </is>
      </c>
      <c r="C260" s="29" t="inlineStr">
        <is>
          <t>Missing</t>
        </is>
      </c>
      <c r="D260" s="29" t="inlineStr">
        <is>
          <t>None</t>
        </is>
      </c>
      <c r="E260" s="29" t="inlineStr">
        <is>
          <t>None</t>
        </is>
      </c>
      <c r="F260" s="29" t="inlineStr">
        <is>
          <t>None</t>
        </is>
      </c>
      <c r="G260" s="29" t="inlineStr">
        <is>
          <t>8bc0dcb2a1da1b21368c5536aaeef829d587f316</t>
        </is>
      </c>
      <c r="H260" s="29" t="inlineStr">
        <is>
          <t>2026-08-02</t>
        </is>
      </c>
      <c r="I260" s="29" t="inlineStr">
        <is>
          <t>No evidence found</t>
        </is>
      </c>
      <c r="J260" s="29" t="inlineStr">
        <is>
          <t>Current</t>
        </is>
      </c>
      <c r="K260" s="29" t="inlineStr">
        <is>
          <t>Searched for dating matches</t>
        </is>
      </c>
    </row>
    <row r="261" ht="42" customHeight="1">
      <c r="A261" s="29" t="inlineStr">
        <is>
          <t>EV-27-0006</t>
        </is>
      </c>
      <c r="B261" s="30" t="inlineStr">
        <is>
          <t>BLYP-27-006</t>
        </is>
      </c>
      <c r="C261" s="29" t="inlineStr">
        <is>
          <t>Missing</t>
        </is>
      </c>
      <c r="D261" s="29" t="inlineStr">
        <is>
          <t>None</t>
        </is>
      </c>
      <c r="E261" s="29" t="inlineStr">
        <is>
          <t>None</t>
        </is>
      </c>
      <c r="F261" s="29" t="inlineStr">
        <is>
          <t>None</t>
        </is>
      </c>
      <c r="G261" s="29" t="inlineStr">
        <is>
          <t>8bc0dcb2a1da1b21368c5536aaeef829d587f316</t>
        </is>
      </c>
      <c r="H261" s="29" t="inlineStr">
        <is>
          <t>2026-08-02</t>
        </is>
      </c>
      <c r="I261" s="29" t="inlineStr">
        <is>
          <t>No evidence found</t>
        </is>
      </c>
      <c r="J261" s="29" t="inlineStr">
        <is>
          <t>Current</t>
        </is>
      </c>
      <c r="K261" s="29" t="inlineStr">
        <is>
          <t>Searched for system communications</t>
        </is>
      </c>
    </row>
    <row r="262" ht="42" customHeight="1">
      <c r="A262" s="29" t="inlineStr">
        <is>
          <t>EV-27-0007</t>
        </is>
      </c>
      <c r="B262" s="30" t="inlineStr">
        <is>
          <t>BLYP-27-007</t>
        </is>
      </c>
      <c r="C262" s="29" t="inlineStr">
        <is>
          <t>Missing</t>
        </is>
      </c>
      <c r="D262" s="29" t="inlineStr">
        <is>
          <t>None</t>
        </is>
      </c>
      <c r="E262" s="29" t="inlineStr">
        <is>
          <t>None</t>
        </is>
      </c>
      <c r="F262" s="29" t="inlineStr">
        <is>
          <t>None</t>
        </is>
      </c>
      <c r="G262" s="29" t="inlineStr">
        <is>
          <t>8bc0dcb2a1da1b21368c5536aaeef829d587f316</t>
        </is>
      </c>
      <c r="H262" s="29" t="inlineStr">
        <is>
          <t>2026-08-02</t>
        </is>
      </c>
      <c r="I262" s="29" t="inlineStr">
        <is>
          <t>No evidence found</t>
        </is>
      </c>
      <c r="J262" s="29" t="inlineStr">
        <is>
          <t>Current</t>
        </is>
      </c>
      <c r="K262" s="29" t="inlineStr">
        <is>
          <t>Searched for replies</t>
        </is>
      </c>
    </row>
    <row r="263" ht="42" customHeight="1">
      <c r="A263" s="29" t="inlineStr">
        <is>
          <t>EV-27-0008</t>
        </is>
      </c>
      <c r="B263" s="30" t="inlineStr">
        <is>
          <t>BLYP-27-008</t>
        </is>
      </c>
      <c r="C263" s="29" t="inlineStr">
        <is>
          <t>Missing</t>
        </is>
      </c>
      <c r="D263" s="29" t="inlineStr">
        <is>
          <t>None</t>
        </is>
      </c>
      <c r="E263" s="29" t="inlineStr">
        <is>
          <t>None</t>
        </is>
      </c>
      <c r="F263" s="29" t="inlineStr">
        <is>
          <t>None</t>
        </is>
      </c>
      <c r="G263" s="29" t="inlineStr">
        <is>
          <t>8bc0dcb2a1da1b21368c5536aaeef829d587f316</t>
        </is>
      </c>
      <c r="H263" s="29" t="inlineStr">
        <is>
          <t>2026-08-02</t>
        </is>
      </c>
      <c r="I263" s="29" t="inlineStr">
        <is>
          <t>No evidence found</t>
        </is>
      </c>
      <c r="J263" s="29" t="inlineStr">
        <is>
          <t>Current</t>
        </is>
      </c>
      <c r="K263" s="29" t="inlineStr">
        <is>
          <t>Searched for reactions</t>
        </is>
      </c>
    </row>
    <row r="264" ht="42" customHeight="1">
      <c r="A264" s="29" t="inlineStr">
        <is>
          <t>EV-27-0009</t>
        </is>
      </c>
      <c r="B264" s="30" t="inlineStr">
        <is>
          <t>BLYP-27-009</t>
        </is>
      </c>
      <c r="C264" s="29" t="inlineStr">
        <is>
          <t>Missing</t>
        </is>
      </c>
      <c r="D264" s="29" t="inlineStr">
        <is>
          <t>None</t>
        </is>
      </c>
      <c r="E264" s="29" t="inlineStr">
        <is>
          <t>None</t>
        </is>
      </c>
      <c r="F264" s="29" t="inlineStr">
        <is>
          <t>None</t>
        </is>
      </c>
      <c r="G264" s="29" t="inlineStr">
        <is>
          <t>8bc0dcb2a1da1b21368c5536aaeef829d587f316</t>
        </is>
      </c>
      <c r="H264" s="29" t="inlineStr">
        <is>
          <t>2026-08-02</t>
        </is>
      </c>
      <c r="I264" s="29" t="inlineStr">
        <is>
          <t>No evidence found</t>
        </is>
      </c>
      <c r="J264" s="29" t="inlineStr">
        <is>
          <t>Current</t>
        </is>
      </c>
      <c r="K264" s="29" t="inlineStr">
        <is>
          <t>Searched for media messages</t>
        </is>
      </c>
    </row>
    <row r="265" ht="42" customHeight="1">
      <c r="A265" s="29" t="inlineStr">
        <is>
          <t>EV-27-0010</t>
        </is>
      </c>
      <c r="B265" s="30" t="inlineStr">
        <is>
          <t>BLYP-27-010</t>
        </is>
      </c>
      <c r="C265" s="29" t="inlineStr">
        <is>
          <t>Missing</t>
        </is>
      </c>
      <c r="D265" s="29" t="inlineStr">
        <is>
          <t>None</t>
        </is>
      </c>
      <c r="E265" s="29" t="inlineStr">
        <is>
          <t>None</t>
        </is>
      </c>
      <c r="F265" s="29" t="inlineStr">
        <is>
          <t>None</t>
        </is>
      </c>
      <c r="G265" s="29" t="inlineStr">
        <is>
          <t>8bc0dcb2a1da1b21368c5536aaeef829d587f316</t>
        </is>
      </c>
      <c r="H265" s="29" t="inlineStr">
        <is>
          <t>2026-08-02</t>
        </is>
      </c>
      <c r="I265" s="29" t="inlineStr">
        <is>
          <t>No evidence found</t>
        </is>
      </c>
      <c r="J265" s="29" t="inlineStr">
        <is>
          <t>Current</t>
        </is>
      </c>
      <c r="K265" s="29" t="inlineStr">
        <is>
          <t>Searched for voice notes</t>
        </is>
      </c>
    </row>
    <row r="266" ht="42" customHeight="1">
      <c r="A266" s="29" t="inlineStr">
        <is>
          <t>EV-27-0011</t>
        </is>
      </c>
      <c r="B266" s="30" t="inlineStr">
        <is>
          <t>BLYP-27-011</t>
        </is>
      </c>
      <c r="C266" s="29" t="inlineStr">
        <is>
          <t>Source code</t>
        </is>
      </c>
      <c r="D266" s="30" t="inlineStr">
        <is>
          <t>src/screens/ChatListScreen.js</t>
        </is>
      </c>
      <c r="E266" s="29" t="inlineStr">
        <is>
          <t>ChatListScreen</t>
        </is>
      </c>
      <c r="F266" s="29" t="inlineStr">
        <is>
          <t>111</t>
        </is>
      </c>
      <c r="G266" s="29" t="inlineStr">
        <is>
          <t>8bc0dcb2a1da1b21368c5536aaeef829d587f316</t>
        </is>
      </c>
      <c r="H266" s="29" t="inlineStr">
        <is>
          <t>2026-08-02</t>
        </is>
      </c>
      <c r="I266" s="29" t="inlineStr">
        <is>
          <t>Found search functionality</t>
        </is>
      </c>
      <c r="J266" s="29" t="inlineStr">
        <is>
          <t>Current</t>
        </is>
      </c>
      <c r="K266" s="29" t="inlineStr">
        <is>
          <t>Implements message search</t>
        </is>
      </c>
    </row>
    <row r="267" ht="42" customHeight="1">
      <c r="A267" s="29" t="inlineStr">
        <is>
          <t>EV-27-0012</t>
        </is>
      </c>
      <c r="B267" s="30" t="inlineStr">
        <is>
          <t>BLYP-27-012</t>
        </is>
      </c>
      <c r="C267" s="29" t="inlineStr">
        <is>
          <t>Source code</t>
        </is>
      </c>
      <c r="D267" s="30" t="inlineStr">
        <is>
          <t>src/screens/ChatListScreen.js</t>
        </is>
      </c>
      <c r="E267" s="29" t="inlineStr">
        <is>
          <t>ChatListScreen</t>
        </is>
      </c>
      <c r="F267" s="29" t="inlineStr">
        <is>
          <t>509</t>
        </is>
      </c>
      <c r="G267" s="29" t="inlineStr">
        <is>
          <t>8bc0dcb2a1da1b21368c5536aaeef829d587f316</t>
        </is>
      </c>
      <c r="H267" s="29" t="inlineStr">
        <is>
          <t>2026-08-02</t>
        </is>
      </c>
      <c r="I267" s="29" t="inlineStr">
        <is>
          <t>Found unread controls</t>
        </is>
      </c>
      <c r="J267" s="29" t="inlineStr">
        <is>
          <t>Current</t>
        </is>
      </c>
      <c r="K267" s="29" t="inlineStr">
        <is>
          <t>Implements unread controls</t>
        </is>
      </c>
    </row>
    <row r="268" ht="42" customHeight="1">
      <c r="A268" s="29" t="inlineStr">
        <is>
          <t>EV-27-0013</t>
        </is>
      </c>
      <c r="B268" s="30" t="inlineStr">
        <is>
          <t>BLYP-27-013</t>
        </is>
      </c>
      <c r="C268" s="29" t="inlineStr">
        <is>
          <t>Missing</t>
        </is>
      </c>
      <c r="D268" s="29" t="inlineStr">
        <is>
          <t>None</t>
        </is>
      </c>
      <c r="E268" s="29" t="inlineStr">
        <is>
          <t>None</t>
        </is>
      </c>
      <c r="F268" s="29" t="inlineStr">
        <is>
          <t>None</t>
        </is>
      </c>
      <c r="G268" s="29" t="inlineStr">
        <is>
          <t>8bc0dcb2a1da1b21368c5536aaeef829d587f316</t>
        </is>
      </c>
      <c r="H268" s="29" t="inlineStr">
        <is>
          <t>2026-08-02</t>
        </is>
      </c>
      <c r="I268" s="29" t="inlineStr">
        <is>
          <t>No evidence found</t>
        </is>
      </c>
      <c r="J268" s="29" t="inlineStr">
        <is>
          <t>Current</t>
        </is>
      </c>
      <c r="K268" s="29" t="inlineStr">
        <is>
          <t>Searched for muting</t>
        </is>
      </c>
    </row>
    <row r="269" ht="42" customHeight="1">
      <c r="A269" s="29" t="inlineStr">
        <is>
          <t>EV-27-0014</t>
        </is>
      </c>
      <c r="B269" s="30" t="inlineStr">
        <is>
          <t>BLYP-27-014</t>
        </is>
      </c>
      <c r="C269" s="29" t="inlineStr">
        <is>
          <t>Missing</t>
        </is>
      </c>
      <c r="D269" s="29" t="inlineStr">
        <is>
          <t>None</t>
        </is>
      </c>
      <c r="E269" s="29" t="inlineStr">
        <is>
          <t>None</t>
        </is>
      </c>
      <c r="F269" s="29" t="inlineStr">
        <is>
          <t>None</t>
        </is>
      </c>
      <c r="G269" s="29" t="inlineStr">
        <is>
          <t>8bc0dcb2a1da1b21368c5536aaeef829d587f316</t>
        </is>
      </c>
      <c r="H269" s="29" t="inlineStr">
        <is>
          <t>2026-08-02</t>
        </is>
      </c>
      <c r="I269" s="29" t="inlineStr">
        <is>
          <t>No evidence found</t>
        </is>
      </c>
      <c r="J269" s="29" t="inlineStr">
        <is>
          <t>Current</t>
        </is>
      </c>
      <c r="K269" s="29" t="inlineStr">
        <is>
          <t>Searched for blocking</t>
        </is>
      </c>
    </row>
    <row r="270" ht="42" customHeight="1">
      <c r="A270" s="29" t="inlineStr">
        <is>
          <t>EV-27-0015</t>
        </is>
      </c>
      <c r="B270" s="30" t="inlineStr">
        <is>
          <t>BLYP-27-015</t>
        </is>
      </c>
      <c r="C270" s="29" t="inlineStr">
        <is>
          <t>Missing</t>
        </is>
      </c>
      <c r="D270" s="29" t="inlineStr">
        <is>
          <t>None</t>
        </is>
      </c>
      <c r="E270" s="29" t="inlineStr">
        <is>
          <t>None</t>
        </is>
      </c>
      <c r="F270" s="29" t="inlineStr">
        <is>
          <t>None</t>
        </is>
      </c>
      <c r="G270" s="29" t="inlineStr">
        <is>
          <t>8bc0dcb2a1da1b21368c5536aaeef829d587f316</t>
        </is>
      </c>
      <c r="H270" s="29" t="inlineStr">
        <is>
          <t>2026-08-02</t>
        </is>
      </c>
      <c r="I270" s="29" t="inlineStr">
        <is>
          <t>No evidence found</t>
        </is>
      </c>
      <c r="J270" s="29" t="inlineStr">
        <is>
          <t>Current</t>
        </is>
      </c>
      <c r="K270" s="29" t="inlineStr">
        <is>
          <t>Searched for reporting</t>
        </is>
      </c>
    </row>
    <row r="271" ht="42" customHeight="1">
      <c r="A271" s="29" t="inlineStr">
        <is>
          <t>EV-27-0016</t>
        </is>
      </c>
      <c r="B271" s="30" t="inlineStr">
        <is>
          <t>BLYP-27-016</t>
        </is>
      </c>
      <c r="C271" s="29" t="inlineStr">
        <is>
          <t>Source code</t>
        </is>
      </c>
      <c r="D271" s="30" t="inlineStr">
        <is>
          <t>src/screens/ChatConversationScreen.js</t>
        </is>
      </c>
      <c r="E271" s="29" t="inlineStr">
        <is>
          <t>ChatConversationScreen</t>
        </is>
      </c>
      <c r="F271" s="29" t="inlineStr">
        <is>
          <t>161</t>
        </is>
      </c>
      <c r="G271" s="29" t="inlineStr">
        <is>
          <t>8bc0dcb2a1da1b21368c5536aaeef829d587f316</t>
        </is>
      </c>
      <c r="H271" s="29" t="inlineStr">
        <is>
          <t>2026-08-02</t>
        </is>
      </c>
      <c r="I271" s="29" t="inlineStr">
        <is>
          <t>Found sent status</t>
        </is>
      </c>
      <c r="J271" s="29" t="inlineStr">
        <is>
          <t>Current</t>
        </is>
      </c>
      <c r="K271" s="29" t="inlineStr">
        <is>
          <t>Implements sent status</t>
        </is>
      </c>
    </row>
    <row r="272" ht="42" customHeight="1">
      <c r="A272" s="29" t="inlineStr">
        <is>
          <t>EV-27-0017</t>
        </is>
      </c>
      <c r="B272" s="30" t="inlineStr">
        <is>
          <t>BLYP-27-017</t>
        </is>
      </c>
      <c r="C272" s="29" t="inlineStr">
        <is>
          <t>Source code</t>
        </is>
      </c>
      <c r="D272" s="30" t="inlineStr">
        <is>
          <t>src/screens/ChatConversationScreen.js</t>
        </is>
      </c>
      <c r="E272" s="29" t="inlineStr">
        <is>
          <t>ChatConversationScreen</t>
        </is>
      </c>
      <c r="F272" s="29" t="inlineStr">
        <is>
          <t>181</t>
        </is>
      </c>
      <c r="G272" s="29" t="inlineStr">
        <is>
          <t>8bc0dcb2a1da1b21368c5536aaeef829d587f316</t>
        </is>
      </c>
      <c r="H272" s="29" t="inlineStr">
        <is>
          <t>2026-08-02</t>
        </is>
      </c>
      <c r="I272" s="29" t="inlineStr">
        <is>
          <t>Found delivered status</t>
        </is>
      </c>
      <c r="J272" s="29" t="inlineStr">
        <is>
          <t>Current</t>
        </is>
      </c>
      <c r="K272" s="29" t="inlineStr">
        <is>
          <t>Implements delivered status</t>
        </is>
      </c>
    </row>
    <row r="273" ht="42" customHeight="1">
      <c r="A273" s="29" t="inlineStr">
        <is>
          <t>EV-27-0018</t>
        </is>
      </c>
      <c r="B273" s="30" t="inlineStr">
        <is>
          <t>BLYP-27-018</t>
        </is>
      </c>
      <c r="C273" s="29" t="inlineStr">
        <is>
          <t>Source code</t>
        </is>
      </c>
      <c r="D273" s="30" t="inlineStr">
        <is>
          <t>src/screens/ChatConversationScreen.js</t>
        </is>
      </c>
      <c r="E273" s="29" t="inlineStr">
        <is>
          <t>ChatConversationScreen</t>
        </is>
      </c>
      <c r="F273" s="29" t="inlineStr">
        <is>
          <t>207</t>
        </is>
      </c>
      <c r="G273" s="29" t="inlineStr">
        <is>
          <t>8bc0dcb2a1da1b21368c5536aaeef829d587f316</t>
        </is>
      </c>
      <c r="H273" s="29" t="inlineStr">
        <is>
          <t>2026-08-02</t>
        </is>
      </c>
      <c r="I273" s="29" t="inlineStr">
        <is>
          <t>Found read status</t>
        </is>
      </c>
      <c r="J273" s="29" t="inlineStr">
        <is>
          <t>Current</t>
        </is>
      </c>
      <c r="K273" s="29" t="inlineStr">
        <is>
          <t>Implements read status</t>
        </is>
      </c>
    </row>
    <row r="274" ht="42" customHeight="1">
      <c r="A274" s="29" t="inlineStr">
        <is>
          <t>EV-27-0019</t>
        </is>
      </c>
      <c r="B274" s="30" t="inlineStr">
        <is>
          <t>BLYP-27-019</t>
        </is>
      </c>
      <c r="C274" s="29" t="inlineStr">
        <is>
          <t>Source code</t>
        </is>
      </c>
      <c r="D274" s="30" t="inlineStr">
        <is>
          <t>src/screens/ChatConversationScreen.js</t>
        </is>
      </c>
      <c r="E274" s="29" t="inlineStr">
        <is>
          <t>ChatConversationScreen</t>
        </is>
      </c>
      <c r="F274" s="29" t="inlineStr">
        <is>
          <t>148</t>
        </is>
      </c>
      <c r="G274" s="29" t="inlineStr">
        <is>
          <t>8bc0dcb2a1da1b21368c5536aaeef829d587f316</t>
        </is>
      </c>
      <c r="H274" s="29" t="inlineStr">
        <is>
          <t>2026-08-02</t>
        </is>
      </c>
      <c r="I274" s="29" t="inlineStr">
        <is>
          <t>Found real-time message threads</t>
        </is>
      </c>
      <c r="J274" s="29" t="inlineStr">
        <is>
          <t>Current</t>
        </is>
      </c>
      <c r="K274" s="29" t="inlineStr">
        <is>
          <t>Implements real-time message threads</t>
        </is>
      </c>
    </row>
    <row r="275" ht="42" customHeight="1">
      <c r="A275" s="29" t="inlineStr">
        <is>
          <t>EV-27-0020</t>
        </is>
      </c>
      <c r="B275" s="30" t="inlineStr">
        <is>
          <t>BLYP-27-020</t>
        </is>
      </c>
      <c r="C275" s="29" t="inlineStr">
        <is>
          <t>Missing</t>
        </is>
      </c>
      <c r="D275" s="29" t="inlineStr">
        <is>
          <t>None</t>
        </is>
      </c>
      <c r="E275" s="29" t="inlineStr">
        <is>
          <t>None</t>
        </is>
      </c>
      <c r="F275" s="29" t="inlineStr">
        <is>
          <t>None</t>
        </is>
      </c>
      <c r="G275" s="29" t="inlineStr">
        <is>
          <t>8bc0dcb2a1da1b21368c5536aaeef829d587f316</t>
        </is>
      </c>
      <c r="H275" s="29" t="inlineStr">
        <is>
          <t>2026-08-02</t>
        </is>
      </c>
      <c r="I275" s="29" t="inlineStr">
        <is>
          <t>No evidence found</t>
        </is>
      </c>
      <c r="J275" s="29" t="inlineStr">
        <is>
          <t>Current</t>
        </is>
      </c>
      <c r="K275" s="29" t="inlineStr">
        <is>
          <t>Searched for typing indicator hooks</t>
        </is>
      </c>
    </row>
    <row r="276" ht="42" customHeight="1">
      <c r="A276" s="29" t="inlineStr">
        <is>
          <t>EV-27-0021</t>
        </is>
      </c>
      <c r="B276" s="30" t="inlineStr">
        <is>
          <t>BLYP-27-021</t>
        </is>
      </c>
      <c r="C276" s="29" t="inlineStr">
        <is>
          <t>Missing</t>
        </is>
      </c>
      <c r="D276" s="29" t="inlineStr">
        <is>
          <t>None</t>
        </is>
      </c>
      <c r="E276" s="29" t="inlineStr">
        <is>
          <t>None</t>
        </is>
      </c>
      <c r="F276" s="29" t="inlineStr">
        <is>
          <t>None</t>
        </is>
      </c>
      <c r="G276" s="29" t="inlineStr">
        <is>
          <t>8bc0dcb2a1da1b21368c5536aaeef829d587f316</t>
        </is>
      </c>
      <c r="H276" s="29" t="inlineStr">
        <is>
          <t>2026-08-02</t>
        </is>
      </c>
      <c r="I276" s="29" t="inlineStr">
        <is>
          <t>No evidence found</t>
        </is>
      </c>
      <c r="J276" s="29" t="inlineStr">
        <is>
          <t>Current</t>
        </is>
      </c>
      <c r="K276" s="29" t="inlineStr">
        <is>
          <t>Searched for presence hooks</t>
        </is>
      </c>
    </row>
    <row r="277" ht="42" customHeight="1">
      <c r="A277" s="29" t="inlineStr">
        <is>
          <t>EV-27-0022</t>
        </is>
      </c>
      <c r="B277" s="30" t="inlineStr">
        <is>
          <t>BLYP-27-022</t>
        </is>
      </c>
      <c r="C277" s="29" t="inlineStr">
        <is>
          <t>Missing</t>
        </is>
      </c>
      <c r="D277" s="29" t="inlineStr">
        <is>
          <t>None</t>
        </is>
      </c>
      <c r="E277" s="29" t="inlineStr">
        <is>
          <t>None</t>
        </is>
      </c>
      <c r="F277" s="29" t="inlineStr">
        <is>
          <t>None</t>
        </is>
      </c>
      <c r="G277" s="29" t="inlineStr">
        <is>
          <t>8bc0dcb2a1da1b21368c5536aaeef829d587f316</t>
        </is>
      </c>
      <c r="H277" s="29" t="inlineStr">
        <is>
          <t>2026-08-02</t>
        </is>
      </c>
      <c r="I277" s="29" t="inlineStr">
        <is>
          <t>No evidence found</t>
        </is>
      </c>
      <c r="J277" s="29" t="inlineStr">
        <is>
          <t>Current</t>
        </is>
      </c>
      <c r="K277" s="29" t="inlineStr">
        <is>
          <t>Searched for separate dating-conversation boundary</t>
        </is>
      </c>
    </row>
    <row r="278" ht="42" customHeight="1">
      <c r="A278" s="29" t="inlineStr">
        <is>
          <t>EV-27-0023</t>
        </is>
      </c>
      <c r="B278" s="30" t="inlineStr">
        <is>
          <t>BLYP-27-023</t>
        </is>
      </c>
      <c r="C278" s="29" t="inlineStr">
        <is>
          <t>Missing</t>
        </is>
      </c>
      <c r="D278" s="29" t="inlineStr">
        <is>
          <t>None</t>
        </is>
      </c>
      <c r="E278" s="29" t="inlineStr">
        <is>
          <t>None</t>
        </is>
      </c>
      <c r="F278" s="29" t="inlineStr">
        <is>
          <t>None</t>
        </is>
      </c>
      <c r="G278" s="29" t="inlineStr">
        <is>
          <t>8bc0dcb2a1da1b21368c5536aaeef829d587f316</t>
        </is>
      </c>
      <c r="H278" s="29" t="inlineStr">
        <is>
          <t>2026-08-02</t>
        </is>
      </c>
      <c r="I278" s="29" t="inlineStr">
        <is>
          <t>No evidence found</t>
        </is>
      </c>
      <c r="J278" s="29" t="inlineStr">
        <is>
          <t>Current</t>
        </is>
      </c>
      <c r="K278" s="29" t="inlineStr">
        <is>
          <t>Searched for unknown accounts routed to requests</t>
        </is>
      </c>
    </row>
    <row r="279" ht="42" customHeight="1">
      <c r="A279" s="29" t="inlineStr">
        <is>
          <t>EV-27-0024</t>
        </is>
      </c>
      <c r="B279" s="30" t="inlineStr">
        <is>
          <t>BLYP-27-024</t>
        </is>
      </c>
      <c r="C279" s="29" t="inlineStr">
        <is>
          <t>Missing</t>
        </is>
      </c>
      <c r="D279" s="29" t="inlineStr">
        <is>
          <t>None</t>
        </is>
      </c>
      <c r="E279" s="29" t="inlineStr">
        <is>
          <t>None</t>
        </is>
      </c>
      <c r="F279" s="29" t="inlineStr">
        <is>
          <t>None</t>
        </is>
      </c>
      <c r="G279" s="29" t="inlineStr">
        <is>
          <t>8bc0dcb2a1da1b21368c5536aaeef829d587f316</t>
        </is>
      </c>
      <c r="H279" s="29" t="inlineStr">
        <is>
          <t>2026-08-02</t>
        </is>
      </c>
      <c r="I279" s="29" t="inlineStr">
        <is>
          <t>No evidence found</t>
        </is>
      </c>
      <c r="J279" s="29" t="inlineStr">
        <is>
          <t>Current</t>
        </is>
      </c>
      <c r="K279" s="29" t="inlineStr">
        <is>
          <t>Searched for control who may contact the member</t>
        </is>
      </c>
    </row>
    <row r="280" ht="42" customHeight="1">
      <c r="A280" s="29" t="inlineStr">
        <is>
          <t>EV-27-0025</t>
        </is>
      </c>
      <c r="B280" s="30" t="inlineStr">
        <is>
          <t>BLYP-27-025</t>
        </is>
      </c>
      <c r="C280" s="29" t="inlineStr">
        <is>
          <t>Missing</t>
        </is>
      </c>
      <c r="D280" s="29" t="inlineStr">
        <is>
          <t>None</t>
        </is>
      </c>
      <c r="E280" s="29" t="inlineStr">
        <is>
          <t>None</t>
        </is>
      </c>
      <c r="F280" s="29" t="inlineStr">
        <is>
          <t>None</t>
        </is>
      </c>
      <c r="G280" s="29" t="inlineStr">
        <is>
          <t>8bc0dcb2a1da1b21368c5536aaeef829d587f316</t>
        </is>
      </c>
      <c r="H280" s="29" t="inlineStr">
        <is>
          <t>2026-08-02</t>
        </is>
      </c>
      <c r="I280" s="29" t="inlineStr">
        <is>
          <t>No evidence found</t>
        </is>
      </c>
      <c r="J280" s="29" t="inlineStr">
        <is>
          <t>Current</t>
        </is>
      </c>
      <c r="K280" s="29" t="inlineStr">
        <is>
          <t>Searched for private messages excluded from advertising</t>
        </is>
      </c>
    </row>
    <row r="281" ht="42" customHeight="1">
      <c r="A281" s="29" t="inlineStr">
        <is>
          <t>EV-27-0026</t>
        </is>
      </c>
      <c r="B281" s="30" t="inlineStr">
        <is>
          <t>BLYP-27-026</t>
        </is>
      </c>
      <c r="C281" s="29" t="inlineStr">
        <is>
          <t>Missing</t>
        </is>
      </c>
      <c r="D281" s="29" t="inlineStr">
        <is>
          <t>None</t>
        </is>
      </c>
      <c r="E281" s="29" t="inlineStr">
        <is>
          <t>None</t>
        </is>
      </c>
      <c r="F281" s="29" t="inlineStr">
        <is>
          <t>None</t>
        </is>
      </c>
      <c r="G281" s="29" t="inlineStr">
        <is>
          <t>8bc0dcb2a1da1b21368c5536aaeef829d587f316</t>
        </is>
      </c>
      <c r="H281" s="29" t="inlineStr">
        <is>
          <t>2026-08-02</t>
        </is>
      </c>
      <c r="I281" s="29" t="inlineStr">
        <is>
          <t>No evidence found</t>
        </is>
      </c>
      <c r="J281" s="29" t="inlineStr">
        <is>
          <t>Current</t>
        </is>
      </c>
      <c r="K281" s="29" t="inlineStr">
        <is>
          <t>Searched for private messages excluded from routine AI training</t>
        </is>
      </c>
    </row>
    <row r="282" ht="42" customHeight="1">
      <c r="A282" s="29" t="inlineStr">
        <is>
          <t>EV-28-0001</t>
        </is>
      </c>
      <c r="B282" s="30" t="inlineStr">
        <is>
          <t>BLYP-28-001;BLYP-28-002;BLYP-28-016</t>
        </is>
      </c>
      <c r="C282" s="29" t="inlineStr">
        <is>
          <t>Source code</t>
        </is>
      </c>
      <c r="D282" s="30" t="inlineStr">
        <is>
          <t>src/screens/MediaViewerScreen.js</t>
        </is>
      </c>
      <c r="E282" s="29" t="inlineStr">
        <is>
          <t>handleShare</t>
        </is>
      </c>
      <c r="F282" s="29" t="inlineStr">
        <is>
          <t>lines 163-192</t>
        </is>
      </c>
      <c r="G282" s="29" t="inlineStr">
        <is>
          <t>8bc0dcb2a1da1b21368c5536aaeef829d587f316</t>
        </is>
      </c>
      <c r="H282" s="29" t="inlineStr">
        <is>
          <t>2026-08-02</t>
        </is>
      </c>
      <c r="I282" s="29" t="inlineStr">
        <is>
          <t>Supports</t>
        </is>
      </c>
      <c r="J282" s="29" t="inlineStr">
        <is>
          <t>Current revision</t>
        </is>
      </c>
      <c r="K282" s="29" t="inlineStr">
        <is>
          <t>A visible user action builds a Blyp-labelled message, attaches an available media URL and invokes React Native Share.share. It is generic post sharing, not a destination-aware invitation or referral flow.</t>
        </is>
      </c>
    </row>
    <row r="283" ht="42" customHeight="1">
      <c r="A283" s="29" t="inlineStr">
        <is>
          <t>EV-28-0002</t>
        </is>
      </c>
      <c r="B283" s="30" t="inlineStr">
        <is>
          <t>BLYP-28-003;BLYP-28-017</t>
        </is>
      </c>
      <c r="C283" s="29" t="inlineStr">
        <is>
          <t>Configuration</t>
        </is>
      </c>
      <c r="D283" s="30" t="inlineStr">
        <is>
          <t>app.config.js</t>
        </is>
      </c>
      <c r="E283" s="29" t="inlineStr">
        <is>
          <t>Expo scheme and Android permissions</t>
        </is>
      </c>
      <c r="F283" s="29" t="inlineStr">
        <is>
          <t>lines 26-30 and 49-63</t>
        </is>
      </c>
      <c r="G283" s="29" t="inlineStr">
        <is>
          <t>8bc0dcb2a1da1b21368c5536aaeef829d587f316</t>
        </is>
      </c>
      <c r="H283" s="29" t="inlineStr">
        <is>
          <t>2026-08-02</t>
        </is>
      </c>
      <c r="I283" s="29" t="inlineStr">
        <is>
          <t>Supports</t>
        </is>
      </c>
      <c r="J283" s="29" t="inlineStr">
        <is>
          <t>Current revision</t>
        </is>
      </c>
      <c r="K283" s="29" t="inlineStr">
        <is>
          <t>The application declares the blyp URL scheme and does not request contacts permission in the reviewed Expo configuration. No destination route handling or native-manifest runtime verification was performed.</t>
        </is>
      </c>
    </row>
    <row r="284" ht="42" customHeight="1">
      <c r="A284" s="29" t="inlineStr">
        <is>
          <t>EV-28-0003</t>
        </is>
      </c>
      <c r="B284" s="30" t="inlineStr">
        <is>
          <t>BLYP-28-016</t>
        </is>
      </c>
      <c r="C284" s="29" t="inlineStr">
        <is>
          <t>Source code</t>
        </is>
      </c>
      <c r="D284" s="30" t="inlineStr">
        <is>
          <t>src/screens/GameRoomScreen.js</t>
        </is>
      </c>
      <c r="E284" s="29" t="inlineStr">
        <is>
          <t>handleInviteFriends / Invite Friends via Feed button</t>
        </is>
      </c>
      <c r="F284" s="29" t="inlineStr">
        <is>
          <t>lines 66-68 and 122-124</t>
        </is>
      </c>
      <c r="G284" s="29" t="inlineStr">
        <is>
          <t>8bc0dcb2a1da1b21368c5536aaeef829d587f316</t>
        </is>
      </c>
      <c r="H284" s="29" t="inlineStr">
        <is>
          <t>2026-08-02</t>
        </is>
      </c>
      <c r="I284" s="29" t="inlineStr">
        <is>
          <t>Supports</t>
        </is>
      </c>
      <c r="J284" s="29" t="inlineStr">
        <is>
          <t>Current revision</t>
        </is>
      </c>
      <c r="K284" s="29" t="inlineStr">
        <is>
          <t>The invitation affordance is activated by the member, but the handler only displays an alert and does not create a share link, referral or destination return path.</t>
        </is>
      </c>
    </row>
    <row r="285" ht="42" customHeight="1">
      <c r="A285" s="29" t="inlineStr">
        <is>
          <t>EV-28-0004</t>
        </is>
      </c>
      <c r="B285" s="30" t="inlineStr">
        <is>
          <t>BLYP-28-008;BLYP-28-016</t>
        </is>
      </c>
      <c r="C285" s="29" t="inlineStr">
        <is>
          <t>Source code</t>
        </is>
      </c>
      <c r="D285" s="30" t="inlineStr">
        <is>
          <t>src/services/GameService.js</t>
        </is>
      </c>
      <c r="E285" s="29" t="inlineStr">
        <is>
          <t>createGameRoom</t>
        </is>
      </c>
      <c r="F285" s="29" t="inlineStr">
        <is>
          <t>lines 19-60</t>
        </is>
      </c>
      <c r="G285" s="29" t="inlineStr">
        <is>
          <t>8bc0dcb2a1da1b21368c5536aaeef829d587f316</t>
        </is>
      </c>
      <c r="H285" s="29" t="inlineStr">
        <is>
          <t>2026-08-02</t>
        </is>
      </c>
      <c r="I285" s="29" t="inlineStr">
        <is>
          <t>Supports</t>
        </is>
      </c>
      <c r="J285" s="29" t="inlineStr">
        <is>
          <t>Current revision</t>
        </is>
      </c>
      <c r="K285" s="29" t="inlineStr">
        <is>
          <t>A game room stores invitedUsers and may emit a social-feed post when public. This is a Firestore game-room foundation, not an external battle invite link.</t>
        </is>
      </c>
    </row>
    <row r="286" ht="42" customHeight="1">
      <c r="A286" s="29" t="inlineStr">
        <is>
          <t>EV-29-0001</t>
        </is>
      </c>
      <c r="B286" s="30" t="inlineStr">
        <is>
          <t>BLYP-29-001</t>
        </is>
      </c>
      <c r="C286" s="29" t="inlineStr">
        <is>
          <t>Source code</t>
        </is>
      </c>
      <c r="D286" s="30" t="inlineStr">
        <is>
          <t>src/screens/EditProfileScreen.js</t>
        </is>
      </c>
      <c r="E286" s="29" t="inlineStr">
        <is>
          <t>Help &amp; Support TouchableOpacity</t>
        </is>
      </c>
      <c r="F286" s="29" t="inlineStr">
        <is>
          <t>280</t>
        </is>
      </c>
      <c r="G286" s="29" t="inlineStr">
        <is>
          <t>8bc0dcb2a1da1b21368c5536aaeef829d587f316</t>
        </is>
      </c>
      <c r="H286" s="29" t="inlineStr"/>
      <c r="I286" s="29" t="inlineStr">
        <is>
          <t>Supports</t>
        </is>
      </c>
      <c r="J286" s="29" t="inlineStr">
        <is>
          <t>Current revision</t>
        </is>
      </c>
      <c r="K286" s="29" t="inlineStr">
        <is>
          <t>Found UI placeholder for Help &amp; Support in EditProfileScreen.js</t>
        </is>
      </c>
    </row>
    <row r="287" ht="42" customHeight="1">
      <c r="A287" s="29" t="inlineStr">
        <is>
          <t>EV-30-0001</t>
        </is>
      </c>
      <c r="B287" s="30" t="inlineStr">
        <is>
          <t>BLYP-30-002</t>
        </is>
      </c>
      <c r="C287" s="29" t="inlineStr">
        <is>
          <t>Source code</t>
        </is>
      </c>
      <c r="D287" s="30" t="inlineStr">
        <is>
          <t>package.json</t>
        </is>
      </c>
      <c r="E287" s="29" t="inlineStr">
        <is>
          <t>test</t>
        </is>
      </c>
      <c r="F287" s="29" t="inlineStr">
        <is>
          <t>line 2</t>
        </is>
      </c>
      <c r="G287" s="29" t="inlineStr">
        <is>
          <t>8bc0dcb2a1da1b21368c5536aaeef829d587f316</t>
        </is>
      </c>
      <c r="H287" s="29" t="inlineStr"/>
      <c r="I287" s="29" t="inlineStr">
        <is>
          <t>Supports</t>
        </is>
      </c>
      <c r="J287" s="29" t="inlineStr">
        <is>
          <t>Current revision</t>
        </is>
      </c>
      <c r="K287" s="29" t="inlineStr">
        <is>
          <t>Jest test script is defined in package.json</t>
        </is>
      </c>
    </row>
    <row r="288" ht="42" customHeight="1">
      <c r="A288" s="29" t="inlineStr">
        <is>
          <t>EV-30-0002</t>
        </is>
      </c>
      <c r="B288" s="30" t="inlineStr">
        <is>
          <t>BLYP-30-002</t>
        </is>
      </c>
      <c r="C288" s="29" t="inlineStr">
        <is>
          <t>Source code</t>
        </is>
      </c>
      <c r="D288" s="29" t="inlineStr">
        <is>
          <t>__tests__</t>
        </is>
      </c>
      <c r="E288" s="29" t="inlineStr">
        <is>
          <t>smoke.test.js</t>
        </is>
      </c>
      <c r="F288" s="29" t="inlineStr">
        <is>
          <t>directory</t>
        </is>
      </c>
      <c r="G288" s="29" t="inlineStr">
        <is>
          <t>8bc0dcb2a1da1b21368c5536aaeef829d587f316</t>
        </is>
      </c>
      <c r="H288" s="29" t="inlineStr"/>
      <c r="I288" s="29" t="inlineStr">
        <is>
          <t>Supports</t>
        </is>
      </c>
      <c r="J288" s="29" t="inlineStr">
        <is>
          <t>Current revision</t>
        </is>
      </c>
      <c r="K288" s="29" t="inlineStr">
        <is>
          <t>Jest test files are present in __tests__ directory</t>
        </is>
      </c>
    </row>
    <row r="289" ht="42" customHeight="1">
      <c r="A289" s="29" t="inlineStr">
        <is>
          <t>EV-30-0003</t>
        </is>
      </c>
      <c r="B289" s="30" t="inlineStr">
        <is>
          <t>BLYP-30-003</t>
        </is>
      </c>
      <c r="C289" s="29" t="inlineStr">
        <is>
          <t>Source code</t>
        </is>
      </c>
      <c r="D289" s="29" t="inlineStr">
        <is>
          <t>tsconfig.json</t>
        </is>
      </c>
      <c r="E289" s="29" t="inlineStr">
        <is>
          <t>N/A</t>
        </is>
      </c>
      <c r="F289" s="29" t="inlineStr">
        <is>
          <t>N/A</t>
        </is>
      </c>
      <c r="G289" s="29" t="inlineStr">
        <is>
          <t>8bc0dcb2a1da1b21368c5536aaeef829d587f316</t>
        </is>
      </c>
      <c r="H289" s="29" t="inlineStr"/>
      <c r="I289" s="29" t="inlineStr">
        <is>
          <t>Contradicts</t>
        </is>
      </c>
      <c r="J289" s="29" t="inlineStr">
        <is>
          <t>Current revision</t>
        </is>
      </c>
      <c r="K289" s="29" t="inlineStr">
        <is>
          <t>No tsconfig.json found, indicating lack of TypeScript type checking</t>
        </is>
      </c>
    </row>
    <row r="290" ht="42" customHeight="1">
      <c r="A290" s="29" t="inlineStr">
        <is>
          <t>EV-30-0004</t>
        </is>
      </c>
      <c r="B290" s="30" t="inlineStr">
        <is>
          <t>BLYP-30-004</t>
        </is>
      </c>
      <c r="C290" s="29" t="inlineStr">
        <is>
          <t>Source code</t>
        </is>
      </c>
      <c r="D290" s="30" t="inlineStr">
        <is>
          <t>package.json</t>
        </is>
      </c>
      <c r="E290" s="29" t="inlineStr">
        <is>
          <t>test:rules:firestore</t>
        </is>
      </c>
      <c r="F290" s="29" t="inlineStr">
        <is>
          <t>line 4</t>
        </is>
      </c>
      <c r="G290" s="29" t="inlineStr">
        <is>
          <t>8bc0dcb2a1da1b21368c5536aaeef829d587f316</t>
        </is>
      </c>
      <c r="H290" s="29" t="inlineStr"/>
      <c r="I290" s="29" t="inlineStr">
        <is>
          <t>Supports</t>
        </is>
      </c>
      <c r="J290" s="29" t="inlineStr">
        <is>
          <t>Current revision</t>
        </is>
      </c>
      <c r="K290" s="29" t="inlineStr">
        <is>
          <t>Firestore rules test script is defined in package.json</t>
        </is>
      </c>
    </row>
    <row r="291" ht="42" customHeight="1">
      <c r="A291" s="29" t="inlineStr">
        <is>
          <t>EV-30-0005</t>
        </is>
      </c>
      <c r="B291" s="30" t="inlineStr">
        <is>
          <t>BLYP-30-005</t>
        </is>
      </c>
      <c r="C291" s="29" t="inlineStr">
        <is>
          <t>Source code</t>
        </is>
      </c>
      <c r="D291" s="30" t="inlineStr">
        <is>
          <t>package.json</t>
        </is>
      </c>
      <c r="E291" s="29" t="inlineStr">
        <is>
          <t>test:rules:storage</t>
        </is>
      </c>
      <c r="F291" s="29" t="inlineStr">
        <is>
          <t>line 5</t>
        </is>
      </c>
      <c r="G291" s="29" t="inlineStr">
        <is>
          <t>8bc0dcb2a1da1b21368c5536aaeef829d587f316</t>
        </is>
      </c>
      <c r="H291" s="29" t="inlineStr"/>
      <c r="I291" s="29" t="inlineStr">
        <is>
          <t>Supports</t>
        </is>
      </c>
      <c r="J291" s="29" t="inlineStr">
        <is>
          <t>Current revision</t>
        </is>
      </c>
      <c r="K291" s="29" t="inlineStr">
        <is>
          <t>Storage rules test script is defined in package.json</t>
        </is>
      </c>
    </row>
    <row r="292" ht="42" customHeight="1">
      <c r="A292" s="29" t="inlineStr">
        <is>
          <t>EV-30-0006</t>
        </is>
      </c>
      <c r="B292" s="30" t="inlineStr">
        <is>
          <t>BLYP-30-037</t>
        </is>
      </c>
      <c r="C292" s="29" t="inlineStr">
        <is>
          <t>Source code</t>
        </is>
      </c>
      <c r="D292" s="30" t="inlineStr">
        <is>
          <t>eas.json</t>
        </is>
      </c>
      <c r="E292" s="29" t="inlineStr">
        <is>
          <t>build.production.android</t>
        </is>
      </c>
      <c r="F292" s="29" t="inlineStr">
        <is>
          <t>line 25</t>
        </is>
      </c>
      <c r="G292" s="29" t="inlineStr">
        <is>
          <t>8bc0dcb2a1da1b21368c5536aaeef829d587f316</t>
        </is>
      </c>
      <c r="H292" s="29" t="inlineStr"/>
      <c r="I292" s="29" t="inlineStr">
        <is>
          <t>Supports</t>
        </is>
      </c>
      <c r="J292" s="29" t="inlineStr">
        <is>
          <t>Current revision</t>
        </is>
      </c>
      <c r="K292" s="29" t="inlineStr">
        <is>
          <t>EAS Android build pipeline is configured in eas.json</t>
        </is>
      </c>
    </row>
    <row r="293" ht="42" customHeight="1">
      <c r="A293" s="29" t="inlineStr">
        <is>
          <t>EV-30-0007</t>
        </is>
      </c>
      <c r="B293" s="30" t="inlineStr">
        <is>
          <t>BLYP-30-039</t>
        </is>
      </c>
      <c r="C293" s="29" t="inlineStr">
        <is>
          <t>Source code</t>
        </is>
      </c>
      <c r="D293" s="30" t="inlineStr">
        <is>
          <t>eas.json</t>
        </is>
      </c>
      <c r="E293" s="29" t="inlineStr">
        <is>
          <t>submit.production.ios</t>
        </is>
      </c>
      <c r="F293" s="29" t="inlineStr">
        <is>
          <t>line 45</t>
        </is>
      </c>
      <c r="G293" s="29" t="inlineStr">
        <is>
          <t>8bc0dcb2a1da1b21368c5536aaeef829d587f316</t>
        </is>
      </c>
      <c r="H293" s="29" t="inlineStr"/>
      <c r="I293" s="29" t="inlineStr">
        <is>
          <t>Supports</t>
        </is>
      </c>
      <c r="J293" s="29" t="inlineStr">
        <is>
          <t>Current revision</t>
        </is>
      </c>
      <c r="K293" s="29" t="inlineStr">
        <is>
          <t>iOS release pipeline is configured in eas.json</t>
        </is>
      </c>
    </row>
    <row r="294" ht="42" customHeight="1">
      <c r="A294" s="29" t="inlineStr">
        <is>
          <t>EV-RUN-0001</t>
        </is>
      </c>
      <c r="B294" s="30" t="inlineStr">
        <is>
          <t>BLYP-30-002;BLYP-30-024</t>
        </is>
      </c>
      <c r="C294" s="29" t="inlineStr">
        <is>
          <t>Automated test</t>
        </is>
      </c>
      <c r="D294" s="29" t="inlineStr">
        <is>
          <t>Connected workspace root</t>
        </is>
      </c>
      <c r="E294" s="29" t="inlineStr">
        <is>
          <t>npm test -- --runInBand</t>
        </is>
      </c>
      <c r="F294" s="29" t="inlineStr">
        <is>
          <t>Executed command; runtime_verification.md</t>
        </is>
      </c>
      <c r="G294" s="29" t="inlineStr">
        <is>
          <t>8bc0dcb2a1da1b21368c5536aaeef829d587f316 + pre-existing working-tree change</t>
        </is>
      </c>
      <c r="H294" s="29" t="inlineStr">
        <is>
          <t>2026-08-02</t>
        </is>
      </c>
      <c r="I294" s="29" t="inlineStr">
        <is>
          <t>Contradicts</t>
        </is>
      </c>
      <c r="J294" s="29" t="inlineStr">
        <is>
          <t>Current revision</t>
        </is>
      </c>
      <c r="K294" s="29" t="inlineStr">
        <is>
          <t>The configured root Jest command did not produce a usable passing suite because test discovery/configuration traversed incompatible artefacts. This is a verification-infrastructure failure, not proof that every product journey fails.</t>
        </is>
      </c>
    </row>
    <row r="295" ht="42" customHeight="1">
      <c r="A295" s="29" t="inlineStr">
        <is>
          <t>EV-RUN-0002</t>
        </is>
      </c>
      <c r="B295" s="30" t="inlineStr">
        <is>
          <t>BLYP-30-003</t>
        </is>
      </c>
      <c r="C295" s="29" t="inlineStr">
        <is>
          <t>Build artefact</t>
        </is>
      </c>
      <c r="D295" s="29" t="inlineStr">
        <is>
          <t>Connected workspace root</t>
        </is>
      </c>
      <c r="E295" s="29" t="inlineStr">
        <is>
          <t>npm run typecheck</t>
        </is>
      </c>
      <c r="F295" s="29" t="inlineStr">
        <is>
          <t>Executed command; runtime_verification.md</t>
        </is>
      </c>
      <c r="G295" s="29" t="inlineStr">
        <is>
          <t>8bc0dcb2a1da1b21368c5536aaeef829d587f316 + pre-existing working-tree change</t>
        </is>
      </c>
      <c r="H295" s="29" t="inlineStr">
        <is>
          <t>2026-08-02</t>
        </is>
      </c>
      <c r="I295" s="29" t="inlineStr">
        <is>
          <t>Contradicts</t>
        </is>
      </c>
      <c r="J295" s="29" t="inlineStr">
        <is>
          <t>Current revision</t>
        </is>
      </c>
      <c r="K295" s="29" t="inlineStr">
        <is>
          <t>Root TypeScript verification exited with five errors in three diagnostics artefacts with unresolved relative imports. The repository-wide typecheck is not a clean release gate; the errors do not establish five active product defects.</t>
        </is>
      </c>
    </row>
    <row r="296" ht="42" customHeight="1">
      <c r="A296" s="29" t="inlineStr">
        <is>
          <t>EV-RUN-0003</t>
        </is>
      </c>
      <c r="B296" s="30" t="inlineStr">
        <is>
          <t>BLYP-30-003</t>
        </is>
      </c>
      <c r="C296" s="29" t="inlineStr">
        <is>
          <t>Build artefact</t>
        </is>
      </c>
      <c r="D296" s="30" t="inlineStr">
        <is>
          <t>backend/blyp-live-service</t>
        </is>
      </c>
      <c r="E296" s="29" t="inlineStr">
        <is>
          <t>npm run typecheck</t>
        </is>
      </c>
      <c r="F296" s="29" t="inlineStr">
        <is>
          <t>Executed command; tsc -p tsconfig.json --noEmit</t>
        </is>
      </c>
      <c r="G296" s="29" t="inlineStr">
        <is>
          <t>8bc0dcb2a1da1b21368c5536aaeef829d587f316 + pre-existing working-tree change</t>
        </is>
      </c>
      <c r="H296" s="29" t="inlineStr">
        <is>
          <t>2026-08-02</t>
        </is>
      </c>
      <c r="I296" s="29" t="inlineStr">
        <is>
          <t>Supports</t>
        </is>
      </c>
      <c r="J296" s="29" t="inlineStr">
        <is>
          <t>Current revision</t>
        </is>
      </c>
      <c r="K296" s="29" t="inlineStr">
        <is>
          <t>The primary backend TypeScript check completed successfully. This proves scoped static compilation only, not route reachability, infrastructure health or production deployment.</t>
        </is>
      </c>
    </row>
    <row r="297" ht="42" customHeight="1">
      <c r="A297" s="29" t="inlineStr">
        <is>
          <t>EV-RUN-0004</t>
        </is>
      </c>
      <c r="B297" s="30" t="inlineStr">
        <is>
          <t>BLYP-30-003</t>
        </is>
      </c>
      <c r="C297" s="29" t="inlineStr">
        <is>
          <t>Build artefact</t>
        </is>
      </c>
      <c r="D297" s="29" t="inlineStr">
        <is>
          <t>functions</t>
        </is>
      </c>
      <c r="E297" s="29" t="inlineStr">
        <is>
          <t>npx tsc --noEmit</t>
        </is>
      </c>
      <c r="F297" s="29" t="inlineStr">
        <is>
          <t>Executed command; runtime_verification.md</t>
        </is>
      </c>
      <c r="G297" s="29" t="inlineStr">
        <is>
          <t>8bc0dcb2a1da1b21368c5536aaeef829d587f316</t>
        </is>
      </c>
      <c r="H297" s="29" t="inlineStr">
        <is>
          <t>2026-08-02</t>
        </is>
      </c>
      <c r="I297" s="29" t="inlineStr">
        <is>
          <t>Supports</t>
        </is>
      </c>
      <c r="J297" s="29" t="inlineStr">
        <is>
          <t>Current revision</t>
        </is>
      </c>
      <c r="K297" s="29" t="inlineStr">
        <is>
          <t>The Firebase Functions TypeScript source compiled without emission. This does not prove deployment, trigger binding, authorization or successful production event processing.</t>
        </is>
      </c>
    </row>
    <row r="298" ht="42" customHeight="1">
      <c r="A298" s="29" t="inlineStr">
        <is>
          <t>EV-RUN-0005</t>
        </is>
      </c>
      <c r="B298" s="30" t="inlineStr">
        <is>
          <t>BLYP-07-001;BLYP-07-002;BLYP-30-006;BLYP-30-008;BLYP-30-025</t>
        </is>
      </c>
      <c r="C298" s="29" t="inlineStr">
        <is>
          <t>Device test</t>
        </is>
      </c>
      <c r="D298" s="30" t="inlineStr">
        <is>
          <t>diagnostics/device_testing/FOLD7_SIGNED_RELEASE_20260731/TEST_FINDINGS.md</t>
        </is>
      </c>
      <c r="E298" s="29" t="inlineStr">
        <is>
          <t>Signed Android package guest Home and Go live entry</t>
        </is>
      </c>
      <c r="F298" s="29" t="inlineStr">
        <is>
          <t>TEST_FINDINGS.md lines 3-13; baseline and permission artefacts in same run</t>
        </is>
      </c>
      <c r="G298" s="29" t="inlineStr">
        <is>
          <t>com.blyp.mobile 1.0.1; versionCode 2026303428; Galaxy Z Fold7 SM-F966B</t>
        </is>
      </c>
      <c r="H298" s="29" t="inlineStr">
        <is>
          <t>2026-07-31</t>
        </is>
      </c>
      <c r="I298" s="29" t="inlineStr">
        <is>
          <t>Supports</t>
        </is>
      </c>
      <c r="J298" s="29" t="inlineStr">
        <is>
          <t>Older revision</t>
        </is>
      </c>
      <c r="K298" s="29" t="inlineStr">
        <is>
          <t>Physical signed build rendered account and guest flows, reached Home with major affordances and reached the native camera-permission boundary from Go live without a fatal exception. Guest active-stream query logged a Firestore permission error. This does not prove authenticated broadcast completion.</t>
        </is>
      </c>
    </row>
    <row r="299" ht="42" customHeight="1">
      <c r="A299" s="29" t="inlineStr">
        <is>
          <t>EV-RUN-0006</t>
        </is>
      </c>
      <c r="B299" s="30" t="inlineStr">
        <is>
          <t>BLYP-07-002;BLYP-07-004;BLYP-30-025</t>
        </is>
      </c>
      <c r="C299" s="29" t="inlineStr">
        <is>
          <t>Device test</t>
        </is>
      </c>
      <c r="D299" s="30" t="inlineStr">
        <is>
          <t>diagnostics/device_testing/FOLD7_SIGNED_RELEASE_20260731/live_fix_fresh_verified_20260731_023116/14_verdict.txt</t>
        </is>
      </c>
      <c r="E299" s="29" t="inlineStr">
        <is>
          <t>Host live startup, camera flip, end live and summary</t>
        </is>
      </c>
      <c r="F299" s="29" t="inlineStr">
        <is>
          <t>14_verdict.txt lines 1-6</t>
        </is>
      </c>
      <c r="G299" s="29" t="inlineStr">
        <is>
          <t>Signed Fold7 candidate; run live_fix_fresh_verified_20260731_023116</t>
        </is>
      </c>
      <c r="H299" s="29" t="inlineStr">
        <is>
          <t>2026-07-31T01:33:31Z</t>
        </is>
      </c>
      <c r="I299" s="29" t="inlineStr">
        <is>
          <t>Contradicts</t>
        </is>
      </c>
      <c r="J299" s="29" t="inlineStr">
        <is>
          <t>Older revision</t>
        </is>
      </c>
      <c r="K299" s="29" t="inlineStr">
        <is>
          <t>Startup, end-live and summary were recorded as pass, while front-to-back camera flip froze. The run supports partial host-flow execution and an unresolved physical-device camera defect.</t>
        </is>
      </c>
    </row>
    <row r="300" ht="42" customHeight="1">
      <c r="A300" s="29" t="inlineStr">
        <is>
          <t>EV-RUN-0007</t>
        </is>
      </c>
      <c r="B300" s="30" t="inlineStr">
        <is>
          <t>BLYP-07-002;BLYP-07-004;BLYP-30-025</t>
        </is>
      </c>
      <c r="C300" s="29" t="inlineStr">
        <is>
          <t>Device test</t>
        </is>
      </c>
      <c r="D300" s="30" t="inlineStr">
        <is>
          <t>diagnostics/device_testing/FOLD7_SIGNED_RELEASE_20260731/host_live_camera_verification_20260731_060511/22_visual_camera_verdict.md</t>
        </is>
      </c>
      <c r="E300" s="29" t="inlineStr">
        <is>
          <t>Authenticated host live UI and camera preview</t>
        </is>
      </c>
      <c r="F300" s="29" t="inlineStr">
        <is>
          <t>22_visual_camera_verdict.md lines 1-16</t>
        </is>
      </c>
      <c r="G300" s="29" t="inlineStr">
        <is>
          <t>APK SHA-256 6EA90E5AFED49AD2752D3323E34DDD695C1BEB68E0F6A026FCB38D0003B24B87</t>
        </is>
      </c>
      <c r="H300" s="29" t="inlineStr">
        <is>
          <t>2026-07-31T06:05:11+01:00</t>
        </is>
      </c>
      <c r="I300" s="29" t="inlineStr">
        <is>
          <t>Contradicts</t>
        </is>
      </c>
      <c r="J300" s="29" t="inlineStr">
        <is>
          <t>Older revision</t>
        </is>
      </c>
      <c r="K300" s="29" t="inlineStr">
        <is>
          <t>The automated rail reached Home, started live, found two camera flips and opened chat, but the host preview remained uniformly black. The candidate verdict was FAIL and explicitly prohibited delivery as a camera fix.</t>
        </is>
      </c>
    </row>
    <row r="301" ht="42" customHeight="1">
      <c r="A301" s="29" t="inlineStr">
        <is>
          <t>EV-RUN-0008</t>
        </is>
      </c>
      <c r="B301" s="30" t="inlineStr">
        <is>
          <t>BLYP-07-002;BLYP-30-025</t>
        </is>
      </c>
      <c r="C301" s="29" t="inlineStr">
        <is>
          <t>Device test</t>
        </is>
      </c>
      <c r="D301" s="30" t="inlineStr">
        <is>
          <t>diagnostics/device_testing/FOLD7_SIGNED_RELEASE_20260731/fresh_native_window_candidate_20260731_074428</t>
        </is>
      </c>
      <c r="E301" s="29" t="inlineStr">
        <is>
          <t>Later signed Fold7 camera candidates</t>
        </is>
      </c>
      <c r="F301" s="29" t="inlineStr">
        <is>
          <t>fold7_verification_20260731_120706/99_verdict.json; fold7_final_no_reinstall_20260731_124121/99_verdict.json</t>
        </is>
      </c>
      <c r="G301" s="29" t="inlineStr">
        <is>
          <t>Candidate SHA-256 E7552810C2F40081DC434649DEA6FD6D6927190803A5DD4410301E896FD2E341</t>
        </is>
      </c>
      <c r="H301" s="29" t="inlineStr">
        <is>
          <t>2026-07-31T12:43:43+01:00</t>
        </is>
      </c>
      <c r="I301" s="29" t="inlineStr">
        <is>
          <t>Contradicts</t>
        </is>
      </c>
      <c r="J301" s="29" t="inlineStr">
        <is>
          <t>Older revision</t>
        </is>
      </c>
      <c r="K301" s="29" t="inlineStr">
        <is>
          <t>Both later verdict records report FAIL. This preserves the unresolved live-camera status instead of assuming that a later candidate fixed the visual defect.</t>
        </is>
      </c>
    </row>
    <row r="302" ht="42" customHeight="1">
      <c r="A302" s="29" t="inlineStr">
        <is>
          <t>EV-RUN-0009</t>
        </is>
      </c>
      <c r="B302" s="30" t="inlineStr">
        <is>
          <t>BLYP-14-001;BLYP-14-002;BLYP-14-011;BLYP-14-012;BLYP-14-019;BLYP-14-020</t>
        </is>
      </c>
      <c r="C302" s="29" t="inlineStr">
        <is>
          <t>Documentation claim</t>
        </is>
      </c>
      <c r="D302" s="29" t="inlineStr">
        <is>
          <t>diagnostics/gift_engine; diagnostics/wallet_ledger; diagnostics/creator_earnings</t>
        </is>
      </c>
      <c r="E302" s="29" t="inlineStr">
        <is>
          <t>00_FILES_CREATED.txt manifests</t>
        </is>
      </c>
      <c r="F302" s="29" t="inlineStr">
        <is>
          <t>Gift, wallet-ledger and creator-earnings install manifests</t>
        </is>
      </c>
      <c r="G302" s="29" t="inlineStr">
        <is>
          <t>Historical artefacts dated 2026-02-23</t>
        </is>
      </c>
      <c r="H302" s="29" t="inlineStr">
        <is>
          <t>2026-02-23</t>
        </is>
      </c>
      <c r="I302" s="29" t="inlineStr">
        <is>
          <t>Lead only</t>
        </is>
      </c>
      <c r="J302" s="29" t="inlineStr">
        <is>
          <t>Older revision</t>
        </is>
      </c>
      <c r="K302" s="29" t="inlineStr">
        <is>
          <t>The manifests prove source-file creation only. They do not record an executed wallet read, gift transaction, balance update, earnings calculation or payout.</t>
        </is>
      </c>
    </row>
    <row r="303" ht="42" customHeight="1">
      <c r="A303" s="29" t="inlineStr">
        <is>
          <t>EV-RUN-0010</t>
        </is>
      </c>
      <c r="B303" s="30" t="inlineStr">
        <is>
          <t>BLYP-14-001;BLYP-14-002;BLYP-14-011;BLYP-14-012;BLYP-14-026;BLYP-14-027</t>
        </is>
      </c>
      <c r="C303" s="29" t="inlineStr">
        <is>
          <t>Documentation claim</t>
        </is>
      </c>
      <c r="D303" s="30" t="inlineStr">
        <is>
          <t>diagnostics/live_monetisation/HOSTED_ONLY_ECONOMY_CUTOVER_PHASE1_20260315/PHASE1_HOSTED_ONLY_ECONOMY_CUTOVER_PACKET.md</t>
        </is>
      </c>
      <c r="E303" s="29" t="inlineStr">
        <is>
          <t>Hosted-only wallet, gift and admin-credit cutover</t>
        </is>
      </c>
      <c r="F303" s="29" t="inlineStr">
        <is>
          <t>Packet lines 1-121</t>
        </is>
      </c>
      <c r="G303" s="29" t="inlineStr">
        <is>
          <t>Historical source cutover packet dated 2026-03-15</t>
        </is>
      </c>
      <c r="H303" s="29" t="inlineStr">
        <is>
          <t>2026-03-15</t>
        </is>
      </c>
      <c r="I303" s="29" t="inlineStr">
        <is>
          <t>Supports</t>
        </is>
      </c>
      <c r="J303" s="29" t="inlineStr">
        <is>
          <t>Older revision</t>
        </is>
      </c>
      <c r="K303" s="29" t="inlineStr">
        <is>
          <t>The packet documents hosted API ownership and source scans, and explicitly calls for end-to-end hosted-only checks. It supports implementation-path history, not runtime success or production readiness.</t>
        </is>
      </c>
    </row>
    <row r="304" ht="42" customHeight="1">
      <c r="A304" s="29" t="inlineStr">
        <is>
          <t>EV-RUN-0011</t>
        </is>
      </c>
      <c r="B304" s="30" t="inlineStr">
        <is>
          <t>BLYP-14-005;BLYP-14-006;BLYP-14-007;BLYP-14-018;BLYP-14-023;BLYP-30-028</t>
        </is>
      </c>
      <c r="C304" s="29" t="inlineStr">
        <is>
          <t>Audit lead</t>
        </is>
      </c>
      <c r="D304" s="30" t="inlineStr">
        <is>
          <t>diagnostics/commerce_batch1/COMMERCE_BATCH1_20260324_FIXED/00_summary.txt</t>
        </is>
      </c>
      <c r="E304" s="29" t="inlineStr">
        <is>
          <t>Buy Coins execution path</t>
        </is>
      </c>
      <c r="F304" s="29" t="inlineStr">
        <is>
          <t>00_summary.txt lines 1-92</t>
        </is>
      </c>
      <c r="G304" s="29" t="inlineStr">
        <is>
          <t>Build 2026032308; report dated 2026-03-24</t>
        </is>
      </c>
      <c r="H304" s="29" t="inlineStr">
        <is>
          <t>2026-03-24</t>
        </is>
      </c>
      <c r="I304" s="29" t="inlineStr">
        <is>
          <t>Contradicts</t>
        </is>
      </c>
      <c r="J304" s="29" t="inlineStr">
        <is>
          <t>Older revision</t>
        </is>
      </c>
      <c r="K304" s="29" t="inlineStr">
        <is>
          <t>The report records a user-observed purchase failure and a subsequent narrow source fix. It also states that Google Play billing remains a not-implemented stub, gems and withdrawals are disabled, and on-device proof is still required.</t>
        </is>
      </c>
    </row>
    <row r="305" ht="42" customHeight="1">
      <c r="A305" s="29" t="inlineStr">
        <is>
          <t>EV-RUN-0012</t>
        </is>
      </c>
      <c r="B305" s="30" t="inlineStr">
        <is>
          <t>BLYP-30-006;BLYP-30-025;BLYP-30-026;BLYP-30-027;BLYP-30-028</t>
        </is>
      </c>
      <c r="C305" s="29" t="inlineStr">
        <is>
          <t>Device test</t>
        </is>
      </c>
      <c r="D305" s="29" t="inlineStr">
        <is>
          <t>Connected workspace</t>
        </is>
      </c>
      <c r="E305" s="29" t="inlineStr">
        <is>
          <t>adb devices -l</t>
        </is>
      </c>
      <c r="F305" s="29" t="inlineStr">
        <is>
          <t>Executed command; no attached devices returned</t>
        </is>
      </c>
      <c r="G305" s="29" t="inlineStr">
        <is>
          <t>Current verification session</t>
        </is>
      </c>
      <c r="H305" s="29" t="inlineStr">
        <is>
          <t>2026-08-02</t>
        </is>
      </c>
      <c r="I305" s="29" t="inlineStr">
        <is>
          <t>Inconclusive</t>
        </is>
      </c>
      <c r="J305" s="29" t="inlineStr">
        <is>
          <t>Current revision</t>
        </is>
      </c>
      <c r="K305" s="29" t="inlineStr">
        <is>
          <t>No Android device was connected during the workbook review, so no fresh physical-device observation could be run against the current source revision or a current release candidate.</t>
        </is>
      </c>
    </row>
    <row r="306" ht="42" customHeight="1">
      <c r="A306" s="29" t="inlineStr">
        <is>
          <t>EV-TGT-LIVE-001</t>
        </is>
      </c>
      <c r="B306" s="30" t="inlineStr">
        <is>
          <t>BLYP-07-001;BLYP-07-002;BLYP-07-003;BLYP-07-004;BLYP-07-005;BLYP-07-007;BLYP-07-008;BLYP-07-009</t>
        </is>
      </c>
      <c r="C306" s="29" t="inlineStr">
        <is>
          <t>Source code</t>
        </is>
      </c>
      <c r="D306" s="30" t="inlineStr">
        <is>
          <t>src/services/HLSLiveStreamService.js</t>
        </is>
      </c>
      <c r="E306" s="29" t="inlineStr">
        <is>
          <t>createLiveStream; uploadVideoSegment; endLiveStream; getActiveStreams; subscribeToLiveStream</t>
        </is>
      </c>
      <c r="F306" s="29" t="inlineStr">
        <is>
          <t>141-337; 580-780</t>
        </is>
      </c>
      <c r="G306" s="29" t="inlineStr">
        <is>
          <t>8bc0dcb2a1da1b21368c5536aaeef829d587f316</t>
        </is>
      </c>
      <c r="H306" s="29" t="inlineStr">
        <is>
          <t>2026-08-02</t>
        </is>
      </c>
      <c r="I306" s="29" t="inlineStr">
        <is>
          <t>Supports</t>
        </is>
      </c>
      <c r="J306" s="29" t="inlineStr">
        <is>
          <t>Current revision</t>
        </is>
      </c>
      <c r="K306" s="29" t="inlineStr">
        <is>
          <t>Proves the currently reviewed Firebase HLS live data and segment path exists in source. It does not prove deployed Functions health or a passing final-device camera path.</t>
        </is>
      </c>
    </row>
    <row r="307" ht="42" customHeight="1">
      <c r="A307" s="29" t="inlineStr">
        <is>
          <t>EV-TGT-LIVE-002</t>
        </is>
      </c>
      <c r="B307" s="30" t="inlineStr">
        <is>
          <t>BLYP-07-001;BLYP-07-002;BLYP-07-003;BLYP-07-004;BLYP-07-008;BLYP-07-009</t>
        </is>
      </c>
      <c r="C307" s="29" t="inlineStr">
        <is>
          <t>Source code</t>
        </is>
      </c>
      <c r="D307" s="30" t="inlineStr">
        <is>
          <t>src/screens/LiveStreamScreen.js</t>
        </is>
      </c>
      <c r="E307" s="29" t="inlineStr">
        <is>
          <t>Host and viewer live controls</t>
        </is>
      </c>
      <c r="F307" s="29" t="inlineStr">
        <is>
          <t>Host/viewer render and lifecycle handlers</t>
        </is>
      </c>
      <c r="G307" s="29" t="inlineStr">
        <is>
          <t>8bc0dcb2a1da1b21368c5536aaeef829d587f316</t>
        </is>
      </c>
      <c r="H307" s="29" t="inlineStr">
        <is>
          <t>2026-08-02</t>
        </is>
      </c>
      <c r="I307" s="29" t="inlineStr">
        <is>
          <t>Supports</t>
        </is>
      </c>
      <c r="J307" s="29" t="inlineStr">
        <is>
          <t>Current revision</t>
        </is>
      </c>
      <c r="K307" s="29" t="inlineStr">
        <is>
          <t>Proves a user-facing host/viewer screen and controls are implemented. It does not resolve the contradictory signed-device camera evidence.</t>
        </is>
      </c>
    </row>
    <row r="308" ht="42" customHeight="1">
      <c r="A308" s="29" t="inlineStr">
        <is>
          <t>EV-TGT-ECON-001</t>
        </is>
      </c>
      <c r="B308" s="30" t="inlineStr">
        <is>
          <t>BLYP-14-001;BLYP-14-002;BLYP-14-004;BLYP-14-011;BLYP-14-012;BLYP-14-015;BLYP-14-016;BLYP-14-018;BLYP-14-023</t>
        </is>
      </c>
      <c r="C308" s="29" t="inlineStr">
        <is>
          <t>Source code</t>
        </is>
      </c>
      <c r="D308" s="30" t="inlineStr">
        <is>
          <t>src/services/BlypCoinService.js</t>
        </is>
      </c>
      <c r="E308" s="29" t="inlineStr">
        <is>
          <t>wallet reads; addCoins; spendCoins; sendGift; history; daily reward</t>
        </is>
      </c>
      <c r="F308" s="29" t="inlineStr">
        <is>
          <t>22-334</t>
        </is>
      </c>
      <c r="G308" s="29" t="inlineStr">
        <is>
          <t>8bc0dcb2a1da1b21368c5536aaeef829d587f316</t>
        </is>
      </c>
      <c r="H308" s="29" t="inlineStr">
        <is>
          <t>2026-08-02</t>
        </is>
      </c>
      <c r="I308" s="29" t="inlineStr">
        <is>
          <t>Supports</t>
        </is>
      </c>
      <c r="J308" s="29" t="inlineStr">
        <is>
          <t>Current revision</t>
        </is>
      </c>
      <c r="K308" s="29" t="inlineStr">
        <is>
          <t>Proves the current mobile Firestore wallet and gift implementation, including direct client-originated mutations. It does not prove production-safe authority or executed transactions.</t>
        </is>
      </c>
    </row>
    <row r="309" ht="42" customHeight="1">
      <c r="A309" s="29" t="inlineStr">
        <is>
          <t>EV-TGT-ECON-002</t>
        </is>
      </c>
      <c r="B309" s="30" t="inlineStr">
        <is>
          <t>BLYP-14-011;BLYP-14-012;BLYP-14-013;BLYP-14-014;BLYP-14-017;BLYP-14-031</t>
        </is>
      </c>
      <c r="C309" s="29" t="inlineStr">
        <is>
          <t>Source code</t>
        </is>
      </c>
      <c r="D309" s="29" t="inlineStr">
        <is>
          <t>src/components/GiftSystem.js; src/screens/HomeScreen.js</t>
        </is>
      </c>
      <c r="E309" s="29" t="inlineStr">
        <is>
          <t>Gift picker; confirmation; send action; feed mounting</t>
        </is>
      </c>
      <c r="F309" s="29" t="inlineStr">
        <is>
          <t>GiftSystem.js:65-144; 482-555; HomeScreen.js:767-819; 947-999</t>
        </is>
      </c>
      <c r="G309" s="29" t="inlineStr">
        <is>
          <t>8bc0dcb2a1da1b21368c5536aaeef829d587f316</t>
        </is>
      </c>
      <c r="H309" s="29" t="inlineStr">
        <is>
          <t>2026-08-02</t>
        </is>
      </c>
      <c r="I309" s="29" t="inlineStr">
        <is>
          <t>Supports</t>
        </is>
      </c>
      <c r="J309" s="29" t="inlineStr">
        <is>
          <t>Current revision</t>
        </is>
      </c>
      <c r="K309" s="29" t="inlineStr">
        <is>
          <t>Proves gifting is user-facing and wired from feed items. It does not prove a successful current gift, authoritative ledger convergence or live overlay behaviour.</t>
        </is>
      </c>
    </row>
    <row r="310" ht="42" customHeight="1">
      <c r="A310" s="29" t="inlineStr">
        <is>
          <t>EV-TGT-ECON-003</t>
        </is>
      </c>
      <c r="B310" s="30" t="inlineStr">
        <is>
          <t>BLYP-14-005;BLYP-14-006;BLYP-14-007;BLYP-14-008;BLYP-14-009</t>
        </is>
      </c>
      <c r="C310" s="29" t="inlineStr">
        <is>
          <t>Source code</t>
        </is>
      </c>
      <c r="D310" s="30" t="inlineStr">
        <is>
          <t>src/screens/CoinStoreScreen.js</t>
        </is>
      </c>
      <c r="E310" s="29" t="inlineStr">
        <is>
          <t>Coin and gem packages; purchase confirmation</t>
        </is>
      </c>
      <c r="F310" s="29" t="inlineStr">
        <is>
          <t>74-203; 299-427</t>
        </is>
      </c>
      <c r="G310" s="29" t="inlineStr">
        <is>
          <t>8bc0dcb2a1da1b21368c5536aaeef829d587f316</t>
        </is>
      </c>
      <c r="H310" s="29" t="inlineStr">
        <is>
          <t>2026-08-02</t>
        </is>
      </c>
      <c r="I310" s="29" t="inlineStr">
        <is>
          <t>Contradicts</t>
        </is>
      </c>
      <c r="J310" s="29" t="inlineStr">
        <is>
          <t>Current revision</t>
        </is>
      </c>
      <c r="K310" s="29" t="inlineStr">
        <is>
          <t>Proves a user-facing currency store exists, while also proving that the reviewed purchase path explicitly simulates payment and directly grants client balance rather than verifying an app-store transaction.</t>
        </is>
      </c>
    </row>
    <row r="311" ht="42" customHeight="1">
      <c r="A311" s="29" t="inlineStr">
        <is>
          <t>EV-TGT-ECON-004</t>
        </is>
      </c>
      <c r="B311" s="30" t="inlineStr">
        <is>
          <t>BLYP-14-001;BLYP-14-002;BLYP-14-005;BLYP-14-006;BLYP-14-007;BLYP-14-018;BLYP-14-024;BLYP-14-025;BLYP-14-026</t>
        </is>
      </c>
      <c r="C311" s="29" t="inlineStr">
        <is>
          <t>Source code</t>
        </is>
      </c>
      <c r="D311" s="30" t="inlineStr">
        <is>
          <t>backend/blyp-live-service/src/economy/economyService.ts</t>
        </is>
      </c>
      <c r="E311" s="29" t="inlineStr">
        <is>
          <t>getWallet; verifyIapPurchaseAndGrant; listLedger</t>
        </is>
      </c>
      <c r="F311" s="29" t="inlineStr">
        <is>
          <t>565-728</t>
        </is>
      </c>
      <c r="G311" s="29" t="inlineStr">
        <is>
          <t>8bc0dcb2a1da1b21368c5536aaeef829d587f316</t>
        </is>
      </c>
      <c r="H311" s="29" t="inlineStr">
        <is>
          <t>2026-08-02</t>
        </is>
      </c>
      <c r="I311" s="29" t="inlineStr">
        <is>
          <t>Supports</t>
        </is>
      </c>
      <c r="J311" s="29" t="inlineStr">
        <is>
          <t>Current revision</t>
        </is>
      </c>
      <c r="K311" s="29" t="inlineStr">
        <is>
          <t>Proves separated wallet balances, provider purchase verification, idempotent replay protection, coin grants and server-backed ledger implementation in the hosted backend. It does not prove current mobile wiring or provider execution.</t>
        </is>
      </c>
    </row>
    <row r="312" ht="42" customHeight="1">
      <c r="A312" s="29" t="inlineStr">
        <is>
          <t>EV-TGT-ECON-005</t>
        </is>
      </c>
      <c r="B312" s="30" t="inlineStr">
        <is>
          <t>BLYP-14-011;BLYP-14-012;BLYP-14-014;BLYP-14-019;BLYP-14-020;BLYP-14-023;BLYP-14-024;BLYP-14-025;BLYP-14-026;BLYP-14-027;BLYP-14-031</t>
        </is>
      </c>
      <c r="C312" s="29" t="inlineStr">
        <is>
          <t>Source code</t>
        </is>
      </c>
      <c r="D312" s="30" t="inlineStr">
        <is>
          <t>backend/blyp-live-service/src/economy/economyService.ts</t>
        </is>
      </c>
      <c r="E312" s="29" t="inlineStr">
        <is>
          <t>getStreamSummary; sendGift</t>
        </is>
      </c>
      <c r="F312" s="29" t="inlineStr">
        <is>
          <t>730-765; 768-1040</t>
        </is>
      </c>
      <c r="G312" s="29" t="inlineStr">
        <is>
          <t>8bc0dcb2a1da1b21368c5536aaeef829d587f316</t>
        </is>
      </c>
      <c r="H312" s="29" t="inlineStr">
        <is>
          <t>2026-08-02</t>
        </is>
      </c>
      <c r="I312" s="29" t="inlineStr">
        <is>
          <t>Supports</t>
        </is>
      </c>
      <c r="J312" s="29" t="inlineStr">
        <is>
          <t>Current revision</t>
        </is>
      </c>
      <c r="K312" s="29" t="inlineStr">
        <is>
          <t>Proves transactional hosted gifting with row locks, idempotency, throttling, integer-safe accounting, gift and ledger writes, creator earnings and post-commit realtime emission. It does not prove a current mobile caller or an executed transaction.</t>
        </is>
      </c>
    </row>
    <row r="313" ht="42" customHeight="1">
      <c r="A313" s="29" t="inlineStr">
        <is>
          <t>EV-TGT-ECON-006</t>
        </is>
      </c>
      <c r="B313" s="30" t="inlineStr">
        <is>
          <t>BLYP-14-001;BLYP-14-002;BLYP-14-005;BLYP-14-006;BLYP-14-007;BLYP-14-011;BLYP-14-012;BLYP-14-014;BLYP-14-015;BLYP-14-016;BLYP-14-018;BLYP-14-019;BLYP-14-020;BLYP-14-023;BLYP-14-024;BLYP-14-025;BLYP-14-026;BLYP-14-027;BLYP-14-031</t>
        </is>
      </c>
      <c r="C313" s="29" t="inlineStr">
        <is>
          <t>Source code</t>
        </is>
      </c>
      <c r="D313" s="29" t="inlineStr">
        <is>
          <t>Client Firestore economy and hosted PostgreSQL economy</t>
        </is>
      </c>
      <c r="E313" s="29" t="inlineStr">
        <is>
          <t>BlypCoinService versus economyService/economyRoutes</t>
        </is>
      </c>
      <c r="F313" s="29" t="inlineStr">
        <is>
          <t>BlypCoinService.js:22-334; economyService.ts:565-1040</t>
        </is>
      </c>
      <c r="G313" s="29" t="inlineStr">
        <is>
          <t>8bc0dcb2a1da1b21368c5536aaeef829d587f316</t>
        </is>
      </c>
      <c r="H313" s="29" t="inlineStr">
        <is>
          <t>2026-08-02</t>
        </is>
      </c>
      <c r="I313" s="29" t="inlineStr">
        <is>
          <t>Contradicts</t>
        </is>
      </c>
      <c r="J313" s="29" t="inlineStr">
        <is>
          <t>Current revision</t>
        </is>
      </c>
      <c r="K313" s="29" t="inlineStr">
        <is>
          <t>The reviewed mobile UI currently calls a client-authoritative Firestore economy while a separate hosted PostgreSQL authority exists. This is an unresolved production architecture conflict, not evidence that gifting or wallet UI is absent.</t>
        </is>
      </c>
    </row>
  </sheetData>
  <autoFilter ref="A1:K313"/>
  <conditionalFormatting sqref="I2:I313">
    <cfRule type="expression" priority="1" dxfId="0">
      <formula>$I2="Supports"</formula>
    </cfRule>
    <cfRule type="expression" priority="2" dxfId="4">
      <formula>$I2="Contradicts"</formula>
    </cfRule>
    <cfRule type="expression" priority="3" dxfId="1">
      <formula>$I2="Inconclusive"</formula>
    </cfRule>
    <cfRule type="expression" priority="4" dxfId="5">
      <formula>$I2="Lead only"</formula>
    </cfRule>
  </conditionalFormatting>
  <hyperlinks>
    <hyperlink xmlns:r="http://schemas.openxmlformats.org/officeDocument/2006/relationships" ref="B2" r:id="rId1"/>
    <hyperlink xmlns:r="http://schemas.openxmlformats.org/officeDocument/2006/relationships" ref="D2" r:id="rId2"/>
    <hyperlink xmlns:r="http://schemas.openxmlformats.org/officeDocument/2006/relationships" ref="B3" r:id="rId3"/>
    <hyperlink xmlns:r="http://schemas.openxmlformats.org/officeDocument/2006/relationships" ref="D3" r:id="rId4"/>
    <hyperlink xmlns:r="http://schemas.openxmlformats.org/officeDocument/2006/relationships" ref="B4" r:id="rId5"/>
    <hyperlink xmlns:r="http://schemas.openxmlformats.org/officeDocument/2006/relationships" ref="D4" r:id="rId6"/>
    <hyperlink xmlns:r="http://schemas.openxmlformats.org/officeDocument/2006/relationships" ref="B5" r:id="rId7"/>
    <hyperlink xmlns:r="http://schemas.openxmlformats.org/officeDocument/2006/relationships" ref="D5" r:id="rId8"/>
    <hyperlink xmlns:r="http://schemas.openxmlformats.org/officeDocument/2006/relationships" ref="B6" r:id="rId9"/>
    <hyperlink xmlns:r="http://schemas.openxmlformats.org/officeDocument/2006/relationships" ref="D6" r:id="rId10"/>
    <hyperlink xmlns:r="http://schemas.openxmlformats.org/officeDocument/2006/relationships" ref="B7" r:id="rId11"/>
    <hyperlink xmlns:r="http://schemas.openxmlformats.org/officeDocument/2006/relationships" ref="D7" r:id="rId12"/>
    <hyperlink xmlns:r="http://schemas.openxmlformats.org/officeDocument/2006/relationships" ref="B8" r:id="rId13"/>
    <hyperlink xmlns:r="http://schemas.openxmlformats.org/officeDocument/2006/relationships" ref="D8" r:id="rId14"/>
    <hyperlink xmlns:r="http://schemas.openxmlformats.org/officeDocument/2006/relationships" ref="B9" r:id="rId15"/>
    <hyperlink xmlns:r="http://schemas.openxmlformats.org/officeDocument/2006/relationships" ref="D9" r:id="rId16"/>
    <hyperlink xmlns:r="http://schemas.openxmlformats.org/officeDocument/2006/relationships" ref="B10" r:id="rId17"/>
    <hyperlink xmlns:r="http://schemas.openxmlformats.org/officeDocument/2006/relationships" ref="D10" r:id="rId18"/>
    <hyperlink xmlns:r="http://schemas.openxmlformats.org/officeDocument/2006/relationships" ref="B11" r:id="rId19"/>
    <hyperlink xmlns:r="http://schemas.openxmlformats.org/officeDocument/2006/relationships" ref="D11" r:id="rId20"/>
    <hyperlink xmlns:r="http://schemas.openxmlformats.org/officeDocument/2006/relationships" ref="B12" r:id="rId21"/>
    <hyperlink xmlns:r="http://schemas.openxmlformats.org/officeDocument/2006/relationships" ref="D12" r:id="rId22"/>
    <hyperlink xmlns:r="http://schemas.openxmlformats.org/officeDocument/2006/relationships" ref="B13" r:id="rId23"/>
    <hyperlink xmlns:r="http://schemas.openxmlformats.org/officeDocument/2006/relationships" ref="D13" r:id="rId24"/>
    <hyperlink xmlns:r="http://schemas.openxmlformats.org/officeDocument/2006/relationships" ref="B14" r:id="rId25"/>
    <hyperlink xmlns:r="http://schemas.openxmlformats.org/officeDocument/2006/relationships" ref="D14" r:id="rId26"/>
    <hyperlink xmlns:r="http://schemas.openxmlformats.org/officeDocument/2006/relationships" ref="B15" r:id="rId27"/>
    <hyperlink xmlns:r="http://schemas.openxmlformats.org/officeDocument/2006/relationships" ref="D15" r:id="rId28"/>
    <hyperlink xmlns:r="http://schemas.openxmlformats.org/officeDocument/2006/relationships" ref="B16" r:id="rId29"/>
    <hyperlink xmlns:r="http://schemas.openxmlformats.org/officeDocument/2006/relationships" ref="D16" r:id="rId30"/>
    <hyperlink xmlns:r="http://schemas.openxmlformats.org/officeDocument/2006/relationships" ref="B17" r:id="rId31"/>
    <hyperlink xmlns:r="http://schemas.openxmlformats.org/officeDocument/2006/relationships" ref="D17" r:id="rId32"/>
    <hyperlink xmlns:r="http://schemas.openxmlformats.org/officeDocument/2006/relationships" ref="B18" r:id="rId33"/>
    <hyperlink xmlns:r="http://schemas.openxmlformats.org/officeDocument/2006/relationships" ref="D18" r:id="rId34"/>
    <hyperlink xmlns:r="http://schemas.openxmlformats.org/officeDocument/2006/relationships" ref="B19" r:id="rId35"/>
    <hyperlink xmlns:r="http://schemas.openxmlformats.org/officeDocument/2006/relationships" ref="D19" r:id="rId36"/>
    <hyperlink xmlns:r="http://schemas.openxmlformats.org/officeDocument/2006/relationships" ref="B20" r:id="rId37"/>
    <hyperlink xmlns:r="http://schemas.openxmlformats.org/officeDocument/2006/relationships" ref="D20" r:id="rId38"/>
    <hyperlink xmlns:r="http://schemas.openxmlformats.org/officeDocument/2006/relationships" ref="B21" r:id="rId39"/>
    <hyperlink xmlns:r="http://schemas.openxmlformats.org/officeDocument/2006/relationships" ref="B22" r:id="rId40"/>
    <hyperlink xmlns:r="http://schemas.openxmlformats.org/officeDocument/2006/relationships" ref="D22" r:id="rId41"/>
    <hyperlink xmlns:r="http://schemas.openxmlformats.org/officeDocument/2006/relationships" ref="B23" r:id="rId42"/>
    <hyperlink xmlns:r="http://schemas.openxmlformats.org/officeDocument/2006/relationships" ref="D23" r:id="rId43"/>
    <hyperlink xmlns:r="http://schemas.openxmlformats.org/officeDocument/2006/relationships" ref="B24" r:id="rId44"/>
    <hyperlink xmlns:r="http://schemas.openxmlformats.org/officeDocument/2006/relationships" ref="D24" r:id="rId45"/>
    <hyperlink xmlns:r="http://schemas.openxmlformats.org/officeDocument/2006/relationships" ref="B25" r:id="rId46"/>
    <hyperlink xmlns:r="http://schemas.openxmlformats.org/officeDocument/2006/relationships" ref="D25" r:id="rId47"/>
    <hyperlink xmlns:r="http://schemas.openxmlformats.org/officeDocument/2006/relationships" ref="B26" r:id="rId48"/>
    <hyperlink xmlns:r="http://schemas.openxmlformats.org/officeDocument/2006/relationships" ref="D26" r:id="rId49"/>
    <hyperlink xmlns:r="http://schemas.openxmlformats.org/officeDocument/2006/relationships" ref="B27" r:id="rId50"/>
    <hyperlink xmlns:r="http://schemas.openxmlformats.org/officeDocument/2006/relationships" ref="D27" r:id="rId51"/>
    <hyperlink xmlns:r="http://schemas.openxmlformats.org/officeDocument/2006/relationships" ref="B28" r:id="rId52"/>
    <hyperlink xmlns:r="http://schemas.openxmlformats.org/officeDocument/2006/relationships" ref="B29" r:id="rId53"/>
    <hyperlink xmlns:r="http://schemas.openxmlformats.org/officeDocument/2006/relationships" ref="D29" r:id="rId54"/>
    <hyperlink xmlns:r="http://schemas.openxmlformats.org/officeDocument/2006/relationships" ref="B30" r:id="rId55"/>
    <hyperlink xmlns:r="http://schemas.openxmlformats.org/officeDocument/2006/relationships" ref="D30" r:id="rId56"/>
    <hyperlink xmlns:r="http://schemas.openxmlformats.org/officeDocument/2006/relationships" ref="B31" r:id="rId57"/>
    <hyperlink xmlns:r="http://schemas.openxmlformats.org/officeDocument/2006/relationships" ref="D31" r:id="rId58"/>
    <hyperlink xmlns:r="http://schemas.openxmlformats.org/officeDocument/2006/relationships" ref="B32" r:id="rId59"/>
    <hyperlink xmlns:r="http://schemas.openxmlformats.org/officeDocument/2006/relationships" ref="D32" r:id="rId60"/>
    <hyperlink xmlns:r="http://schemas.openxmlformats.org/officeDocument/2006/relationships" ref="B33" r:id="rId61"/>
    <hyperlink xmlns:r="http://schemas.openxmlformats.org/officeDocument/2006/relationships" ref="D33" r:id="rId62"/>
    <hyperlink xmlns:r="http://schemas.openxmlformats.org/officeDocument/2006/relationships" ref="B34" r:id="rId63"/>
    <hyperlink xmlns:r="http://schemas.openxmlformats.org/officeDocument/2006/relationships" ref="D34" r:id="rId64"/>
    <hyperlink xmlns:r="http://schemas.openxmlformats.org/officeDocument/2006/relationships" ref="B35" r:id="rId65"/>
    <hyperlink xmlns:r="http://schemas.openxmlformats.org/officeDocument/2006/relationships" ref="D35" r:id="rId66"/>
    <hyperlink xmlns:r="http://schemas.openxmlformats.org/officeDocument/2006/relationships" ref="B36" r:id="rId67"/>
    <hyperlink xmlns:r="http://schemas.openxmlformats.org/officeDocument/2006/relationships" ref="D36" r:id="rId68"/>
    <hyperlink xmlns:r="http://schemas.openxmlformats.org/officeDocument/2006/relationships" ref="B37" r:id="rId69"/>
    <hyperlink xmlns:r="http://schemas.openxmlformats.org/officeDocument/2006/relationships" ref="D37" r:id="rId70"/>
    <hyperlink xmlns:r="http://schemas.openxmlformats.org/officeDocument/2006/relationships" ref="B38" r:id="rId71"/>
    <hyperlink xmlns:r="http://schemas.openxmlformats.org/officeDocument/2006/relationships" ref="D38" r:id="rId72"/>
    <hyperlink xmlns:r="http://schemas.openxmlformats.org/officeDocument/2006/relationships" ref="B39" r:id="rId73"/>
    <hyperlink xmlns:r="http://schemas.openxmlformats.org/officeDocument/2006/relationships" ref="D39" r:id="rId74"/>
    <hyperlink xmlns:r="http://schemas.openxmlformats.org/officeDocument/2006/relationships" ref="B40" r:id="rId75"/>
    <hyperlink xmlns:r="http://schemas.openxmlformats.org/officeDocument/2006/relationships" ref="D40" r:id="rId76"/>
    <hyperlink xmlns:r="http://schemas.openxmlformats.org/officeDocument/2006/relationships" ref="B41" r:id="rId77"/>
    <hyperlink xmlns:r="http://schemas.openxmlformats.org/officeDocument/2006/relationships" ref="B42" r:id="rId78"/>
    <hyperlink xmlns:r="http://schemas.openxmlformats.org/officeDocument/2006/relationships" ref="B43" r:id="rId79"/>
    <hyperlink xmlns:r="http://schemas.openxmlformats.org/officeDocument/2006/relationships" ref="D43" r:id="rId80"/>
    <hyperlink xmlns:r="http://schemas.openxmlformats.org/officeDocument/2006/relationships" ref="B44" r:id="rId81"/>
    <hyperlink xmlns:r="http://schemas.openxmlformats.org/officeDocument/2006/relationships" ref="D44" r:id="rId82"/>
    <hyperlink xmlns:r="http://schemas.openxmlformats.org/officeDocument/2006/relationships" ref="B45" r:id="rId83"/>
    <hyperlink xmlns:r="http://schemas.openxmlformats.org/officeDocument/2006/relationships" ref="D45" r:id="rId84"/>
    <hyperlink xmlns:r="http://schemas.openxmlformats.org/officeDocument/2006/relationships" ref="B46" r:id="rId85"/>
    <hyperlink xmlns:r="http://schemas.openxmlformats.org/officeDocument/2006/relationships" ref="D46" r:id="rId86"/>
    <hyperlink xmlns:r="http://schemas.openxmlformats.org/officeDocument/2006/relationships" ref="B47" r:id="rId87"/>
    <hyperlink xmlns:r="http://schemas.openxmlformats.org/officeDocument/2006/relationships" ref="D47" r:id="rId88"/>
    <hyperlink xmlns:r="http://schemas.openxmlformats.org/officeDocument/2006/relationships" ref="B48" r:id="rId89"/>
    <hyperlink xmlns:r="http://schemas.openxmlformats.org/officeDocument/2006/relationships" ref="D48" r:id="rId90"/>
    <hyperlink xmlns:r="http://schemas.openxmlformats.org/officeDocument/2006/relationships" ref="B49" r:id="rId91"/>
    <hyperlink xmlns:r="http://schemas.openxmlformats.org/officeDocument/2006/relationships" ref="D49" r:id="rId92"/>
    <hyperlink xmlns:r="http://schemas.openxmlformats.org/officeDocument/2006/relationships" ref="B50" r:id="rId93"/>
    <hyperlink xmlns:r="http://schemas.openxmlformats.org/officeDocument/2006/relationships" ref="D50" r:id="rId94"/>
    <hyperlink xmlns:r="http://schemas.openxmlformats.org/officeDocument/2006/relationships" ref="B51" r:id="rId95"/>
    <hyperlink xmlns:r="http://schemas.openxmlformats.org/officeDocument/2006/relationships" ref="D51" r:id="rId96"/>
    <hyperlink xmlns:r="http://schemas.openxmlformats.org/officeDocument/2006/relationships" ref="B52" r:id="rId97"/>
    <hyperlink xmlns:r="http://schemas.openxmlformats.org/officeDocument/2006/relationships" ref="D52" r:id="rId98"/>
    <hyperlink xmlns:r="http://schemas.openxmlformats.org/officeDocument/2006/relationships" ref="B53" r:id="rId99"/>
    <hyperlink xmlns:r="http://schemas.openxmlformats.org/officeDocument/2006/relationships" ref="D53" r:id="rId100"/>
    <hyperlink xmlns:r="http://schemas.openxmlformats.org/officeDocument/2006/relationships" ref="B54" r:id="rId101"/>
    <hyperlink xmlns:r="http://schemas.openxmlformats.org/officeDocument/2006/relationships" ref="D54" r:id="rId102"/>
    <hyperlink xmlns:r="http://schemas.openxmlformats.org/officeDocument/2006/relationships" ref="B55" r:id="rId103"/>
    <hyperlink xmlns:r="http://schemas.openxmlformats.org/officeDocument/2006/relationships" ref="D55" r:id="rId104"/>
    <hyperlink xmlns:r="http://schemas.openxmlformats.org/officeDocument/2006/relationships" ref="B56" r:id="rId105"/>
    <hyperlink xmlns:r="http://schemas.openxmlformats.org/officeDocument/2006/relationships" ref="D56" r:id="rId106"/>
    <hyperlink xmlns:r="http://schemas.openxmlformats.org/officeDocument/2006/relationships" ref="B57" r:id="rId107"/>
    <hyperlink xmlns:r="http://schemas.openxmlformats.org/officeDocument/2006/relationships" ref="D57" r:id="rId108"/>
    <hyperlink xmlns:r="http://schemas.openxmlformats.org/officeDocument/2006/relationships" ref="B58" r:id="rId109"/>
    <hyperlink xmlns:r="http://schemas.openxmlformats.org/officeDocument/2006/relationships" ref="D58" r:id="rId110"/>
    <hyperlink xmlns:r="http://schemas.openxmlformats.org/officeDocument/2006/relationships" ref="B59" r:id="rId111"/>
    <hyperlink xmlns:r="http://schemas.openxmlformats.org/officeDocument/2006/relationships" ref="D59" r:id="rId112"/>
    <hyperlink xmlns:r="http://schemas.openxmlformats.org/officeDocument/2006/relationships" ref="B60" r:id="rId113"/>
    <hyperlink xmlns:r="http://schemas.openxmlformats.org/officeDocument/2006/relationships" ref="D60" r:id="rId114"/>
    <hyperlink xmlns:r="http://schemas.openxmlformats.org/officeDocument/2006/relationships" ref="B61" r:id="rId115"/>
    <hyperlink xmlns:r="http://schemas.openxmlformats.org/officeDocument/2006/relationships" ref="D61" r:id="rId116"/>
    <hyperlink xmlns:r="http://schemas.openxmlformats.org/officeDocument/2006/relationships" ref="B62" r:id="rId117"/>
    <hyperlink xmlns:r="http://schemas.openxmlformats.org/officeDocument/2006/relationships" ref="D62" r:id="rId118"/>
    <hyperlink xmlns:r="http://schemas.openxmlformats.org/officeDocument/2006/relationships" ref="B63" r:id="rId119"/>
    <hyperlink xmlns:r="http://schemas.openxmlformats.org/officeDocument/2006/relationships" ref="D63" r:id="rId120"/>
    <hyperlink xmlns:r="http://schemas.openxmlformats.org/officeDocument/2006/relationships" ref="B64" r:id="rId121"/>
    <hyperlink xmlns:r="http://schemas.openxmlformats.org/officeDocument/2006/relationships" ref="D64" r:id="rId122"/>
    <hyperlink xmlns:r="http://schemas.openxmlformats.org/officeDocument/2006/relationships" ref="B65" r:id="rId123"/>
    <hyperlink xmlns:r="http://schemas.openxmlformats.org/officeDocument/2006/relationships" ref="D65" r:id="rId124"/>
    <hyperlink xmlns:r="http://schemas.openxmlformats.org/officeDocument/2006/relationships" ref="B66" r:id="rId125"/>
    <hyperlink xmlns:r="http://schemas.openxmlformats.org/officeDocument/2006/relationships" ref="D66" r:id="rId126"/>
    <hyperlink xmlns:r="http://schemas.openxmlformats.org/officeDocument/2006/relationships" ref="B67" r:id="rId127"/>
    <hyperlink xmlns:r="http://schemas.openxmlformats.org/officeDocument/2006/relationships" ref="D67" r:id="rId128"/>
    <hyperlink xmlns:r="http://schemas.openxmlformats.org/officeDocument/2006/relationships" ref="B68" r:id="rId129"/>
    <hyperlink xmlns:r="http://schemas.openxmlformats.org/officeDocument/2006/relationships" ref="D68" r:id="rId130"/>
    <hyperlink xmlns:r="http://schemas.openxmlformats.org/officeDocument/2006/relationships" ref="B69" r:id="rId131"/>
    <hyperlink xmlns:r="http://schemas.openxmlformats.org/officeDocument/2006/relationships" ref="D69" r:id="rId132"/>
    <hyperlink xmlns:r="http://schemas.openxmlformats.org/officeDocument/2006/relationships" ref="B70" r:id="rId133"/>
    <hyperlink xmlns:r="http://schemas.openxmlformats.org/officeDocument/2006/relationships" ref="D70" r:id="rId134"/>
    <hyperlink xmlns:r="http://schemas.openxmlformats.org/officeDocument/2006/relationships" ref="B71" r:id="rId135"/>
    <hyperlink xmlns:r="http://schemas.openxmlformats.org/officeDocument/2006/relationships" ref="D71" r:id="rId136"/>
    <hyperlink xmlns:r="http://schemas.openxmlformats.org/officeDocument/2006/relationships" ref="B72" r:id="rId137"/>
    <hyperlink xmlns:r="http://schemas.openxmlformats.org/officeDocument/2006/relationships" ref="D72" r:id="rId138"/>
    <hyperlink xmlns:r="http://schemas.openxmlformats.org/officeDocument/2006/relationships" ref="B73" r:id="rId139"/>
    <hyperlink xmlns:r="http://schemas.openxmlformats.org/officeDocument/2006/relationships" ref="D73" r:id="rId140"/>
    <hyperlink xmlns:r="http://schemas.openxmlformats.org/officeDocument/2006/relationships" ref="B74" r:id="rId141"/>
    <hyperlink xmlns:r="http://schemas.openxmlformats.org/officeDocument/2006/relationships" ref="D74" r:id="rId142"/>
    <hyperlink xmlns:r="http://schemas.openxmlformats.org/officeDocument/2006/relationships" ref="B75" r:id="rId143"/>
    <hyperlink xmlns:r="http://schemas.openxmlformats.org/officeDocument/2006/relationships" ref="D75" r:id="rId144"/>
    <hyperlink xmlns:r="http://schemas.openxmlformats.org/officeDocument/2006/relationships" ref="B76" r:id="rId145"/>
    <hyperlink xmlns:r="http://schemas.openxmlformats.org/officeDocument/2006/relationships" ref="D76" r:id="rId146"/>
    <hyperlink xmlns:r="http://schemas.openxmlformats.org/officeDocument/2006/relationships" ref="B77" r:id="rId147"/>
    <hyperlink xmlns:r="http://schemas.openxmlformats.org/officeDocument/2006/relationships" ref="D77" r:id="rId148"/>
    <hyperlink xmlns:r="http://schemas.openxmlformats.org/officeDocument/2006/relationships" ref="B78" r:id="rId149"/>
    <hyperlink xmlns:r="http://schemas.openxmlformats.org/officeDocument/2006/relationships" ref="D78" r:id="rId150"/>
    <hyperlink xmlns:r="http://schemas.openxmlformats.org/officeDocument/2006/relationships" ref="B79" r:id="rId151"/>
    <hyperlink xmlns:r="http://schemas.openxmlformats.org/officeDocument/2006/relationships" ref="D79" r:id="rId152"/>
    <hyperlink xmlns:r="http://schemas.openxmlformats.org/officeDocument/2006/relationships" ref="B80" r:id="rId153"/>
    <hyperlink xmlns:r="http://schemas.openxmlformats.org/officeDocument/2006/relationships" ref="B81" r:id="rId154"/>
    <hyperlink xmlns:r="http://schemas.openxmlformats.org/officeDocument/2006/relationships" ref="D81" r:id="rId155"/>
    <hyperlink xmlns:r="http://schemas.openxmlformats.org/officeDocument/2006/relationships" ref="B82" r:id="rId156"/>
    <hyperlink xmlns:r="http://schemas.openxmlformats.org/officeDocument/2006/relationships" ref="B83" r:id="rId157"/>
    <hyperlink xmlns:r="http://schemas.openxmlformats.org/officeDocument/2006/relationships" ref="B84" r:id="rId158"/>
    <hyperlink xmlns:r="http://schemas.openxmlformats.org/officeDocument/2006/relationships" ref="B85" r:id="rId159"/>
    <hyperlink xmlns:r="http://schemas.openxmlformats.org/officeDocument/2006/relationships" ref="B86" r:id="rId160"/>
    <hyperlink xmlns:r="http://schemas.openxmlformats.org/officeDocument/2006/relationships" ref="B87" r:id="rId161"/>
    <hyperlink xmlns:r="http://schemas.openxmlformats.org/officeDocument/2006/relationships" ref="B88" r:id="rId162"/>
    <hyperlink xmlns:r="http://schemas.openxmlformats.org/officeDocument/2006/relationships" ref="B89" r:id="rId163"/>
    <hyperlink xmlns:r="http://schemas.openxmlformats.org/officeDocument/2006/relationships" ref="B90" r:id="rId164"/>
    <hyperlink xmlns:r="http://schemas.openxmlformats.org/officeDocument/2006/relationships" ref="B91" r:id="rId165"/>
    <hyperlink xmlns:r="http://schemas.openxmlformats.org/officeDocument/2006/relationships" ref="B92" r:id="rId166"/>
    <hyperlink xmlns:r="http://schemas.openxmlformats.org/officeDocument/2006/relationships" ref="B93" r:id="rId167"/>
    <hyperlink xmlns:r="http://schemas.openxmlformats.org/officeDocument/2006/relationships" ref="B94" r:id="rId168"/>
    <hyperlink xmlns:r="http://schemas.openxmlformats.org/officeDocument/2006/relationships" ref="B95" r:id="rId169"/>
    <hyperlink xmlns:r="http://schemas.openxmlformats.org/officeDocument/2006/relationships" ref="B96" r:id="rId170"/>
    <hyperlink xmlns:r="http://schemas.openxmlformats.org/officeDocument/2006/relationships" ref="B97" r:id="rId171"/>
    <hyperlink xmlns:r="http://schemas.openxmlformats.org/officeDocument/2006/relationships" ref="B98" r:id="rId172"/>
    <hyperlink xmlns:r="http://schemas.openxmlformats.org/officeDocument/2006/relationships" ref="B99" r:id="rId173"/>
    <hyperlink xmlns:r="http://schemas.openxmlformats.org/officeDocument/2006/relationships" ref="B100" r:id="rId174"/>
    <hyperlink xmlns:r="http://schemas.openxmlformats.org/officeDocument/2006/relationships" ref="B101" r:id="rId175"/>
    <hyperlink xmlns:r="http://schemas.openxmlformats.org/officeDocument/2006/relationships" ref="B102" r:id="rId176"/>
    <hyperlink xmlns:r="http://schemas.openxmlformats.org/officeDocument/2006/relationships" ref="B103" r:id="rId177"/>
    <hyperlink xmlns:r="http://schemas.openxmlformats.org/officeDocument/2006/relationships" ref="B104" r:id="rId178"/>
    <hyperlink xmlns:r="http://schemas.openxmlformats.org/officeDocument/2006/relationships" ref="B105" r:id="rId179"/>
    <hyperlink xmlns:r="http://schemas.openxmlformats.org/officeDocument/2006/relationships" ref="B106" r:id="rId180"/>
    <hyperlink xmlns:r="http://schemas.openxmlformats.org/officeDocument/2006/relationships" ref="B107" r:id="rId181"/>
    <hyperlink xmlns:r="http://schemas.openxmlformats.org/officeDocument/2006/relationships" ref="B108" r:id="rId182"/>
    <hyperlink xmlns:r="http://schemas.openxmlformats.org/officeDocument/2006/relationships" ref="B109" r:id="rId183"/>
    <hyperlink xmlns:r="http://schemas.openxmlformats.org/officeDocument/2006/relationships" ref="B110" r:id="rId184"/>
    <hyperlink xmlns:r="http://schemas.openxmlformats.org/officeDocument/2006/relationships" ref="D110" r:id="rId185"/>
    <hyperlink xmlns:r="http://schemas.openxmlformats.org/officeDocument/2006/relationships" ref="B111" r:id="rId186"/>
    <hyperlink xmlns:r="http://schemas.openxmlformats.org/officeDocument/2006/relationships" ref="D111" r:id="rId187"/>
    <hyperlink xmlns:r="http://schemas.openxmlformats.org/officeDocument/2006/relationships" ref="B112" r:id="rId188"/>
    <hyperlink xmlns:r="http://schemas.openxmlformats.org/officeDocument/2006/relationships" ref="D112" r:id="rId189"/>
    <hyperlink xmlns:r="http://schemas.openxmlformats.org/officeDocument/2006/relationships" ref="B113" r:id="rId190"/>
    <hyperlink xmlns:r="http://schemas.openxmlformats.org/officeDocument/2006/relationships" ref="D113" r:id="rId191"/>
    <hyperlink xmlns:r="http://schemas.openxmlformats.org/officeDocument/2006/relationships" ref="B114" r:id="rId192"/>
    <hyperlink xmlns:r="http://schemas.openxmlformats.org/officeDocument/2006/relationships" ref="D114" r:id="rId193"/>
    <hyperlink xmlns:r="http://schemas.openxmlformats.org/officeDocument/2006/relationships" ref="B115" r:id="rId194"/>
    <hyperlink xmlns:r="http://schemas.openxmlformats.org/officeDocument/2006/relationships" ref="D115" r:id="rId195"/>
    <hyperlink xmlns:r="http://schemas.openxmlformats.org/officeDocument/2006/relationships" ref="B116" r:id="rId196"/>
    <hyperlink xmlns:r="http://schemas.openxmlformats.org/officeDocument/2006/relationships" ref="D116" r:id="rId197"/>
    <hyperlink xmlns:r="http://schemas.openxmlformats.org/officeDocument/2006/relationships" ref="B117" r:id="rId198"/>
    <hyperlink xmlns:r="http://schemas.openxmlformats.org/officeDocument/2006/relationships" ref="B118" r:id="rId199"/>
    <hyperlink xmlns:r="http://schemas.openxmlformats.org/officeDocument/2006/relationships" ref="D118" r:id="rId200"/>
    <hyperlink xmlns:r="http://schemas.openxmlformats.org/officeDocument/2006/relationships" ref="B119" r:id="rId201"/>
    <hyperlink xmlns:r="http://schemas.openxmlformats.org/officeDocument/2006/relationships" ref="D119" r:id="rId202"/>
    <hyperlink xmlns:r="http://schemas.openxmlformats.org/officeDocument/2006/relationships" ref="B120" r:id="rId203"/>
    <hyperlink xmlns:r="http://schemas.openxmlformats.org/officeDocument/2006/relationships" ref="D120" r:id="rId204"/>
    <hyperlink xmlns:r="http://schemas.openxmlformats.org/officeDocument/2006/relationships" ref="B121" r:id="rId205"/>
    <hyperlink xmlns:r="http://schemas.openxmlformats.org/officeDocument/2006/relationships" ref="D121" r:id="rId206"/>
    <hyperlink xmlns:r="http://schemas.openxmlformats.org/officeDocument/2006/relationships" ref="B122" r:id="rId207"/>
    <hyperlink xmlns:r="http://schemas.openxmlformats.org/officeDocument/2006/relationships" ref="D122" r:id="rId208"/>
    <hyperlink xmlns:r="http://schemas.openxmlformats.org/officeDocument/2006/relationships" ref="B123" r:id="rId209"/>
    <hyperlink xmlns:r="http://schemas.openxmlformats.org/officeDocument/2006/relationships" ref="D123" r:id="rId210"/>
    <hyperlink xmlns:r="http://schemas.openxmlformats.org/officeDocument/2006/relationships" ref="B124" r:id="rId211"/>
    <hyperlink xmlns:r="http://schemas.openxmlformats.org/officeDocument/2006/relationships" ref="D124" r:id="rId212"/>
    <hyperlink xmlns:r="http://schemas.openxmlformats.org/officeDocument/2006/relationships" ref="B125" r:id="rId213"/>
    <hyperlink xmlns:r="http://schemas.openxmlformats.org/officeDocument/2006/relationships" ref="D125" r:id="rId214"/>
    <hyperlink xmlns:r="http://schemas.openxmlformats.org/officeDocument/2006/relationships" ref="B126" r:id="rId215"/>
    <hyperlink xmlns:r="http://schemas.openxmlformats.org/officeDocument/2006/relationships" ref="D126" r:id="rId216"/>
    <hyperlink xmlns:r="http://schemas.openxmlformats.org/officeDocument/2006/relationships" ref="B127" r:id="rId217"/>
    <hyperlink xmlns:r="http://schemas.openxmlformats.org/officeDocument/2006/relationships" ref="D127" r:id="rId218"/>
    <hyperlink xmlns:r="http://schemas.openxmlformats.org/officeDocument/2006/relationships" ref="B128" r:id="rId219"/>
    <hyperlink xmlns:r="http://schemas.openxmlformats.org/officeDocument/2006/relationships" ref="D128" r:id="rId220"/>
    <hyperlink xmlns:r="http://schemas.openxmlformats.org/officeDocument/2006/relationships" ref="B129" r:id="rId221"/>
    <hyperlink xmlns:r="http://schemas.openxmlformats.org/officeDocument/2006/relationships" ref="D129" r:id="rId222"/>
    <hyperlink xmlns:r="http://schemas.openxmlformats.org/officeDocument/2006/relationships" ref="B130" r:id="rId223"/>
    <hyperlink xmlns:r="http://schemas.openxmlformats.org/officeDocument/2006/relationships" ref="D130" r:id="rId224"/>
    <hyperlink xmlns:r="http://schemas.openxmlformats.org/officeDocument/2006/relationships" ref="B131" r:id="rId225"/>
    <hyperlink xmlns:r="http://schemas.openxmlformats.org/officeDocument/2006/relationships" ref="D131" r:id="rId226"/>
    <hyperlink xmlns:r="http://schemas.openxmlformats.org/officeDocument/2006/relationships" ref="B132" r:id="rId227"/>
    <hyperlink xmlns:r="http://schemas.openxmlformats.org/officeDocument/2006/relationships" ref="D132" r:id="rId228"/>
    <hyperlink xmlns:r="http://schemas.openxmlformats.org/officeDocument/2006/relationships" ref="B133" r:id="rId229"/>
    <hyperlink xmlns:r="http://schemas.openxmlformats.org/officeDocument/2006/relationships" ref="D133" r:id="rId230"/>
    <hyperlink xmlns:r="http://schemas.openxmlformats.org/officeDocument/2006/relationships" ref="B134" r:id="rId231"/>
    <hyperlink xmlns:r="http://schemas.openxmlformats.org/officeDocument/2006/relationships" ref="D134" r:id="rId232"/>
    <hyperlink xmlns:r="http://schemas.openxmlformats.org/officeDocument/2006/relationships" ref="B135" r:id="rId233"/>
    <hyperlink xmlns:r="http://schemas.openxmlformats.org/officeDocument/2006/relationships" ref="D135" r:id="rId234"/>
    <hyperlink xmlns:r="http://schemas.openxmlformats.org/officeDocument/2006/relationships" ref="B136" r:id="rId235"/>
    <hyperlink xmlns:r="http://schemas.openxmlformats.org/officeDocument/2006/relationships" ref="D136" r:id="rId236"/>
    <hyperlink xmlns:r="http://schemas.openxmlformats.org/officeDocument/2006/relationships" ref="B137" r:id="rId237"/>
    <hyperlink xmlns:r="http://schemas.openxmlformats.org/officeDocument/2006/relationships" ref="D137" r:id="rId238"/>
    <hyperlink xmlns:r="http://schemas.openxmlformats.org/officeDocument/2006/relationships" ref="B138" r:id="rId239"/>
    <hyperlink xmlns:r="http://schemas.openxmlformats.org/officeDocument/2006/relationships" ref="D138" r:id="rId240"/>
    <hyperlink xmlns:r="http://schemas.openxmlformats.org/officeDocument/2006/relationships" ref="B139" r:id="rId241"/>
    <hyperlink xmlns:r="http://schemas.openxmlformats.org/officeDocument/2006/relationships" ref="D139" r:id="rId242"/>
    <hyperlink xmlns:r="http://schemas.openxmlformats.org/officeDocument/2006/relationships" ref="B140" r:id="rId243"/>
    <hyperlink xmlns:r="http://schemas.openxmlformats.org/officeDocument/2006/relationships" ref="D140" r:id="rId244"/>
    <hyperlink xmlns:r="http://schemas.openxmlformats.org/officeDocument/2006/relationships" ref="B141" r:id="rId245"/>
    <hyperlink xmlns:r="http://schemas.openxmlformats.org/officeDocument/2006/relationships" ref="D141" r:id="rId246"/>
    <hyperlink xmlns:r="http://schemas.openxmlformats.org/officeDocument/2006/relationships" ref="B142" r:id="rId247"/>
    <hyperlink xmlns:r="http://schemas.openxmlformats.org/officeDocument/2006/relationships" ref="D142" r:id="rId248"/>
    <hyperlink xmlns:r="http://schemas.openxmlformats.org/officeDocument/2006/relationships" ref="B143" r:id="rId249"/>
    <hyperlink xmlns:r="http://schemas.openxmlformats.org/officeDocument/2006/relationships" ref="B144" r:id="rId250"/>
    <hyperlink xmlns:r="http://schemas.openxmlformats.org/officeDocument/2006/relationships" ref="B145" r:id="rId251"/>
    <hyperlink xmlns:r="http://schemas.openxmlformats.org/officeDocument/2006/relationships" ref="B146" r:id="rId252"/>
    <hyperlink xmlns:r="http://schemas.openxmlformats.org/officeDocument/2006/relationships" ref="B147" r:id="rId253"/>
    <hyperlink xmlns:r="http://schemas.openxmlformats.org/officeDocument/2006/relationships" ref="B148" r:id="rId254"/>
    <hyperlink xmlns:r="http://schemas.openxmlformats.org/officeDocument/2006/relationships" ref="B149" r:id="rId255"/>
    <hyperlink xmlns:r="http://schemas.openxmlformats.org/officeDocument/2006/relationships" ref="B150" r:id="rId256"/>
    <hyperlink xmlns:r="http://schemas.openxmlformats.org/officeDocument/2006/relationships" ref="B151" r:id="rId257"/>
    <hyperlink xmlns:r="http://schemas.openxmlformats.org/officeDocument/2006/relationships" ref="B152" r:id="rId258"/>
    <hyperlink xmlns:r="http://schemas.openxmlformats.org/officeDocument/2006/relationships" ref="B153" r:id="rId259"/>
    <hyperlink xmlns:r="http://schemas.openxmlformats.org/officeDocument/2006/relationships" ref="B154" r:id="rId260"/>
    <hyperlink xmlns:r="http://schemas.openxmlformats.org/officeDocument/2006/relationships" ref="B155" r:id="rId261"/>
    <hyperlink xmlns:r="http://schemas.openxmlformats.org/officeDocument/2006/relationships" ref="B156" r:id="rId262"/>
    <hyperlink xmlns:r="http://schemas.openxmlformats.org/officeDocument/2006/relationships" ref="D156" r:id="rId263"/>
    <hyperlink xmlns:r="http://schemas.openxmlformats.org/officeDocument/2006/relationships" ref="B157" r:id="rId264"/>
    <hyperlink xmlns:r="http://schemas.openxmlformats.org/officeDocument/2006/relationships" ref="D157" r:id="rId265"/>
    <hyperlink xmlns:r="http://schemas.openxmlformats.org/officeDocument/2006/relationships" ref="B158" r:id="rId266"/>
    <hyperlink xmlns:r="http://schemas.openxmlformats.org/officeDocument/2006/relationships" ref="D158" r:id="rId267"/>
    <hyperlink xmlns:r="http://schemas.openxmlformats.org/officeDocument/2006/relationships" ref="B159" r:id="rId268"/>
    <hyperlink xmlns:r="http://schemas.openxmlformats.org/officeDocument/2006/relationships" ref="D159" r:id="rId269"/>
    <hyperlink xmlns:r="http://schemas.openxmlformats.org/officeDocument/2006/relationships" ref="B160" r:id="rId270"/>
    <hyperlink xmlns:r="http://schemas.openxmlformats.org/officeDocument/2006/relationships" ref="D160" r:id="rId271"/>
    <hyperlink xmlns:r="http://schemas.openxmlformats.org/officeDocument/2006/relationships" ref="B161" r:id="rId272"/>
    <hyperlink xmlns:r="http://schemas.openxmlformats.org/officeDocument/2006/relationships" ref="D161" r:id="rId273"/>
    <hyperlink xmlns:r="http://schemas.openxmlformats.org/officeDocument/2006/relationships" ref="B162" r:id="rId274"/>
    <hyperlink xmlns:r="http://schemas.openxmlformats.org/officeDocument/2006/relationships" ref="D162" r:id="rId275"/>
    <hyperlink xmlns:r="http://schemas.openxmlformats.org/officeDocument/2006/relationships" ref="B163" r:id="rId276"/>
    <hyperlink xmlns:r="http://schemas.openxmlformats.org/officeDocument/2006/relationships" ref="D163" r:id="rId277"/>
    <hyperlink xmlns:r="http://schemas.openxmlformats.org/officeDocument/2006/relationships" ref="B164" r:id="rId278"/>
    <hyperlink xmlns:r="http://schemas.openxmlformats.org/officeDocument/2006/relationships" ref="B165" r:id="rId279"/>
    <hyperlink xmlns:r="http://schemas.openxmlformats.org/officeDocument/2006/relationships" ref="B166" r:id="rId280"/>
    <hyperlink xmlns:r="http://schemas.openxmlformats.org/officeDocument/2006/relationships" ref="B167" r:id="rId281"/>
    <hyperlink xmlns:r="http://schemas.openxmlformats.org/officeDocument/2006/relationships" ref="B168" r:id="rId282"/>
    <hyperlink xmlns:r="http://schemas.openxmlformats.org/officeDocument/2006/relationships" ref="B169" r:id="rId283"/>
    <hyperlink xmlns:r="http://schemas.openxmlformats.org/officeDocument/2006/relationships" ref="B170" r:id="rId284"/>
    <hyperlink xmlns:r="http://schemas.openxmlformats.org/officeDocument/2006/relationships" ref="B171" r:id="rId285"/>
    <hyperlink xmlns:r="http://schemas.openxmlformats.org/officeDocument/2006/relationships" ref="B172" r:id="rId286"/>
    <hyperlink xmlns:r="http://schemas.openxmlformats.org/officeDocument/2006/relationships" ref="B173" r:id="rId287"/>
    <hyperlink xmlns:r="http://schemas.openxmlformats.org/officeDocument/2006/relationships" ref="B174" r:id="rId288"/>
    <hyperlink xmlns:r="http://schemas.openxmlformats.org/officeDocument/2006/relationships" ref="B175" r:id="rId289"/>
    <hyperlink xmlns:r="http://schemas.openxmlformats.org/officeDocument/2006/relationships" ref="B176" r:id="rId290"/>
    <hyperlink xmlns:r="http://schemas.openxmlformats.org/officeDocument/2006/relationships" ref="B177" r:id="rId291"/>
    <hyperlink xmlns:r="http://schemas.openxmlformats.org/officeDocument/2006/relationships" ref="B178" r:id="rId292"/>
    <hyperlink xmlns:r="http://schemas.openxmlformats.org/officeDocument/2006/relationships" ref="B179" r:id="rId293"/>
    <hyperlink xmlns:r="http://schemas.openxmlformats.org/officeDocument/2006/relationships" ref="D179" r:id="rId294"/>
    <hyperlink xmlns:r="http://schemas.openxmlformats.org/officeDocument/2006/relationships" ref="B180" r:id="rId295"/>
    <hyperlink xmlns:r="http://schemas.openxmlformats.org/officeDocument/2006/relationships" ref="D180" r:id="rId296"/>
    <hyperlink xmlns:r="http://schemas.openxmlformats.org/officeDocument/2006/relationships" ref="B181" r:id="rId297"/>
    <hyperlink xmlns:r="http://schemas.openxmlformats.org/officeDocument/2006/relationships" ref="D181" r:id="rId298"/>
    <hyperlink xmlns:r="http://schemas.openxmlformats.org/officeDocument/2006/relationships" ref="B182" r:id="rId299"/>
    <hyperlink xmlns:r="http://schemas.openxmlformats.org/officeDocument/2006/relationships" ref="D182" r:id="rId300"/>
    <hyperlink xmlns:r="http://schemas.openxmlformats.org/officeDocument/2006/relationships" ref="B183" r:id="rId301"/>
    <hyperlink xmlns:r="http://schemas.openxmlformats.org/officeDocument/2006/relationships" ref="D183" r:id="rId302"/>
    <hyperlink xmlns:r="http://schemas.openxmlformats.org/officeDocument/2006/relationships" ref="B184" r:id="rId303"/>
    <hyperlink xmlns:r="http://schemas.openxmlformats.org/officeDocument/2006/relationships" ref="D184" r:id="rId304"/>
    <hyperlink xmlns:r="http://schemas.openxmlformats.org/officeDocument/2006/relationships" ref="B185" r:id="rId305"/>
    <hyperlink xmlns:r="http://schemas.openxmlformats.org/officeDocument/2006/relationships" ref="D185" r:id="rId306"/>
    <hyperlink xmlns:r="http://schemas.openxmlformats.org/officeDocument/2006/relationships" ref="B186" r:id="rId307"/>
    <hyperlink xmlns:r="http://schemas.openxmlformats.org/officeDocument/2006/relationships" ref="D186" r:id="rId308"/>
    <hyperlink xmlns:r="http://schemas.openxmlformats.org/officeDocument/2006/relationships" ref="B187" r:id="rId309"/>
    <hyperlink xmlns:r="http://schemas.openxmlformats.org/officeDocument/2006/relationships" ref="D187" r:id="rId310"/>
    <hyperlink xmlns:r="http://schemas.openxmlformats.org/officeDocument/2006/relationships" ref="B188" r:id="rId311"/>
    <hyperlink xmlns:r="http://schemas.openxmlformats.org/officeDocument/2006/relationships" ref="D188" r:id="rId312"/>
    <hyperlink xmlns:r="http://schemas.openxmlformats.org/officeDocument/2006/relationships" ref="B189" r:id="rId313"/>
    <hyperlink xmlns:r="http://schemas.openxmlformats.org/officeDocument/2006/relationships" ref="D189" r:id="rId314"/>
    <hyperlink xmlns:r="http://schemas.openxmlformats.org/officeDocument/2006/relationships" ref="B190" r:id="rId315"/>
    <hyperlink xmlns:r="http://schemas.openxmlformats.org/officeDocument/2006/relationships" ref="D190" r:id="rId316"/>
    <hyperlink xmlns:r="http://schemas.openxmlformats.org/officeDocument/2006/relationships" ref="B191" r:id="rId317"/>
    <hyperlink xmlns:r="http://schemas.openxmlformats.org/officeDocument/2006/relationships" ref="D191" r:id="rId318"/>
    <hyperlink xmlns:r="http://schemas.openxmlformats.org/officeDocument/2006/relationships" ref="B192" r:id="rId319"/>
    <hyperlink xmlns:r="http://schemas.openxmlformats.org/officeDocument/2006/relationships" ref="D192" r:id="rId320"/>
    <hyperlink xmlns:r="http://schemas.openxmlformats.org/officeDocument/2006/relationships" ref="B193" r:id="rId321"/>
    <hyperlink xmlns:r="http://schemas.openxmlformats.org/officeDocument/2006/relationships" ref="D193" r:id="rId322"/>
    <hyperlink xmlns:r="http://schemas.openxmlformats.org/officeDocument/2006/relationships" ref="B194" r:id="rId323"/>
    <hyperlink xmlns:r="http://schemas.openxmlformats.org/officeDocument/2006/relationships" ref="D194" r:id="rId324"/>
    <hyperlink xmlns:r="http://schemas.openxmlformats.org/officeDocument/2006/relationships" ref="B195" r:id="rId325"/>
    <hyperlink xmlns:r="http://schemas.openxmlformats.org/officeDocument/2006/relationships" ref="D195" r:id="rId326"/>
    <hyperlink xmlns:r="http://schemas.openxmlformats.org/officeDocument/2006/relationships" ref="B196" r:id="rId327"/>
    <hyperlink xmlns:r="http://schemas.openxmlformats.org/officeDocument/2006/relationships" ref="D196" r:id="rId328"/>
    <hyperlink xmlns:r="http://schemas.openxmlformats.org/officeDocument/2006/relationships" ref="B197" r:id="rId329"/>
    <hyperlink xmlns:r="http://schemas.openxmlformats.org/officeDocument/2006/relationships" ref="D197" r:id="rId330"/>
    <hyperlink xmlns:r="http://schemas.openxmlformats.org/officeDocument/2006/relationships" ref="B198" r:id="rId331"/>
    <hyperlink xmlns:r="http://schemas.openxmlformats.org/officeDocument/2006/relationships" ref="D198" r:id="rId332"/>
    <hyperlink xmlns:r="http://schemas.openxmlformats.org/officeDocument/2006/relationships" ref="B199" r:id="rId333"/>
    <hyperlink xmlns:r="http://schemas.openxmlformats.org/officeDocument/2006/relationships" ref="D199" r:id="rId334"/>
    <hyperlink xmlns:r="http://schemas.openxmlformats.org/officeDocument/2006/relationships" ref="B200" r:id="rId335"/>
    <hyperlink xmlns:r="http://schemas.openxmlformats.org/officeDocument/2006/relationships" ref="D200" r:id="rId336"/>
    <hyperlink xmlns:r="http://schemas.openxmlformats.org/officeDocument/2006/relationships" ref="B201" r:id="rId337"/>
    <hyperlink xmlns:r="http://schemas.openxmlformats.org/officeDocument/2006/relationships" ref="D201" r:id="rId338"/>
    <hyperlink xmlns:r="http://schemas.openxmlformats.org/officeDocument/2006/relationships" ref="B202" r:id="rId339"/>
    <hyperlink xmlns:r="http://schemas.openxmlformats.org/officeDocument/2006/relationships" ref="D202" r:id="rId340"/>
    <hyperlink xmlns:r="http://schemas.openxmlformats.org/officeDocument/2006/relationships" ref="B203" r:id="rId341"/>
    <hyperlink xmlns:r="http://schemas.openxmlformats.org/officeDocument/2006/relationships" ref="D203" r:id="rId342"/>
    <hyperlink xmlns:r="http://schemas.openxmlformats.org/officeDocument/2006/relationships" ref="B204" r:id="rId343"/>
    <hyperlink xmlns:r="http://schemas.openxmlformats.org/officeDocument/2006/relationships" ref="D204" r:id="rId344"/>
    <hyperlink xmlns:r="http://schemas.openxmlformats.org/officeDocument/2006/relationships" ref="B205" r:id="rId345"/>
    <hyperlink xmlns:r="http://schemas.openxmlformats.org/officeDocument/2006/relationships" ref="D205" r:id="rId346"/>
    <hyperlink xmlns:r="http://schemas.openxmlformats.org/officeDocument/2006/relationships" ref="B206" r:id="rId347"/>
    <hyperlink xmlns:r="http://schemas.openxmlformats.org/officeDocument/2006/relationships" ref="D206" r:id="rId348"/>
    <hyperlink xmlns:r="http://schemas.openxmlformats.org/officeDocument/2006/relationships" ref="B207" r:id="rId349"/>
    <hyperlink xmlns:r="http://schemas.openxmlformats.org/officeDocument/2006/relationships" ref="D207" r:id="rId350"/>
    <hyperlink xmlns:r="http://schemas.openxmlformats.org/officeDocument/2006/relationships" ref="B208" r:id="rId351"/>
    <hyperlink xmlns:r="http://schemas.openxmlformats.org/officeDocument/2006/relationships" ref="D208" r:id="rId352"/>
    <hyperlink xmlns:r="http://schemas.openxmlformats.org/officeDocument/2006/relationships" ref="B209" r:id="rId353"/>
    <hyperlink xmlns:r="http://schemas.openxmlformats.org/officeDocument/2006/relationships" ref="B210" r:id="rId354"/>
    <hyperlink xmlns:r="http://schemas.openxmlformats.org/officeDocument/2006/relationships" ref="B211" r:id="rId355"/>
    <hyperlink xmlns:r="http://schemas.openxmlformats.org/officeDocument/2006/relationships" ref="B212" r:id="rId356"/>
    <hyperlink xmlns:r="http://schemas.openxmlformats.org/officeDocument/2006/relationships" ref="B213" r:id="rId357"/>
    <hyperlink xmlns:r="http://schemas.openxmlformats.org/officeDocument/2006/relationships" ref="D213" r:id="rId358"/>
    <hyperlink xmlns:r="http://schemas.openxmlformats.org/officeDocument/2006/relationships" ref="B214" r:id="rId359"/>
    <hyperlink xmlns:r="http://schemas.openxmlformats.org/officeDocument/2006/relationships" ref="D214" r:id="rId360"/>
    <hyperlink xmlns:r="http://schemas.openxmlformats.org/officeDocument/2006/relationships" ref="B215" r:id="rId361"/>
    <hyperlink xmlns:r="http://schemas.openxmlformats.org/officeDocument/2006/relationships" ref="D215" r:id="rId362"/>
    <hyperlink xmlns:r="http://schemas.openxmlformats.org/officeDocument/2006/relationships" ref="B216" r:id="rId363"/>
    <hyperlink xmlns:r="http://schemas.openxmlformats.org/officeDocument/2006/relationships" ref="D216" r:id="rId364"/>
    <hyperlink xmlns:r="http://schemas.openxmlformats.org/officeDocument/2006/relationships" ref="B217" r:id="rId365"/>
    <hyperlink xmlns:r="http://schemas.openxmlformats.org/officeDocument/2006/relationships" ref="D217" r:id="rId366"/>
    <hyperlink xmlns:r="http://schemas.openxmlformats.org/officeDocument/2006/relationships" ref="B218" r:id="rId367"/>
    <hyperlink xmlns:r="http://schemas.openxmlformats.org/officeDocument/2006/relationships" ref="D218" r:id="rId368"/>
    <hyperlink xmlns:r="http://schemas.openxmlformats.org/officeDocument/2006/relationships" ref="B219" r:id="rId369"/>
    <hyperlink xmlns:r="http://schemas.openxmlformats.org/officeDocument/2006/relationships" ref="D219" r:id="rId370"/>
    <hyperlink xmlns:r="http://schemas.openxmlformats.org/officeDocument/2006/relationships" ref="B220" r:id="rId371"/>
    <hyperlink xmlns:r="http://schemas.openxmlformats.org/officeDocument/2006/relationships" ref="D220" r:id="rId372"/>
    <hyperlink xmlns:r="http://schemas.openxmlformats.org/officeDocument/2006/relationships" ref="B221" r:id="rId373"/>
    <hyperlink xmlns:r="http://schemas.openxmlformats.org/officeDocument/2006/relationships" ref="D221" r:id="rId374"/>
    <hyperlink xmlns:r="http://schemas.openxmlformats.org/officeDocument/2006/relationships" ref="B222" r:id="rId375"/>
    <hyperlink xmlns:r="http://schemas.openxmlformats.org/officeDocument/2006/relationships" ref="D222" r:id="rId376"/>
    <hyperlink xmlns:r="http://schemas.openxmlformats.org/officeDocument/2006/relationships" ref="B223" r:id="rId377"/>
    <hyperlink xmlns:r="http://schemas.openxmlformats.org/officeDocument/2006/relationships" ref="D223" r:id="rId378"/>
    <hyperlink xmlns:r="http://schemas.openxmlformats.org/officeDocument/2006/relationships" ref="B224" r:id="rId379"/>
    <hyperlink xmlns:r="http://schemas.openxmlformats.org/officeDocument/2006/relationships" ref="D224" r:id="rId380"/>
    <hyperlink xmlns:r="http://schemas.openxmlformats.org/officeDocument/2006/relationships" ref="B225" r:id="rId381"/>
    <hyperlink xmlns:r="http://schemas.openxmlformats.org/officeDocument/2006/relationships" ref="D225" r:id="rId382"/>
    <hyperlink xmlns:r="http://schemas.openxmlformats.org/officeDocument/2006/relationships" ref="B226" r:id="rId383"/>
    <hyperlink xmlns:r="http://schemas.openxmlformats.org/officeDocument/2006/relationships" ref="D226" r:id="rId384"/>
    <hyperlink xmlns:r="http://schemas.openxmlformats.org/officeDocument/2006/relationships" ref="B227" r:id="rId385"/>
    <hyperlink xmlns:r="http://schemas.openxmlformats.org/officeDocument/2006/relationships" ref="D227" r:id="rId386"/>
    <hyperlink xmlns:r="http://schemas.openxmlformats.org/officeDocument/2006/relationships" ref="B228" r:id="rId387"/>
    <hyperlink xmlns:r="http://schemas.openxmlformats.org/officeDocument/2006/relationships" ref="D228" r:id="rId388"/>
    <hyperlink xmlns:r="http://schemas.openxmlformats.org/officeDocument/2006/relationships" ref="B229" r:id="rId389"/>
    <hyperlink xmlns:r="http://schemas.openxmlformats.org/officeDocument/2006/relationships" ref="D229" r:id="rId390"/>
    <hyperlink xmlns:r="http://schemas.openxmlformats.org/officeDocument/2006/relationships" ref="B230" r:id="rId391"/>
    <hyperlink xmlns:r="http://schemas.openxmlformats.org/officeDocument/2006/relationships" ref="D230" r:id="rId392"/>
    <hyperlink xmlns:r="http://schemas.openxmlformats.org/officeDocument/2006/relationships" ref="B231" r:id="rId393"/>
    <hyperlink xmlns:r="http://schemas.openxmlformats.org/officeDocument/2006/relationships" ref="D231" r:id="rId394"/>
    <hyperlink xmlns:r="http://schemas.openxmlformats.org/officeDocument/2006/relationships" ref="B232" r:id="rId395"/>
    <hyperlink xmlns:r="http://schemas.openxmlformats.org/officeDocument/2006/relationships" ref="D232" r:id="rId396"/>
    <hyperlink xmlns:r="http://schemas.openxmlformats.org/officeDocument/2006/relationships" ref="B233" r:id="rId397"/>
    <hyperlink xmlns:r="http://schemas.openxmlformats.org/officeDocument/2006/relationships" ref="D233" r:id="rId398"/>
    <hyperlink xmlns:r="http://schemas.openxmlformats.org/officeDocument/2006/relationships" ref="B234" r:id="rId399"/>
    <hyperlink xmlns:r="http://schemas.openxmlformats.org/officeDocument/2006/relationships" ref="D234" r:id="rId400"/>
    <hyperlink xmlns:r="http://schemas.openxmlformats.org/officeDocument/2006/relationships" ref="B235" r:id="rId401"/>
    <hyperlink xmlns:r="http://schemas.openxmlformats.org/officeDocument/2006/relationships" ref="D235" r:id="rId402"/>
    <hyperlink xmlns:r="http://schemas.openxmlformats.org/officeDocument/2006/relationships" ref="B236" r:id="rId403"/>
    <hyperlink xmlns:r="http://schemas.openxmlformats.org/officeDocument/2006/relationships" ref="D236" r:id="rId404"/>
    <hyperlink xmlns:r="http://schemas.openxmlformats.org/officeDocument/2006/relationships" ref="B237" r:id="rId405"/>
    <hyperlink xmlns:r="http://schemas.openxmlformats.org/officeDocument/2006/relationships" ref="D237" r:id="rId406"/>
    <hyperlink xmlns:r="http://schemas.openxmlformats.org/officeDocument/2006/relationships" ref="B238" r:id="rId407"/>
    <hyperlink xmlns:r="http://schemas.openxmlformats.org/officeDocument/2006/relationships" ref="D238" r:id="rId408"/>
    <hyperlink xmlns:r="http://schemas.openxmlformats.org/officeDocument/2006/relationships" ref="B239" r:id="rId409"/>
    <hyperlink xmlns:r="http://schemas.openxmlformats.org/officeDocument/2006/relationships" ref="D239" r:id="rId410"/>
    <hyperlink xmlns:r="http://schemas.openxmlformats.org/officeDocument/2006/relationships" ref="B240" r:id="rId411"/>
    <hyperlink xmlns:r="http://schemas.openxmlformats.org/officeDocument/2006/relationships" ref="D240" r:id="rId412"/>
    <hyperlink xmlns:r="http://schemas.openxmlformats.org/officeDocument/2006/relationships" ref="B241" r:id="rId413"/>
    <hyperlink xmlns:r="http://schemas.openxmlformats.org/officeDocument/2006/relationships" ref="D241" r:id="rId414"/>
    <hyperlink xmlns:r="http://schemas.openxmlformats.org/officeDocument/2006/relationships" ref="B242" r:id="rId415"/>
    <hyperlink xmlns:r="http://schemas.openxmlformats.org/officeDocument/2006/relationships" ref="D242" r:id="rId416"/>
    <hyperlink xmlns:r="http://schemas.openxmlformats.org/officeDocument/2006/relationships" ref="B243" r:id="rId417"/>
    <hyperlink xmlns:r="http://schemas.openxmlformats.org/officeDocument/2006/relationships" ref="D243" r:id="rId418"/>
    <hyperlink xmlns:r="http://schemas.openxmlformats.org/officeDocument/2006/relationships" ref="B244" r:id="rId419"/>
    <hyperlink xmlns:r="http://schemas.openxmlformats.org/officeDocument/2006/relationships" ref="D244" r:id="rId420"/>
    <hyperlink xmlns:r="http://schemas.openxmlformats.org/officeDocument/2006/relationships" ref="B245" r:id="rId421"/>
    <hyperlink xmlns:r="http://schemas.openxmlformats.org/officeDocument/2006/relationships" ref="D245" r:id="rId422"/>
    <hyperlink xmlns:r="http://schemas.openxmlformats.org/officeDocument/2006/relationships" ref="B246" r:id="rId423"/>
    <hyperlink xmlns:r="http://schemas.openxmlformats.org/officeDocument/2006/relationships" ref="D246" r:id="rId424"/>
    <hyperlink xmlns:r="http://schemas.openxmlformats.org/officeDocument/2006/relationships" ref="B247" r:id="rId425"/>
    <hyperlink xmlns:r="http://schemas.openxmlformats.org/officeDocument/2006/relationships" ref="D247" r:id="rId426"/>
    <hyperlink xmlns:r="http://schemas.openxmlformats.org/officeDocument/2006/relationships" ref="B248" r:id="rId427"/>
    <hyperlink xmlns:r="http://schemas.openxmlformats.org/officeDocument/2006/relationships" ref="D248" r:id="rId428"/>
    <hyperlink xmlns:r="http://schemas.openxmlformats.org/officeDocument/2006/relationships" ref="B249" r:id="rId429"/>
    <hyperlink xmlns:r="http://schemas.openxmlformats.org/officeDocument/2006/relationships" ref="D249" r:id="rId430"/>
    <hyperlink xmlns:r="http://schemas.openxmlformats.org/officeDocument/2006/relationships" ref="B250" r:id="rId431"/>
    <hyperlink xmlns:r="http://schemas.openxmlformats.org/officeDocument/2006/relationships" ref="D250" r:id="rId432"/>
    <hyperlink xmlns:r="http://schemas.openxmlformats.org/officeDocument/2006/relationships" ref="B251" r:id="rId433"/>
    <hyperlink xmlns:r="http://schemas.openxmlformats.org/officeDocument/2006/relationships" ref="D251" r:id="rId434"/>
    <hyperlink xmlns:r="http://schemas.openxmlformats.org/officeDocument/2006/relationships" ref="B252" r:id="rId435"/>
    <hyperlink xmlns:r="http://schemas.openxmlformats.org/officeDocument/2006/relationships" ref="D252" r:id="rId436"/>
    <hyperlink xmlns:r="http://schemas.openxmlformats.org/officeDocument/2006/relationships" ref="B253" r:id="rId437"/>
    <hyperlink xmlns:r="http://schemas.openxmlformats.org/officeDocument/2006/relationships" ref="D253" r:id="rId438"/>
    <hyperlink xmlns:r="http://schemas.openxmlformats.org/officeDocument/2006/relationships" ref="B254" r:id="rId439"/>
    <hyperlink xmlns:r="http://schemas.openxmlformats.org/officeDocument/2006/relationships" ref="D254" r:id="rId440"/>
    <hyperlink xmlns:r="http://schemas.openxmlformats.org/officeDocument/2006/relationships" ref="B255" r:id="rId441"/>
    <hyperlink xmlns:r="http://schemas.openxmlformats.org/officeDocument/2006/relationships" ref="B256" r:id="rId442"/>
    <hyperlink xmlns:r="http://schemas.openxmlformats.org/officeDocument/2006/relationships" ref="D256" r:id="rId443"/>
    <hyperlink xmlns:r="http://schemas.openxmlformats.org/officeDocument/2006/relationships" ref="B257" r:id="rId444"/>
    <hyperlink xmlns:r="http://schemas.openxmlformats.org/officeDocument/2006/relationships" ref="D257" r:id="rId445"/>
    <hyperlink xmlns:r="http://schemas.openxmlformats.org/officeDocument/2006/relationships" ref="B258" r:id="rId446"/>
    <hyperlink xmlns:r="http://schemas.openxmlformats.org/officeDocument/2006/relationships" ref="D258" r:id="rId447"/>
    <hyperlink xmlns:r="http://schemas.openxmlformats.org/officeDocument/2006/relationships" ref="B259" r:id="rId448"/>
    <hyperlink xmlns:r="http://schemas.openxmlformats.org/officeDocument/2006/relationships" ref="D259" r:id="rId449"/>
    <hyperlink xmlns:r="http://schemas.openxmlformats.org/officeDocument/2006/relationships" ref="B260" r:id="rId450"/>
    <hyperlink xmlns:r="http://schemas.openxmlformats.org/officeDocument/2006/relationships" ref="B261" r:id="rId451"/>
    <hyperlink xmlns:r="http://schemas.openxmlformats.org/officeDocument/2006/relationships" ref="B262" r:id="rId452"/>
    <hyperlink xmlns:r="http://schemas.openxmlformats.org/officeDocument/2006/relationships" ref="B263" r:id="rId453"/>
    <hyperlink xmlns:r="http://schemas.openxmlformats.org/officeDocument/2006/relationships" ref="B264" r:id="rId454"/>
    <hyperlink xmlns:r="http://schemas.openxmlformats.org/officeDocument/2006/relationships" ref="B265" r:id="rId455"/>
    <hyperlink xmlns:r="http://schemas.openxmlformats.org/officeDocument/2006/relationships" ref="B266" r:id="rId456"/>
    <hyperlink xmlns:r="http://schemas.openxmlformats.org/officeDocument/2006/relationships" ref="D266" r:id="rId457"/>
    <hyperlink xmlns:r="http://schemas.openxmlformats.org/officeDocument/2006/relationships" ref="B267" r:id="rId458"/>
    <hyperlink xmlns:r="http://schemas.openxmlformats.org/officeDocument/2006/relationships" ref="D267" r:id="rId459"/>
    <hyperlink xmlns:r="http://schemas.openxmlformats.org/officeDocument/2006/relationships" ref="B268" r:id="rId460"/>
    <hyperlink xmlns:r="http://schemas.openxmlformats.org/officeDocument/2006/relationships" ref="B269" r:id="rId461"/>
    <hyperlink xmlns:r="http://schemas.openxmlformats.org/officeDocument/2006/relationships" ref="B270" r:id="rId462"/>
    <hyperlink xmlns:r="http://schemas.openxmlformats.org/officeDocument/2006/relationships" ref="B271" r:id="rId463"/>
    <hyperlink xmlns:r="http://schemas.openxmlformats.org/officeDocument/2006/relationships" ref="D271" r:id="rId464"/>
    <hyperlink xmlns:r="http://schemas.openxmlformats.org/officeDocument/2006/relationships" ref="B272" r:id="rId465"/>
    <hyperlink xmlns:r="http://schemas.openxmlformats.org/officeDocument/2006/relationships" ref="D272" r:id="rId466"/>
    <hyperlink xmlns:r="http://schemas.openxmlformats.org/officeDocument/2006/relationships" ref="B273" r:id="rId467"/>
    <hyperlink xmlns:r="http://schemas.openxmlformats.org/officeDocument/2006/relationships" ref="D273" r:id="rId468"/>
    <hyperlink xmlns:r="http://schemas.openxmlformats.org/officeDocument/2006/relationships" ref="B274" r:id="rId469"/>
    <hyperlink xmlns:r="http://schemas.openxmlformats.org/officeDocument/2006/relationships" ref="D274" r:id="rId470"/>
    <hyperlink xmlns:r="http://schemas.openxmlformats.org/officeDocument/2006/relationships" ref="B275" r:id="rId471"/>
    <hyperlink xmlns:r="http://schemas.openxmlformats.org/officeDocument/2006/relationships" ref="B276" r:id="rId472"/>
    <hyperlink xmlns:r="http://schemas.openxmlformats.org/officeDocument/2006/relationships" ref="B277" r:id="rId473"/>
    <hyperlink xmlns:r="http://schemas.openxmlformats.org/officeDocument/2006/relationships" ref="B278" r:id="rId474"/>
    <hyperlink xmlns:r="http://schemas.openxmlformats.org/officeDocument/2006/relationships" ref="B279" r:id="rId475"/>
    <hyperlink xmlns:r="http://schemas.openxmlformats.org/officeDocument/2006/relationships" ref="B280" r:id="rId476"/>
    <hyperlink xmlns:r="http://schemas.openxmlformats.org/officeDocument/2006/relationships" ref="B281" r:id="rId477"/>
    <hyperlink xmlns:r="http://schemas.openxmlformats.org/officeDocument/2006/relationships" ref="B282" r:id="rId478"/>
    <hyperlink xmlns:r="http://schemas.openxmlformats.org/officeDocument/2006/relationships" ref="D282" r:id="rId479"/>
    <hyperlink xmlns:r="http://schemas.openxmlformats.org/officeDocument/2006/relationships" ref="B283" r:id="rId480"/>
    <hyperlink xmlns:r="http://schemas.openxmlformats.org/officeDocument/2006/relationships" ref="D283" r:id="rId481"/>
    <hyperlink xmlns:r="http://schemas.openxmlformats.org/officeDocument/2006/relationships" ref="B284" r:id="rId482"/>
    <hyperlink xmlns:r="http://schemas.openxmlformats.org/officeDocument/2006/relationships" ref="D284" r:id="rId483"/>
    <hyperlink xmlns:r="http://schemas.openxmlformats.org/officeDocument/2006/relationships" ref="B285" r:id="rId484"/>
    <hyperlink xmlns:r="http://schemas.openxmlformats.org/officeDocument/2006/relationships" ref="D285" r:id="rId485"/>
    <hyperlink xmlns:r="http://schemas.openxmlformats.org/officeDocument/2006/relationships" ref="B286" r:id="rId486"/>
    <hyperlink xmlns:r="http://schemas.openxmlformats.org/officeDocument/2006/relationships" ref="D286" r:id="rId487"/>
    <hyperlink xmlns:r="http://schemas.openxmlformats.org/officeDocument/2006/relationships" ref="B287" r:id="rId488"/>
    <hyperlink xmlns:r="http://schemas.openxmlformats.org/officeDocument/2006/relationships" ref="D287" r:id="rId489"/>
    <hyperlink xmlns:r="http://schemas.openxmlformats.org/officeDocument/2006/relationships" ref="B288" r:id="rId490"/>
    <hyperlink xmlns:r="http://schemas.openxmlformats.org/officeDocument/2006/relationships" ref="B289" r:id="rId491"/>
    <hyperlink xmlns:r="http://schemas.openxmlformats.org/officeDocument/2006/relationships" ref="B290" r:id="rId492"/>
    <hyperlink xmlns:r="http://schemas.openxmlformats.org/officeDocument/2006/relationships" ref="D290" r:id="rId493"/>
    <hyperlink xmlns:r="http://schemas.openxmlformats.org/officeDocument/2006/relationships" ref="B291" r:id="rId494"/>
    <hyperlink xmlns:r="http://schemas.openxmlformats.org/officeDocument/2006/relationships" ref="D291" r:id="rId495"/>
    <hyperlink xmlns:r="http://schemas.openxmlformats.org/officeDocument/2006/relationships" ref="B292" r:id="rId496"/>
    <hyperlink xmlns:r="http://schemas.openxmlformats.org/officeDocument/2006/relationships" ref="D292" r:id="rId497"/>
    <hyperlink xmlns:r="http://schemas.openxmlformats.org/officeDocument/2006/relationships" ref="B293" r:id="rId498"/>
    <hyperlink xmlns:r="http://schemas.openxmlformats.org/officeDocument/2006/relationships" ref="D293" r:id="rId499"/>
    <hyperlink xmlns:r="http://schemas.openxmlformats.org/officeDocument/2006/relationships" ref="B294" r:id="rId500"/>
    <hyperlink xmlns:r="http://schemas.openxmlformats.org/officeDocument/2006/relationships" ref="B295" r:id="rId501"/>
    <hyperlink xmlns:r="http://schemas.openxmlformats.org/officeDocument/2006/relationships" ref="B296" r:id="rId502"/>
    <hyperlink xmlns:r="http://schemas.openxmlformats.org/officeDocument/2006/relationships" ref="D296" r:id="rId503"/>
    <hyperlink xmlns:r="http://schemas.openxmlformats.org/officeDocument/2006/relationships" ref="B297" r:id="rId504"/>
    <hyperlink xmlns:r="http://schemas.openxmlformats.org/officeDocument/2006/relationships" ref="B298" r:id="rId505"/>
    <hyperlink xmlns:r="http://schemas.openxmlformats.org/officeDocument/2006/relationships" ref="D298" r:id="rId506"/>
    <hyperlink xmlns:r="http://schemas.openxmlformats.org/officeDocument/2006/relationships" ref="B299" r:id="rId507"/>
    <hyperlink xmlns:r="http://schemas.openxmlformats.org/officeDocument/2006/relationships" ref="D299" r:id="rId508"/>
    <hyperlink xmlns:r="http://schemas.openxmlformats.org/officeDocument/2006/relationships" ref="B300" r:id="rId509"/>
    <hyperlink xmlns:r="http://schemas.openxmlformats.org/officeDocument/2006/relationships" ref="D300" r:id="rId510"/>
    <hyperlink xmlns:r="http://schemas.openxmlformats.org/officeDocument/2006/relationships" ref="B301" r:id="rId511"/>
    <hyperlink xmlns:r="http://schemas.openxmlformats.org/officeDocument/2006/relationships" ref="D301" r:id="rId512"/>
    <hyperlink xmlns:r="http://schemas.openxmlformats.org/officeDocument/2006/relationships" ref="B302" r:id="rId513"/>
    <hyperlink xmlns:r="http://schemas.openxmlformats.org/officeDocument/2006/relationships" ref="B303" r:id="rId514"/>
    <hyperlink xmlns:r="http://schemas.openxmlformats.org/officeDocument/2006/relationships" ref="D303" r:id="rId515"/>
    <hyperlink xmlns:r="http://schemas.openxmlformats.org/officeDocument/2006/relationships" ref="B304" r:id="rId516"/>
    <hyperlink xmlns:r="http://schemas.openxmlformats.org/officeDocument/2006/relationships" ref="D304" r:id="rId517"/>
    <hyperlink xmlns:r="http://schemas.openxmlformats.org/officeDocument/2006/relationships" ref="B305" r:id="rId518"/>
    <hyperlink xmlns:r="http://schemas.openxmlformats.org/officeDocument/2006/relationships" ref="B306" r:id="rId519"/>
    <hyperlink xmlns:r="http://schemas.openxmlformats.org/officeDocument/2006/relationships" ref="D306" r:id="rId520"/>
    <hyperlink xmlns:r="http://schemas.openxmlformats.org/officeDocument/2006/relationships" ref="B307" r:id="rId521"/>
    <hyperlink xmlns:r="http://schemas.openxmlformats.org/officeDocument/2006/relationships" ref="D307" r:id="rId522"/>
    <hyperlink xmlns:r="http://schemas.openxmlformats.org/officeDocument/2006/relationships" ref="B308" r:id="rId523"/>
    <hyperlink xmlns:r="http://schemas.openxmlformats.org/officeDocument/2006/relationships" ref="D308" r:id="rId524"/>
    <hyperlink xmlns:r="http://schemas.openxmlformats.org/officeDocument/2006/relationships" ref="B309" r:id="rId525"/>
    <hyperlink xmlns:r="http://schemas.openxmlformats.org/officeDocument/2006/relationships" ref="B310" r:id="rId526"/>
    <hyperlink xmlns:r="http://schemas.openxmlformats.org/officeDocument/2006/relationships" ref="D310" r:id="rId527"/>
    <hyperlink xmlns:r="http://schemas.openxmlformats.org/officeDocument/2006/relationships" ref="B311" r:id="rId528"/>
    <hyperlink xmlns:r="http://schemas.openxmlformats.org/officeDocument/2006/relationships" ref="D311" r:id="rId529"/>
    <hyperlink xmlns:r="http://schemas.openxmlformats.org/officeDocument/2006/relationships" ref="B312" r:id="rId530"/>
    <hyperlink xmlns:r="http://schemas.openxmlformats.org/officeDocument/2006/relationships" ref="D312" r:id="rId531"/>
    <hyperlink xmlns:r="http://schemas.openxmlformats.org/officeDocument/2006/relationships" ref="B313" r:id="rId532"/>
  </hyperlinks>
  <pageMargins left="0.75" right="0.75" top="1" bottom="1" header="0.5" footer="0.5"/>
  <pageSetup fitToHeight="0" fitToWidth="1"/>
  <tableParts count="1">
    <tablePart xmlns:r="http://schemas.openxmlformats.org/officeDocument/2006/relationships" r:id="rId533"/>
  </tableParts>
</worksheet>
</file>

<file path=xl/worksheets/sheet5.xml><?xml version="1.0" encoding="utf-8"?>
<worksheet xmlns="http://schemas.openxmlformats.org/spreadsheetml/2006/main">
  <sheetPr>
    <tabColor rgb="00F4B860"/>
    <outlinePr summaryBelow="1" summaryRight="1"/>
    <pageSetUpPr fitToPage="1"/>
  </sheetPr>
  <dimension ref="A1:N1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8" customWidth="1" min="2" max="2"/>
    <col width="26" customWidth="1" min="3" max="3"/>
    <col width="36" customWidth="1" min="4" max="4"/>
    <col width="72" customWidth="1" min="5" max="5"/>
    <col width="48" customWidth="1" min="6" max="6"/>
    <col width="48" customWidth="1" min="7" max="7"/>
    <col width="42" customWidth="1" min="8" max="8"/>
    <col width="42" customWidth="1" min="9" max="9"/>
    <col width="36" customWidth="1" min="10" max="10"/>
    <col width="58" customWidth="1" min="11" max="11"/>
    <col width="56" customWidth="1" min="12" max="12"/>
    <col width="42" customWidth="1" min="13" max="13"/>
    <col width="30" customWidth="1" min="14" max="14"/>
  </cols>
  <sheetData>
    <row r="1" ht="34" customHeight="1">
      <c r="A1" s="15" t="inlineStr">
        <is>
          <t>Runtime Path ID</t>
        </is>
      </c>
      <c r="B1" s="15" t="inlineStr">
        <is>
          <t>Name</t>
        </is>
      </c>
      <c r="C1" s="15" t="inlineStr">
        <is>
          <t>Actor</t>
        </is>
      </c>
      <c r="D1" s="15" t="inlineStr">
        <is>
          <t>Entry</t>
        </is>
      </c>
      <c r="E1" s="15" t="inlineStr">
        <is>
          <t>Sequence</t>
        </is>
      </c>
      <c r="F1" s="15" t="inlineStr">
        <is>
          <t>Client</t>
        </is>
      </c>
      <c r="G1" s="15" t="inlineStr">
        <is>
          <t>Server</t>
        </is>
      </c>
      <c r="H1" s="15" t="inlineStr">
        <is>
          <t>Data</t>
        </is>
      </c>
      <c r="I1" s="15" t="inlineStr">
        <is>
          <t>Async or Realtime</t>
        </is>
      </c>
      <c r="J1" s="15" t="inlineStr">
        <is>
          <t>External</t>
        </is>
      </c>
      <c r="K1" s="15" t="inlineStr">
        <is>
          <t>Failure and Fallback</t>
        </is>
      </c>
      <c r="L1" s="15" t="inlineStr">
        <is>
          <t>Evidence Locator</t>
        </is>
      </c>
      <c r="M1" s="15" t="inlineStr">
        <is>
          <t>Revision</t>
        </is>
      </c>
      <c r="N1" s="15" t="inlineStr">
        <is>
          <t>Verification</t>
        </is>
      </c>
    </row>
    <row r="2" ht="42" customHeight="1">
      <c r="A2" s="29" t="inlineStr">
        <is>
          <t>RP-001</t>
        </is>
      </c>
      <c r="B2" s="29" t="inlineStr">
        <is>
          <t>Mobile bootstrap and authentication</t>
        </is>
      </c>
      <c r="C2" s="29" t="inlineStr">
        <is>
          <t>App user</t>
        </is>
      </c>
      <c r="D2" s="29" t="inlineStr">
        <is>
          <t>Expo registerRootComponent -&gt; App</t>
        </is>
      </c>
      <c r="E2" s="29" t="inlineStr">
        <is>
          <t>Runtime prelude loads; App delays mount; pre-auth cleanup runs; authenticated state is resolved; AuthScreen or AppStack is rendered; Amplify, Sentry and streaming flag initialize in the background.</t>
        </is>
      </c>
      <c r="F2" s="29" t="inlineStr">
        <is>
          <t>index.js; App.js; src/config/preAuthCleanup.js; src/config/amplify.js</t>
        </is>
      </c>
      <c r="G2" s="29" t="inlineStr">
        <is>
          <t>Cognito and/or Firebase Auth depending the called feature.</t>
        </is>
      </c>
      <c r="H2" s="29" t="inlineStr">
        <is>
          <t>AsyncStorage-backed auth persistence; identity provider state.</t>
        </is>
      </c>
      <c r="I2" s="29" t="inlineStr">
        <is>
          <t>Deferred initialization and native monitoring callbacks.</t>
        </is>
      </c>
      <c r="J2" s="29" t="inlineStr">
        <is>
          <t>Firebase; AWS Cognito; Sentry.</t>
        </is>
      </c>
      <c r="K2" s="29" t="inlineStr">
        <is>
          <t>Hard bootstrap fallback forces the app ready after 15 seconds; global error screen; optional explicit development auth bypass.</t>
        </is>
      </c>
      <c r="L2" s="29" t="inlineStr">
        <is>
          <t>App.js:255-460; index.js</t>
        </is>
      </c>
      <c r="M2" s="29" t="inlineStr">
        <is>
          <t>8bc0dcb2a1da1b21368c5536aaeef829d587f316</t>
        </is>
      </c>
      <c r="N2" s="29" t="inlineStr">
        <is>
          <t>Source traced</t>
        </is>
      </c>
    </row>
    <row r="3" ht="42" customHeight="1">
      <c r="A3" s="29" t="inlineStr">
        <is>
          <t>RP-002</t>
        </is>
      </c>
      <c r="B3" s="29" t="inlineStr">
        <is>
          <t>Firebase-backed client operation</t>
        </is>
      </c>
      <c r="C3" s="29" t="inlineStr">
        <is>
          <t>App feature</t>
        </is>
      </c>
      <c r="D3" s="29" t="inlineStr">
        <is>
          <t>auth/db/firestore/storage imports from src/config/firebase.js</t>
        </is>
      </c>
      <c r="E3" s="29" t="inlineStr">
        <is>
          <t>Build flags and configuration select native Firebase, Web SDK or disabled stub; callers use the exported compatibility interface.</t>
        </is>
      </c>
      <c r="F3" s="29" t="inlineStr">
        <is>
          <t>src/config/firebase.js</t>
        </is>
      </c>
      <c r="G3" s="29" t="inlineStr">
        <is>
          <t>Firebase managed services</t>
        </is>
      </c>
      <c r="H3" s="29" t="inlineStr">
        <is>
          <t>Firebase Auth, Firestore and Cloud Storage.</t>
        </is>
      </c>
      <c r="I3" s="29" t="inlineStr">
        <is>
          <t>Firestore onSnapshot subscriptions.</t>
        </is>
      </c>
      <c r="J3" s="29" t="inlineStr">
        <is>
          <t>Firebase.</t>
        </is>
      </c>
      <c r="K3" s="29" t="inlineStr">
        <is>
          <t>Missing API key or explicit disable flag activates empty/no-op stub behaviour.</t>
        </is>
      </c>
      <c r="L3" s="29" t="inlineStr">
        <is>
          <t>src/config/firebase.js:23-297</t>
        </is>
      </c>
      <c r="M3" s="29" t="inlineStr">
        <is>
          <t>8bc0dcb2a1da1b21368c5536aaeef829d587f316</t>
        </is>
      </c>
      <c r="N3" s="29" t="inlineStr">
        <is>
          <t>Source traced</t>
        </is>
      </c>
    </row>
    <row r="4" ht="42" customHeight="1">
      <c r="A4" s="29" t="inlineStr">
        <is>
          <t>RP-003</t>
        </is>
      </c>
      <c r="B4" s="29" t="inlineStr">
        <is>
          <t>Start a live session</t>
        </is>
      </c>
      <c r="C4" s="29" t="inlineStr">
        <is>
          <t>Authenticated host</t>
        </is>
      </c>
      <c r="D4" s="29" t="inlineStr">
        <is>
          <t>LiveStreamScreen and mobile live service -&gt; POST /api/live/start</t>
        </is>
      </c>
      <c r="E4" s="29" t="inlineStr">
        <is>
          <t>Backend validates Cognito token and supported Android policy, probes coordination dependencies, creates the live session and returns the host session/token contract.</t>
        </is>
      </c>
      <c r="F4" s="29" t="inlineStr">
        <is>
          <t>src/screens/LiveStreamScreen.js; src/services live modules</t>
        </is>
      </c>
      <c r="G4" s="29" t="inlineStr">
        <is>
          <t>liveRoutes /live/start and live-session service</t>
        </is>
      </c>
      <c r="H4" s="29" t="inlineStr">
        <is>
          <t>DynamoDB live-session tables; Redis coordination where available.</t>
        </is>
      </c>
      <c r="I4" s="29" t="inlineStr">
        <is>
          <t>Socket.IO stream room and IVS media plane.</t>
        </is>
      </c>
      <c r="J4" s="29" t="inlineStr">
        <is>
          <t>AWS Cognito; AWS IVS Realtime; DynamoDB.</t>
        </is>
      </c>
      <c r="K4" s="29" t="inlineStr">
        <is>
          <t>Some Redis failures are logged as soft failures; exact mobile recovery requires runtime verification.</t>
        </is>
      </c>
      <c r="L4" s="29" t="inlineStr">
        <is>
          <t>App.js:225-229; backend/blyp-live-service/src/routes/liveRoutes.ts:24-103</t>
        </is>
      </c>
      <c r="M4" s="29" t="inlineStr">
        <is>
          <t>8bc0dcb2a1da1b21368c5536aaeef829d587f316</t>
        </is>
      </c>
      <c r="N4" s="29" t="inlineStr">
        <is>
          <t>Source traced</t>
        </is>
      </c>
    </row>
    <row r="5" ht="42" customHeight="1">
      <c r="A5" s="29" t="inlineStr">
        <is>
          <t>RP-004</t>
        </is>
      </c>
      <c r="B5" s="29" t="inlineStr">
        <is>
          <t>Join and view a live session</t>
        </is>
      </c>
      <c r="C5" s="29" t="inlineStr">
        <is>
          <t>Authenticated viewer</t>
        </is>
      </c>
      <c r="D5" s="29" t="inlineStr">
        <is>
          <t>LiveStreamScreen -&gt; /api/live/join-realtime or /api/live/viewer-token</t>
        </is>
      </c>
      <c r="E5" s="29" t="inlineStr">
        <is>
          <t>Backend authenticates the viewer, validates app policy, resolves the session and issues viewer participation credentials for IVS.</t>
        </is>
      </c>
      <c r="F5" s="29" t="inlineStr">
        <is>
          <t>src/screens/LiveStreamScreen.js; mobile live service modules</t>
        </is>
      </c>
      <c r="G5" s="29" t="inlineStr">
        <is>
          <t>liveRoutes viewer join/token handlers</t>
        </is>
      </c>
      <c r="H5" s="29" t="inlineStr">
        <is>
          <t>Live-session records and participant state.</t>
        </is>
      </c>
      <c r="I5" s="29" t="inlineStr">
        <is>
          <t>IVS media; optional Socket.IO room.</t>
        </is>
      </c>
      <c r="J5" s="29" t="inlineStr">
        <is>
          <t>AWS IVS Realtime; Cognito.</t>
        </is>
      </c>
      <c r="K5" s="29" t="inlineStr">
        <is>
          <t>Session absence, expired tokens, policy rejection and dependency degradation must be exercised on the final binary.</t>
        </is>
      </c>
      <c r="L5" s="29" t="inlineStr">
        <is>
          <t>backend/blyp-live-service/src/routes/liveRoutes.ts:105-174</t>
        </is>
      </c>
      <c r="M5" s="29" t="inlineStr">
        <is>
          <t>8bc0dcb2a1da1b21368c5536aaeef829d587f316</t>
        </is>
      </c>
      <c r="N5" s="29" t="inlineStr">
        <is>
          <t>Source traced</t>
        </is>
      </c>
    </row>
    <row r="6" ht="42" customHeight="1">
      <c r="A6" s="29" t="inlineStr">
        <is>
          <t>RP-005</t>
        </is>
      </c>
      <c r="B6" s="29" t="inlineStr">
        <is>
          <t>Live guest stage lifecycle</t>
        </is>
      </c>
      <c r="C6" s="29" t="inlineStr">
        <is>
          <t>Viewer, host and approved guest</t>
        </is>
      </c>
      <c r="D6" s="29" t="inlineStr">
        <is>
          <t>/api/live/guest-request; invite/accept/reject/leave/heartbeat routes; guest-token</t>
        </is>
      </c>
      <c r="E6" s="29" t="inlineStr">
        <is>
          <t>Viewer requests stage access; host reviews or invites; acceptance establishes guest state; backend issues an IVS guest token; heartbeat and leave routes maintain lifecycle.</t>
        </is>
      </c>
      <c r="F6" s="29" t="inlineStr">
        <is>
          <t>LiveStreamScreen guest controls</t>
        </is>
      </c>
      <c r="G6" s="29" t="inlineStr">
        <is>
          <t>liveRoutes guest handlers</t>
        </is>
      </c>
      <c r="H6" s="29" t="inlineStr">
        <is>
          <t>Live guest records in DynamoDB and/or Redis coordination.</t>
        </is>
      </c>
      <c r="I6" s="29" t="inlineStr">
        <is>
          <t>IVS Realtime and Socket.IO.</t>
        </is>
      </c>
      <c r="J6" s="29" t="inlineStr">
        <is>
          <t>AWS IVS Realtime; Cognito; DynamoDB; Redis.</t>
        </is>
      </c>
      <c r="K6" s="29" t="inlineStr">
        <is>
          <t>Redis-soft-fail branches exist; queue semantics and final-confirmation UX require observation.</t>
        </is>
      </c>
      <c r="L6" s="29" t="inlineStr">
        <is>
          <t>backend/blyp-live-service/src/routes/liveRoutes.ts:176-480</t>
        </is>
      </c>
      <c r="M6" s="29" t="inlineStr">
        <is>
          <t>8bc0dcb2a1da1b21368c5536aaeef829d587f316</t>
        </is>
      </c>
      <c r="N6" s="29" t="inlineStr">
        <is>
          <t>Source traced</t>
        </is>
      </c>
    </row>
    <row r="7" ht="42" customHeight="1">
      <c r="A7" s="29" t="inlineStr">
        <is>
          <t>RP-006</t>
        </is>
      </c>
      <c r="B7" s="29" t="inlineStr">
        <is>
          <t>Stream-scoped realtime fanout</t>
        </is>
      </c>
      <c r="C7" s="29" t="inlineStr">
        <is>
          <t>Authenticated connected client</t>
        </is>
      </c>
      <c r="D7" s="29" t="inlineStr">
        <is>
          <t>Socket.IO connection and join(streamId)</t>
        </is>
      </c>
      <c r="E7" s="29" t="inlineStr">
        <is>
          <t>JWT is read from handshake auth, authorization header or query; verified subject is stored on the socket; client joins stream:&lt;streamId&gt;; shared realtime bus emits stream events.</t>
        </is>
      </c>
      <c r="F7" s="29" t="inlineStr">
        <is>
          <t>Mobile Socket.IO client in live modules</t>
        </is>
      </c>
      <c r="G7" s="29" t="inlineStr">
        <is>
          <t>realtime/socketServer.ts; realtimeBus.ts</t>
        </is>
      </c>
      <c r="H7" s="29" t="inlineStr">
        <is>
          <t>Ephemeral socket and room state.</t>
        </is>
      </c>
      <c r="I7" s="29" t="inlineStr">
        <is>
          <t>Socket.IO.</t>
        </is>
      </c>
      <c r="J7" s="29" t="inlineStr">
        <is>
          <t>Cognito JWKS.</t>
        </is>
      </c>
      <c r="K7" s="29" t="inlineStr">
        <is>
          <t>Unauthenticated sockets are rejected; reconnect and event-loss behaviour requires runtime evidence.</t>
        </is>
      </c>
      <c r="L7" s="29" t="inlineStr">
        <is>
          <t>backend/blyp-live-service/src/realtime/socketServer.ts:12-74</t>
        </is>
      </c>
      <c r="M7" s="29" t="inlineStr">
        <is>
          <t>8bc0dcb2a1da1b21368c5536aaeef829d587f316</t>
        </is>
      </c>
      <c r="N7" s="29" t="inlineStr">
        <is>
          <t>Source traced</t>
        </is>
      </c>
    </row>
    <row r="8" ht="42" customHeight="1">
      <c r="A8" s="29" t="inlineStr">
        <is>
          <t>RP-007</t>
        </is>
      </c>
      <c r="B8" s="29" t="inlineStr">
        <is>
          <t>Live segment processing and HLS generation</t>
        </is>
      </c>
      <c r="C8" s="29" t="inlineStr">
        <is>
          <t>Storage trigger</t>
        </is>
      </c>
      <c r="D8" s="29" t="inlineStr">
        <is>
          <t>Cloud Storage object finalization under streams/*/segment_*</t>
        </is>
      </c>
      <c r="E8" s="29" t="inlineStr">
        <is>
          <t>Function parses the stream path, downloads the segment, transcodes a quality ladder, uploads variants, updates the Firestore liveStreams manifest and writes HLS playlists; related triggers create thumbnails and analytics.</t>
        </is>
      </c>
      <c r="F8" s="29" t="inlineStr">
        <is>
          <t>Segment producer in mobile live stack</t>
        </is>
      </c>
      <c r="G8" s="29" t="inlineStr">
        <is>
          <t>functions processVideoSegment and helper triggers</t>
        </is>
      </c>
      <c r="H8" s="29" t="inlineStr">
        <is>
          <t>Cloud Storage streams paths; Firestore liveStreams, streamAnalytics and streamAlerts.</t>
        </is>
      </c>
      <c r="I8" s="29" t="inlineStr">
        <is>
          <t>Storage and Firestore triggers; scheduled cleanup.</t>
        </is>
      </c>
      <c r="J8" s="29" t="inlineStr">
        <is>
          <t>Firebase Functions; FFmpeg; Cloud Storage.</t>
        </is>
      </c>
      <c r="K8" s="29" t="inlineStr">
        <is>
          <t>Two transcode attempts per quality; failures are thrown; source does not prove deployment health or retry policy beyond function behaviour.</t>
        </is>
      </c>
      <c r="L8" s="29" t="inlineStr">
        <is>
          <t>functions/src/index.ts:25-400; functions/src/index.ts:419-716</t>
        </is>
      </c>
      <c r="M8" s="29" t="inlineStr">
        <is>
          <t>8bc0dcb2a1da1b21368c5536aaeef829d587f316</t>
        </is>
      </c>
      <c r="N8" s="29" t="inlineStr">
        <is>
          <t>Source traced</t>
        </is>
      </c>
    </row>
    <row r="9" ht="42" customHeight="1">
      <c r="A9" s="29" t="inlineStr">
        <is>
          <t>RP-008</t>
        </is>
      </c>
      <c r="B9" s="29" t="inlineStr">
        <is>
          <t>Hosted backend gift transaction (not the current mobile wiring)</t>
        </is>
      </c>
      <c r="C9" s="29" t="inlineStr">
        <is>
          <t>Authenticated sender</t>
        </is>
      </c>
      <c r="D9" s="29" t="inlineStr">
        <is>
          <t>POST /gift/send</t>
        </is>
      </c>
      <c r="E9" s="29" t="inlineStr">
        <is>
          <t>A Cognito-authenticated caller submits a gift; the backend validates identity and version, locks wallet rows, applies idempotency and throttling, writes gift and ledger records, updates creator earnings and emits a realtime event after commit.</t>
        </is>
      </c>
      <c r="F9" s="29" t="inlineStr">
        <is>
          <t>No confirmed reviewed-revision mobile caller; visible GiftSystem currently calls BlypCoinService Firestore path.</t>
        </is>
      </c>
      <c r="G9" s="29" t="inlineStr">
        <is>
          <t>economyRoutes /gift/send; economyService sendGift</t>
        </is>
      </c>
      <c r="H9" s="29" t="inlineStr">
        <is>
          <t>PostgreSQL wallet, ledger and gift records; Redis idempotency/rate controls.</t>
        </is>
      </c>
      <c r="I9" s="29" t="inlineStr">
        <is>
          <t>Potential realtime gift emission must be confirmed in the service implementation.</t>
        </is>
      </c>
      <c r="J9" s="29" t="inlineStr">
        <is>
          <t>Cognito; PostgreSQL; Redis.</t>
        </is>
      </c>
      <c r="K9" s="29" t="inlineStr">
        <is>
          <t>The backend contract is implemented, but the reviewed mobile gift UI does not invoke it. Client and server economy authorities must be reconciled before production approval.</t>
        </is>
      </c>
      <c r="L9" s="29" t="inlineStr">
        <is>
          <t>backend/blyp-live-service/src/economy/economyRoutes.ts:37-48; 189-214</t>
        </is>
      </c>
      <c r="M9" s="29" t="inlineStr">
        <is>
          <t>8bc0dcb2a1da1b21368c5536aaeef829d587f316</t>
        </is>
      </c>
      <c r="N9" s="29" t="inlineStr">
        <is>
          <t>Source traced</t>
        </is>
      </c>
    </row>
    <row r="10" ht="42" customHeight="1">
      <c r="A10" s="29" t="inlineStr">
        <is>
          <t>RP-009</t>
        </is>
      </c>
      <c r="B10" s="29" t="inlineStr">
        <is>
          <t>Hosted Android purchase verification (not the current mobile wiring)</t>
        </is>
      </c>
      <c r="C10" s="29" t="inlineStr">
        <is>
          <t>Authenticated purchaser</t>
        </is>
      </c>
      <c r="D10" s="29" t="inlineStr">
        <is>
          <t>POST /iap/verify</t>
        </is>
      </c>
      <c r="E10" s="29" t="inlineStr">
        <is>
          <t>A caller submits a Google Play purchase token; the backend validates identity and request, verifies the provider purchase, prevents replay, grants coins and writes ledger and purchase records.</t>
        </is>
      </c>
      <c r="F10" s="29" t="inlineStr">
        <is>
          <t>No confirmed reviewed-revision CoinStore caller; the current screen simulates payment and directly grants Firestore balance.</t>
        </is>
      </c>
      <c r="G10" s="29" t="inlineStr">
        <is>
          <t>economyRoutes handleIapVerify; economyService verifyIapPurchaseAndGrant</t>
        </is>
      </c>
      <c r="H10" s="29" t="inlineStr">
        <is>
          <t>PostgreSQL wallet, ledger and purchase records; Redis idempotency.</t>
        </is>
      </c>
      <c r="I10" s="29" t="inlineStr">
        <is>
          <t>None established at route level.</t>
        </is>
      </c>
      <c r="J10" s="29" t="inlineStr">
        <is>
          <t>Google Play Developer API; Cognito.</t>
        </is>
      </c>
      <c r="K10" s="29" t="inlineStr">
        <is>
          <t>The backend Android verification contract is implemented, but the current store screen does not use it; Apple verification is absent and historical commerce evidence records a failed purchase.</t>
        </is>
      </c>
      <c r="L10" s="29" t="inlineStr">
        <is>
          <t>backend/blyp-live-service/src/economy/economyRoutes.ts:282-304; render.yaml:46-51</t>
        </is>
      </c>
      <c r="M10" s="29" t="inlineStr">
        <is>
          <t>8bc0dcb2a1da1b21368c5536aaeef829d587f316</t>
        </is>
      </c>
      <c r="N10" s="29" t="inlineStr">
        <is>
          <t>Source traced</t>
        </is>
      </c>
    </row>
    <row r="11" ht="42" customHeight="1">
      <c r="A11" s="29" t="inlineStr">
        <is>
          <t>RP-010</t>
        </is>
      </c>
      <c r="B11" s="29" t="inlineStr">
        <is>
          <t>Hosted wallet and ledger read (not the current mobile wiring)</t>
        </is>
      </c>
      <c r="C11" s="29" t="inlineStr">
        <is>
          <t>Authenticated member</t>
        </is>
      </c>
      <c r="D11" s="29" t="inlineStr">
        <is>
          <t>CoinStore/profile economy UI -&gt; GET /wallet and GET /ledger</t>
        </is>
      </c>
      <c r="E11" s="29" t="inlineStr">
        <is>
          <t>Backend uses the Cognito subject as user ID, reads wallet state and paginated ledger data, and returns the result.</t>
        </is>
      </c>
      <c r="F11" s="29" t="inlineStr">
        <is>
          <t>No confirmed reviewed-revision wallet caller; BlypCoinWallet and CoinStoreScreen currently read Firestore through BlypCoinService.</t>
        </is>
      </c>
      <c r="G11" s="29" t="inlineStr">
        <is>
          <t>economyRoutes wallet and ledger handlers</t>
        </is>
      </c>
      <c r="H11" s="29" t="inlineStr">
        <is>
          <t>PostgreSQL economy schema.</t>
        </is>
      </c>
      <c r="I11" s="29" t="inlineStr">
        <is>
          <t>None at route level.</t>
        </is>
      </c>
      <c r="J11" s="29" t="inlineStr">
        <is>
          <t>Cognito; PostgreSQL.</t>
        </is>
      </c>
      <c r="K11" s="29" t="inlineStr">
        <is>
          <t>The hosted read contract exists, but mobile wiring and data convergence with the client Firestore wallet are not established.</t>
        </is>
      </c>
      <c r="L11" s="29" t="inlineStr">
        <is>
          <t>backend/blyp-live-service/src/economy/economyRoutes.ts:144-171</t>
        </is>
      </c>
      <c r="M11" s="29" t="inlineStr">
        <is>
          <t>8bc0dcb2a1da1b21368c5536aaeef829d587f316</t>
        </is>
      </c>
      <c r="N11" s="29" t="inlineStr">
        <is>
          <t>Source traced</t>
        </is>
      </c>
    </row>
    <row r="12" ht="42" customHeight="1">
      <c r="A12" s="29" t="inlineStr">
        <is>
          <t>RP-011</t>
        </is>
      </c>
      <c r="B12" s="29" t="inlineStr">
        <is>
          <t>Live economy game transaction</t>
        </is>
      </c>
      <c r="C12" s="29" t="inlineStr">
        <is>
          <t>Authenticated player</t>
        </is>
      </c>
      <c r="D12" s="29" t="inlineStr">
        <is>
          <t>/economy/live-games/start, /join and /finalize</t>
        </is>
      </c>
      <c r="E12" s="29" t="inlineStr">
        <is>
          <t>Feature must be explicitly enabled; backend validates identity and schema; economy service executes start, join or finalize with replay protection.</t>
        </is>
      </c>
      <c r="F12" s="29" t="inlineStr">
        <is>
          <t>GamesScreen and GameRoomScreen</t>
        </is>
      </c>
      <c r="G12" s="29" t="inlineStr">
        <is>
          <t>economyRoutes live-game handlers</t>
        </is>
      </c>
      <c r="H12" s="29" t="inlineStr">
        <is>
          <t>PostgreSQL economy/game records and Redis coordination.</t>
        </is>
      </c>
      <c r="I12" s="29" t="inlineStr">
        <is>
          <t>Live-game realtime transport requires separate feature evidence.</t>
        </is>
      </c>
      <c r="J12" s="29" t="inlineStr">
        <is>
          <t>Cognito; PostgreSQL; Redis.</t>
        </is>
      </c>
      <c r="K12" s="29" t="inlineStr">
        <is>
          <t>Routes return 403 when ECONOMY_LIVE_GAMES_ENABLED is not 1.</t>
        </is>
      </c>
      <c r="L12" s="29" t="inlineStr">
        <is>
          <t>App.js:233-242; backend/blyp-live-service/src/economy/economyRoutes.ts:216-280</t>
        </is>
      </c>
      <c r="M12" s="29" t="inlineStr">
        <is>
          <t>8bc0dcb2a1da1b21368c5536aaeef829d587f316</t>
        </is>
      </c>
      <c r="N12" s="29" t="inlineStr">
        <is>
          <t>Source traced</t>
        </is>
      </c>
    </row>
    <row r="13" ht="42" customHeight="1">
      <c r="A13" s="29" t="inlineStr">
        <is>
          <t>RP-012</t>
        </is>
      </c>
      <c r="B13" s="29" t="inlineStr">
        <is>
          <t>Moderation report aggregation</t>
        </is>
      </c>
      <c r="C13" s="29" t="inlineStr">
        <is>
          <t>Reporting member and moderator</t>
        </is>
      </c>
      <c r="D13" s="29" t="inlineStr">
        <is>
          <t>Report write -&gt; Firestore report trigger -&gt; moderationQueue -&gt; moderation screen/admin action</t>
        </is>
      </c>
      <c r="E13" s="29" t="inlineStr">
        <is>
          <t>A report record triggers a serverless aggregation into moderationQueue; scheduled work recalculates priority; moderators access the queue through registered mobile or server admin surfaces.</t>
        </is>
      </c>
      <c r="F13" s="29" t="inlineStr">
        <is>
          <t>ReportingService; ModerationQueueScreen</t>
        </is>
      </c>
      <c r="G13" s="29" t="inlineStr">
        <is>
          <t>Firebase Functions moderation triggers; admin routes</t>
        </is>
      </c>
      <c r="H13" s="29" t="inlineStr">
        <is>
          <t>Firestore reports and moderationQueue collections.</t>
        </is>
      </c>
      <c r="I13" s="29" t="inlineStr">
        <is>
          <t>Firestore onCreate and scheduled recalculation.</t>
        </is>
      </c>
      <c r="J13" s="29" t="inlineStr">
        <is>
          <t>Firebase Functions and Firestore.</t>
        </is>
      </c>
      <c r="K13" s="29" t="inlineStr">
        <is>
          <t>Operator authentication, assignment, appeal and end-to-end action outcomes require separate verification.</t>
        </is>
      </c>
      <c r="L13" s="29" t="inlineStr">
        <is>
          <t>App.js:246-250; functions/src/index.ts:775-854</t>
        </is>
      </c>
      <c r="M13" s="29" t="inlineStr">
        <is>
          <t>8bc0dcb2a1da1b21368c5536aaeef829d587f316</t>
        </is>
      </c>
      <c r="N13" s="29" t="inlineStr">
        <is>
          <t>Source traced</t>
        </is>
      </c>
    </row>
    <row r="14" ht="42" customHeight="1">
      <c r="A14" s="29" t="inlineStr">
        <is>
          <t>RP-013</t>
        </is>
      </c>
      <c r="B14" s="29" t="inlineStr">
        <is>
          <t>App-version production gate</t>
        </is>
      </c>
      <c r="C14" s="29" t="inlineStr">
        <is>
          <t>Mobile client and authenticated API caller</t>
        </is>
      </c>
      <c r="D14" s="29" t="inlineStr">
        <is>
          <t>GET /app/version-policy and supported-Android middleware</t>
        </is>
      </c>
      <c r="E14" s="29" t="inlineStr">
        <is>
          <t>Client can fetch public-safe version policy before authentication; live and economy routers reject unsupported Android versions according to server policy.</t>
        </is>
      </c>
      <c r="F14" s="29" t="inlineStr">
        <is>
          <t>Mobile update-gate code</t>
        </is>
      </c>
      <c r="G14" s="29" t="inlineStr">
        <is>
          <t>appVersionRoutes and appVersionPolicy middleware</t>
        </is>
      </c>
      <c r="H14" s="29" t="inlineStr">
        <is>
          <t>Configured version policy.</t>
        </is>
      </c>
      <c r="I14" s="29" t="inlineStr">
        <is>
          <t>None.</t>
        </is>
      </c>
      <c r="J14" s="29" t="inlineStr">
        <is>
          <t>Backend service.</t>
        </is>
      </c>
      <c r="K14" s="29" t="inlineStr">
        <is>
          <t>Correct client presentation and store-link behaviour require final-binary observation.</t>
        </is>
      </c>
      <c r="L14" s="29" t="inlineStr">
        <is>
          <t>backend/blyp-live-service/src/index.ts:77-88; backend/blyp-live-service/src/appVersion</t>
        </is>
      </c>
      <c r="M14" s="29" t="inlineStr">
        <is>
          <t>8bc0dcb2a1da1b21368c5536aaeef829d587f316</t>
        </is>
      </c>
      <c r="N14" s="29" t="inlineStr">
        <is>
          <t>Source traced</t>
        </is>
      </c>
    </row>
    <row r="15" ht="42" customHeight="1">
      <c r="A15" s="29" t="inlineStr">
        <is>
          <t>RP-014</t>
        </is>
      </c>
      <c r="B15" s="29" t="inlineStr">
        <is>
          <t>Backend liveness and readiness</t>
        </is>
      </c>
      <c r="C15" s="29" t="inlineStr">
        <is>
          <t>Hosting platform and operator</t>
        </is>
      </c>
      <c r="D15" s="29" t="inlineStr">
        <is>
          <t>GET /health and GET /ready</t>
        </is>
      </c>
      <c r="E15" s="29" t="inlineStr">
        <is>
          <t>Service probes PostgreSQL and Redis; liveness always reports process availability, while readiness returns 503 unless both dependencies are healthy.</t>
        </is>
      </c>
      <c r="F15" s="29" t="inlineStr">
        <is>
          <t>Render health checker and operator tooling</t>
        </is>
      </c>
      <c r="G15" s="29" t="inlineStr">
        <is>
          <t>backend index health handlers</t>
        </is>
      </c>
      <c r="H15" s="29" t="inlineStr">
        <is>
          <t>PostgreSQL and Redis probes.</t>
        </is>
      </c>
      <c r="I15" s="29" t="inlineStr">
        <is>
          <t>None.</t>
        </is>
      </c>
      <c r="J15" s="29" t="inlineStr">
        <is>
          <t>Render; PostgreSQL; Redis.</t>
        </is>
      </c>
      <c r="K15" s="29" t="inlineStr">
        <is>
          <t>Main process can listen while not ready, so callers must distinguish the two endpoints.</t>
        </is>
      </c>
      <c r="L15" s="29" t="inlineStr">
        <is>
          <t>backend/blyp-live-service/src/index.ts:31-75; render.yaml:1-10</t>
        </is>
      </c>
      <c r="M15" s="29" t="inlineStr">
        <is>
          <t>8bc0dcb2a1da1b21368c5536aaeef829d587f316</t>
        </is>
      </c>
      <c r="N15" s="29" t="inlineStr">
        <is>
          <t>Source traced</t>
        </is>
      </c>
    </row>
    <row r="16" ht="42" customHeight="1">
      <c r="A16" s="29" t="inlineStr">
        <is>
          <t>RP-015</t>
        </is>
      </c>
      <c r="B16" s="29" t="inlineStr">
        <is>
          <t>Production Android build and submission configuration</t>
        </is>
      </c>
      <c r="C16" s="29" t="inlineStr">
        <is>
          <t>Release operator</t>
        </is>
      </c>
      <c r="D16" s="29" t="inlineStr">
        <is>
          <t>EAS production build and submit profiles</t>
        </is>
      </c>
      <c r="E16" s="29" t="inlineStr">
        <is>
          <t>EAS creates an Android App Bundle with configured production environment values; submit configuration points to Google Play internal track using a service account path.</t>
        </is>
      </c>
      <c r="F16" s="29" t="inlineStr">
        <is>
          <t>app.config.js; eas.json</t>
        </is>
      </c>
      <c r="G16" s="29" t="inlineStr">
        <is>
          <t>Not applicable.</t>
        </is>
      </c>
      <c r="H16" s="29" t="inlineStr">
        <is>
          <t>Build metadata and signing/store credentials.</t>
        </is>
      </c>
      <c r="I16" s="29" t="inlineStr">
        <is>
          <t>EAS cloud build.</t>
        </is>
      </c>
      <c r="J16" s="29" t="inlineStr">
        <is>
          <t>Expo EAS; Google Play.</t>
        </is>
      </c>
      <c r="K16" s="29" t="inlineStr">
        <is>
          <t>Configuration does not prove a successful current signed build, upload, review or public rollout; iOS identifiers are placeholders.</t>
        </is>
      </c>
      <c r="L16" s="29" t="inlineStr">
        <is>
          <t>eas.json:30-55; app.config.js:27-103</t>
        </is>
      </c>
      <c r="M16" s="29" t="inlineStr">
        <is>
          <t>8bc0dcb2a1da1b21368c5536aaeef829d587f316</t>
        </is>
      </c>
      <c r="N16" s="29" t="inlineStr">
        <is>
          <t>Source traced</t>
        </is>
      </c>
    </row>
    <row r="17" ht="42" customHeight="1">
      <c r="A17" s="29" t="inlineStr">
        <is>
          <t>RP-016</t>
        </is>
      </c>
      <c r="B17" s="29" t="inlineStr">
        <is>
          <t>Current mobile Firebase HLS live path</t>
        </is>
      </c>
      <c r="C17" s="29" t="inlineStr">
        <is>
          <t>Authenticated host or viewer</t>
        </is>
      </c>
      <c r="D17" s="29" t="inlineStr">
        <is>
          <t>LiveStreamScreen -&gt; HLSLiveStreamService</t>
        </is>
      </c>
      <c r="E17" s="29" t="inlineStr">
        <is>
          <t>Host validates a title, starts camera capture and countdown, creates a Firestore liveStreams record, uploads short MP4 segments to Cloud Storage and updates metadata; viewers query or subscribe to active stream documents and render latest segments; host stop clears user live state and ends the stream.</t>
        </is>
      </c>
      <c r="F17" s="29" t="inlineStr">
        <is>
          <t>src/screens/LiveStreamScreen.js; src/services/HLSLiveStreamService.js</t>
        </is>
      </c>
      <c r="G17" s="29" t="inlineStr">
        <is>
          <t>Firebase managed services; optional Functions segment processor when deployed.</t>
        </is>
      </c>
      <c r="H17" s="29" t="inlineStr">
        <is>
          <t>Firestore liveStreams and userProfiles; Cloud Storage streams/{uid}/{streamId} objects.</t>
        </is>
      </c>
      <c r="I17" s="29" t="inlineStr">
        <is>
          <t>Firestore onSnapshot; concurrent segment upload queue; optional Storage-triggered transcoding.</t>
        </is>
      </c>
      <c r="J17" s="29" t="inlineStr">
        <is>
          <t>Firebase Auth, Firestore and Cloud Storage; Expo Camera.</t>
        </is>
      </c>
      <c r="K17" s="29" t="inlineStr">
        <is>
          <t>Active-stream query has an in-memory fallback for index failure; uploads retry and prune; signed-device evidence remains contradictory with unresolved black-preview/camera defects.</t>
        </is>
      </c>
      <c r="L17" s="29" t="inlineStr">
        <is>
          <t>src/services/HLSLiveStreamService.js:141-337; 580-780; diagnostics/device_testing/FOLD7_SIGNED_RELEASE_20260731</t>
        </is>
      </c>
      <c r="M17" s="29" t="inlineStr">
        <is>
          <t>8bc0dcb2a1da1b21368c5536aaeef829d587f316</t>
        </is>
      </c>
      <c r="N17" s="29" t="inlineStr">
        <is>
          <t>Source traced; older signed-device observations contradictory</t>
        </is>
      </c>
    </row>
    <row r="18" ht="42" customHeight="1">
      <c r="A18" s="29" t="inlineStr">
        <is>
          <t>RP-017</t>
        </is>
      </c>
      <c r="B18" s="29" t="inlineStr">
        <is>
          <t>Current mobile Firestore wallet and gift path</t>
        </is>
      </c>
      <c r="C18" s="29" t="inlineStr">
        <is>
          <t>Authenticated member</t>
        </is>
      </c>
      <c r="D18" s="29" t="inlineStr">
        <is>
          <t>BlypCoinWallet or GiftSystem -&gt; BlypCoinService</t>
        </is>
      </c>
      <c r="E18" s="29" t="inlineStr">
        <is>
          <t>Client reads or creates wallets/{uid}, subscribes to balance, and on gift confirmation executes a Firestore transaction that debits sender, credits 70% to receiver, writes a gift row and appends sender and receiver transaction rows.</t>
        </is>
      </c>
      <c r="F18" s="29" t="inlineStr">
        <is>
          <t>src/components/BlypCoinWallet.js; src/components/GiftSystem.js; src/services/BlypCoinService.js</t>
        </is>
      </c>
      <c r="G18" s="29" t="inlineStr">
        <is>
          <t>No BLYP server call in this path; Firestore transaction executes through the client SDK.</t>
        </is>
      </c>
      <c r="H18" s="29" t="inlineStr">
        <is>
          <t>Firestore wallets, gifts, transactions and users collections.</t>
        </is>
      </c>
      <c r="I18" s="29" t="inlineStr">
        <is>
          <t>Firestore onSnapshot balance subscription.</t>
        </is>
      </c>
      <c r="J18" s="29" t="inlineStr">
        <is>
          <t>Firebase Auth and Firestore.</t>
        </is>
      </c>
      <c r="K18" s="29" t="inlineStr">
        <is>
          <t>Insufficient balance and client exceptions are shown locally. This path conflicts with the hosted PostgreSQL authority and has no current executed reconciliation proof.</t>
        </is>
      </c>
      <c r="L18" s="29" t="inlineStr">
        <is>
          <t>src/services/BlypCoinService.js:22-334; src/components/GiftSystem.js:65-144; 482-555</t>
        </is>
      </c>
      <c r="M18" s="29" t="inlineStr">
        <is>
          <t>8bc0dcb2a1da1b21368c5536aaeef829d587f316</t>
        </is>
      </c>
      <c r="N18" s="29" t="inlineStr">
        <is>
          <t>Source traced; user reachability traced; no current transaction observation</t>
        </is>
      </c>
    </row>
    <row r="19" ht="42" customHeight="1">
      <c r="A19" s="29" t="inlineStr">
        <is>
          <t>RP-018</t>
        </is>
      </c>
      <c r="B19" s="29" t="inlineStr">
        <is>
          <t>Current simulated mobile coin purchase path</t>
        </is>
      </c>
      <c r="C19" s="29" t="inlineStr">
        <is>
          <t>Authenticated member</t>
        </is>
      </c>
      <c r="D19" s="29" t="inlineStr">
        <is>
          <t>CoinStoreScreen purchase confirmation</t>
        </is>
      </c>
      <c r="E19" s="29" t="inlineStr">
        <is>
          <t>Member selects a package and confirms; the client explicitly simulates payment and calls BlypCoinService.addCoins, which directly credits the Firestore wallet and writes a transaction row.</t>
        </is>
      </c>
      <c r="F19" s="29" t="inlineStr">
        <is>
          <t>src/screens/CoinStoreScreen.js; src/services/BlypCoinService.js</t>
        </is>
      </c>
      <c r="G19" s="29" t="inlineStr">
        <is>
          <t>No store-verification or BLYP backend call in the reviewed mobile path.</t>
        </is>
      </c>
      <c r="H19" s="29" t="inlineStr">
        <is>
          <t>Firestore wallets and transactions.</t>
        </is>
      </c>
      <c r="I19" s="29" t="inlineStr">
        <is>
          <t>Firestore transaction and wallet snapshot subscription.</t>
        </is>
      </c>
      <c r="J19" s="29" t="inlineStr">
        <is>
          <t>Firebase Firestore; no confirmed Google Play or Apple transaction in this path.</t>
        </is>
      </c>
      <c r="K19" s="29" t="inlineStr">
        <is>
          <t>This is not production commerce. A separate hosted /iap/verify contract exists but is not wired from the current screen.</t>
        </is>
      </c>
      <c r="L19" s="29" t="inlineStr">
        <is>
          <t>src/screens/CoinStoreScreen.js:108-203; src/services/BlypCoinService.js:62-111</t>
        </is>
      </c>
      <c r="M19" s="29" t="inlineStr">
        <is>
          <t>8bc0dcb2a1da1b21368c5536aaeef829d587f316</t>
        </is>
      </c>
      <c r="N19" s="29" t="inlineStr">
        <is>
          <t>Source traced; historical commerce report records failure; no current store transaction observed</t>
        </is>
      </c>
    </row>
  </sheetData>
  <autoFilter ref="A1:N19"/>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F4B860"/>
    <outlinePr summaryBelow="1" summaryRight="1"/>
    <pageSetUpPr fitToPage="1"/>
  </sheetPr>
  <dimension ref="A1:M21"/>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36" customWidth="1" min="2" max="2"/>
    <col width="26" customWidth="1" min="3" max="3"/>
    <col width="34" customWidth="1" min="4" max="4"/>
    <col width="50" customWidth="1" min="5" max="5"/>
    <col width="42" customWidth="1" min="6" max="6"/>
    <col width="60" customWidth="1" min="7" max="7"/>
    <col width="48" customWidth="1" min="8" max="8"/>
    <col width="42" customWidth="1" min="9" max="9"/>
    <col width="42" customWidth="1" min="10" max="10"/>
    <col width="58" customWidth="1" min="11" max="11"/>
    <col width="42" customWidth="1" min="12" max="12"/>
    <col width="64" customWidth="1" min="13" max="13"/>
  </cols>
  <sheetData>
    <row r="1" ht="34" customHeight="1">
      <c r="A1" s="15" t="inlineStr">
        <is>
          <t>Component ID</t>
        </is>
      </c>
      <c r="B1" s="15" t="inlineStr">
        <is>
          <t>Name</t>
        </is>
      </c>
      <c r="C1" s="15" t="inlineStr">
        <is>
          <t>Type</t>
        </is>
      </c>
      <c r="D1" s="15" t="inlineStr">
        <is>
          <t>Runtime</t>
        </is>
      </c>
      <c r="E1" s="15" t="inlineStr">
        <is>
          <t>Physical Location</t>
        </is>
      </c>
      <c r="F1" s="15" t="inlineStr">
        <is>
          <t>Entry or Interface</t>
        </is>
      </c>
      <c r="G1" s="15" t="inlineStr">
        <is>
          <t>Responsibility</t>
        </is>
      </c>
      <c r="H1" s="15" t="inlineStr">
        <is>
          <t>Dependencies</t>
        </is>
      </c>
      <c r="I1" s="15" t="inlineStr">
        <is>
          <t>Configuration</t>
        </is>
      </c>
      <c r="J1" s="15" t="inlineStr">
        <is>
          <t>Authority</t>
        </is>
      </c>
      <c r="K1" s="15" t="inlineStr">
        <is>
          <t>Evidence Locator</t>
        </is>
      </c>
      <c r="L1" s="15" t="inlineStr">
        <is>
          <t>Revision</t>
        </is>
      </c>
      <c r="M1" s="15" t="inlineStr">
        <is>
          <t>Known Caveat</t>
        </is>
      </c>
    </row>
    <row r="2" ht="42" customHeight="1">
      <c r="A2" s="29" t="inlineStr">
        <is>
          <t>CMP-001</t>
        </is>
      </c>
      <c r="B2" s="29" t="inlineStr">
        <is>
          <t>Expo mobile application</t>
        </is>
      </c>
      <c r="C2" s="29" t="inlineStr">
        <is>
          <t>Deployable client</t>
        </is>
      </c>
      <c r="D2" s="29" t="inlineStr">
        <is>
          <t>React Native / Expo</t>
        </is>
      </c>
      <c r="E2" s="29" t="inlineStr">
        <is>
          <t>App.js; index.js; src/</t>
        </is>
      </c>
      <c r="F2" s="29" t="inlineStr">
        <is>
          <t>index.js -&gt; App.js</t>
        </is>
      </c>
      <c r="G2" s="29" t="inlineStr">
        <is>
          <t>Authenticated mobile UI, navigation, feature orchestration and native-device access.</t>
        </is>
      </c>
      <c r="H2" s="29" t="inlineStr">
        <is>
          <t>Expo, React Navigation, Firebase compatibility layer, Amplify/Cognito, backend HTTP and Socket.IO services.</t>
        </is>
      </c>
      <c r="I2" s="29" t="inlineStr">
        <is>
          <t>app.config.js; eas.json</t>
        </is>
      </c>
      <c r="J2" s="29" t="inlineStr">
        <is>
          <t>Presentation and client orchestration; not authoritative for commerce or access control.</t>
        </is>
      </c>
      <c r="K2" s="29" t="inlineStr">
        <is>
          <t>App.js:41-460; app.config.js:4-106; eas.json:1-55</t>
        </is>
      </c>
      <c r="L2" s="29" t="inlineStr">
        <is>
          <t>8bc0dcb2a1da1b21368c5536aaeef829d587f316</t>
        </is>
      </c>
      <c r="M2" s="29" t="inlineStr">
        <is>
          <t>Development auth bypass exists behind EXPO_PUBLIC_DEV_FORCE_NO_AUTH; safe-mode and multiple test entry files also exist.</t>
        </is>
      </c>
    </row>
    <row r="3" ht="42" customHeight="1">
      <c r="A3" s="29" t="inlineStr">
        <is>
          <t>CMP-002</t>
        </is>
      </c>
      <c r="B3" s="29" t="inlineStr">
        <is>
          <t>Mobile navigation and authentication gate</t>
        </is>
      </c>
      <c r="C3" s="29" t="inlineStr">
        <is>
          <t>Client runtime boundary</t>
        </is>
      </c>
      <c r="D3" s="29" t="inlineStr">
        <is>
          <t>React Navigation</t>
        </is>
      </c>
      <c r="E3" s="29" t="inlineStr">
        <is>
          <t>App.js</t>
        </is>
      </c>
      <c r="F3" s="29" t="inlineStr">
        <is>
          <t>AppInner; AppStack; MainTabs</t>
        </is>
      </c>
      <c r="G3" s="29" t="inlineStr">
        <is>
          <t>Selects AuthScreen or the authenticated app; registers tab and stack screens.</t>
        </is>
      </c>
      <c r="H3" s="29" t="inlineStr">
        <is>
          <t>useAuth; PerformanceProvider; Firebase native monitoring hooks.</t>
        </is>
      </c>
      <c r="I3" s="29" t="inlineStr">
        <is>
          <t>EXPO_PUBLIC_DEV_FORCE_NO_AUTH</t>
        </is>
      </c>
      <c r="J3" s="29" t="inlineStr">
        <is>
          <t>Client reachability only; server authorization remains separate.</t>
        </is>
      </c>
      <c r="K3" s="29" t="inlineStr">
        <is>
          <t>App.js:109-253; App.js:255-357</t>
        </is>
      </c>
      <c r="L3" s="29" t="inlineStr">
        <is>
          <t>8bc0dcb2a1da1b21368c5536aaeef829d587f316</t>
        </is>
      </c>
      <c r="M3" s="29" t="inlineStr">
        <is>
          <t>Registered screens prove navigation availability, not complete journeys or backend operation.</t>
        </is>
      </c>
    </row>
    <row r="4" ht="42" customHeight="1">
      <c r="A4" s="29" t="inlineStr">
        <is>
          <t>CMP-003</t>
        </is>
      </c>
      <c r="B4" s="29" t="inlineStr">
        <is>
          <t>Firebase compatibility layer</t>
        </is>
      </c>
      <c r="C4" s="29" t="inlineStr">
        <is>
          <t>Client data and identity adapter</t>
        </is>
      </c>
      <c r="D4" s="29" t="inlineStr">
        <is>
          <t>Firebase native SDK, Firebase Web SDK or disabled stub</t>
        </is>
      </c>
      <c r="E4" s="29" t="inlineStr">
        <is>
          <t>src/config/firebase.js</t>
        </is>
      </c>
      <c r="F4" s="29" t="inlineStr">
        <is>
          <t>auth; db; firestore; storage; firebaseEnabled; firebaseNative</t>
        </is>
      </c>
      <c r="G4" s="29" t="inlineStr">
        <is>
          <t>Selects native, web or disabled Firebase mode and exposes a compat-style Firestore interface.</t>
        </is>
      </c>
      <c r="H4" s="29" t="inlineStr">
        <is>
          <t>Firebase Auth, Firestore, Storage, AsyncStorage.</t>
        </is>
      </c>
      <c r="I4" s="29" t="inlineStr">
        <is>
          <t>EXPO_PUBLIC_DISABLE_FIREBASE; EXPO_PUBLIC_FORCE_WEB_FIREBASE; EXPO_PUBLIC_USE_NATIVE_FIREBASE; Firebase env values.</t>
        </is>
      </c>
      <c r="J4" s="29" t="inlineStr">
        <is>
          <t>Mode-dependent client access to Firebase services.</t>
        </is>
      </c>
      <c r="K4" s="29" t="inlineStr">
        <is>
          <t>src/config/firebase.js:23-121; src/config/firebase.js:135-184; src/config/firebase.js:187-297</t>
        </is>
      </c>
      <c r="L4" s="29" t="inlineStr">
        <is>
          <t>8bc0dcb2a1da1b21368c5536aaeef829d587f316</t>
        </is>
      </c>
      <c r="M4" s="29" t="inlineStr">
        <is>
          <t>The disabled mode returns empty data and no-op writes, so a rendered UI can exist without a live backend.</t>
        </is>
      </c>
    </row>
    <row r="5" ht="42" customHeight="1">
      <c r="A5" s="29" t="inlineStr">
        <is>
          <t>CMP-004</t>
        </is>
      </c>
      <c r="B5" s="29" t="inlineStr">
        <is>
          <t>BLYP live service</t>
        </is>
      </c>
      <c r="C5" s="29" t="inlineStr">
        <is>
          <t>Deployable backend service</t>
        </is>
      </c>
      <c r="D5" s="29" t="inlineStr">
        <is>
          <t>Node.js / Express / TypeScript on Render</t>
        </is>
      </c>
      <c r="E5" s="29" t="inlineStr">
        <is>
          <t>backend/blyp-live-service</t>
        </is>
      </c>
      <c r="F5" s="29" t="inlineStr">
        <is>
          <t>dist/index.js; HTTP on PORT; Socket.IO</t>
        </is>
      </c>
      <c r="G5" s="29" t="inlineStr">
        <is>
          <t>Live-session API, realtime fanout, economy API, admin API, app-version policy and dependency health.</t>
        </is>
      </c>
      <c r="H5" s="29" t="inlineStr">
        <is>
          <t>PostgreSQL, Redis, BullMQ, DynamoDB, Cognito, AWS IVS Realtime, Firebase Admin, Google Play verification.</t>
        </is>
      </c>
      <c r="I5" s="29" t="inlineStr">
        <is>
          <t>render.yaml; backend/blyp-live-service/.env.production.example</t>
        </is>
      </c>
      <c r="J5" s="29" t="inlineStr">
        <is>
          <t>Server authority for mounted live, economy, admin and update-policy contracts.</t>
        </is>
      </c>
      <c r="K5" s="29" t="inlineStr">
        <is>
          <t>backend/blyp-live-service/src/index.ts:1-129; render.yaml:1-54</t>
        </is>
      </c>
      <c r="L5" s="29" t="inlineStr">
        <is>
          <t>8bc0dcb2a1da1b21368c5536aaeef829d587f316</t>
        </is>
      </c>
      <c r="M5" s="29" t="inlineStr">
        <is>
          <t>The process deliberately starts when DB or Redis is unavailable; /ready, not process liveness, is the dependency gate.</t>
        </is>
      </c>
    </row>
    <row r="6" ht="42" customHeight="1">
      <c r="A6" s="29" t="inlineStr">
        <is>
          <t>CMP-005</t>
        </is>
      </c>
      <c r="B6" s="29" t="inlineStr">
        <is>
          <t>Live HTTP routes</t>
        </is>
      </c>
      <c r="C6" s="29" t="inlineStr">
        <is>
          <t>Backend route family</t>
        </is>
      </c>
      <c r="D6" s="29" t="inlineStr">
        <is>
          <t>Express Router</t>
        </is>
      </c>
      <c r="E6" s="29" t="inlineStr">
        <is>
          <t>backend/blyp-live-service/src/routes/liveRoutes.ts</t>
        </is>
      </c>
      <c r="F6" s="29" t="inlineStr">
        <is>
          <t>/api/live/*</t>
        </is>
      </c>
      <c r="G6" s="29" t="inlineStr">
        <is>
          <t>Host start, viewer token/join, guest request and stage lifecycle, and stream termination.</t>
        </is>
      </c>
      <c r="H6" s="29" t="inlineStr">
        <is>
          <t>Cognito JWT middleware, app-version policy, AWS IVS Realtime, DynamoDB and Redis best-effort coordination.</t>
        </is>
      </c>
      <c r="I6" s="29" t="inlineStr">
        <is>
          <t>AWS and live-session environment values.</t>
        </is>
      </c>
      <c r="J6" s="29" t="inlineStr">
        <is>
          <t>Authoritative live-session control API.</t>
        </is>
      </c>
      <c r="K6" s="29" t="inlineStr">
        <is>
          <t>backend/blyp-live-service/src/index.ts:77-88; backend/blyp-live-service/src/routes/liveRoutes.ts:24-493</t>
        </is>
      </c>
      <c r="L6" s="29" t="inlineStr">
        <is>
          <t>8bc0dcb2a1da1b21368c5536aaeef829d587f316</t>
        </is>
      </c>
      <c r="M6" s="29" t="inlineStr">
        <is>
          <t>Several Redis checks are soft-fail paths; runtime verification must establish actual deployment behaviour.</t>
        </is>
      </c>
    </row>
    <row r="7" ht="42" customHeight="1">
      <c r="A7" s="29" t="inlineStr">
        <is>
          <t>CMP-006</t>
        </is>
      </c>
      <c r="B7" s="29" t="inlineStr">
        <is>
          <t>Realtime socket server</t>
        </is>
      </c>
      <c r="C7" s="29" t="inlineStr">
        <is>
          <t>Backend realtime channel</t>
        </is>
      </c>
      <c r="D7" s="29" t="inlineStr">
        <is>
          <t>Socket.IO</t>
        </is>
      </c>
      <c r="E7" s="29" t="inlineStr">
        <is>
          <t>backend/blyp-live-service/src/realtime/socketServer.ts</t>
        </is>
      </c>
      <c r="F7" s="29" t="inlineStr">
        <is>
          <t>Socket handshake; join/leave stream:&lt;streamId&gt;</t>
        </is>
      </c>
      <c r="G7" s="29" t="inlineStr">
        <is>
          <t>Authenticates sockets and provides stream-scoped realtime rooms and event fanout.</t>
        </is>
      </c>
      <c r="H7" s="29" t="inlineStr">
        <is>
          <t>Cognito JWT verification; shared realtime bus.</t>
        </is>
      </c>
      <c r="I7" s="29" t="inlineStr">
        <is>
          <t>Cognito environment values.</t>
        </is>
      </c>
      <c r="J7" s="29" t="inlineStr">
        <is>
          <t>Transport and room membership; event-specific authority depends on emitting service.</t>
        </is>
      </c>
      <c r="K7" s="29" t="inlineStr">
        <is>
          <t>backend/blyp-live-service/src/realtime/socketServer.ts:12-74</t>
        </is>
      </c>
      <c r="L7" s="29" t="inlineStr">
        <is>
          <t>8bc0dcb2a1da1b21368c5536aaeef829d587f316</t>
        </is>
      </c>
      <c r="M7" s="29" t="inlineStr">
        <is>
          <t>Permissive CORS and handshake-token sources require production security review.</t>
        </is>
      </c>
    </row>
    <row r="8" ht="42" customHeight="1">
      <c r="A8" s="29" t="inlineStr">
        <is>
          <t>CMP-007</t>
        </is>
      </c>
      <c r="B8" s="29" t="inlineStr">
        <is>
          <t>Economy API and service</t>
        </is>
      </c>
      <c r="C8" s="29" t="inlineStr">
        <is>
          <t>Backend route and domain service</t>
        </is>
      </c>
      <c r="D8" s="29" t="inlineStr">
        <is>
          <t>Express / PostgreSQL / Redis</t>
        </is>
      </c>
      <c r="E8" s="29" t="inlineStr">
        <is>
          <t>backend/blyp-live-service/src/economy</t>
        </is>
      </c>
      <c r="F8" s="29" t="inlineStr">
        <is>
          <t>/wallet; /ledger; /gift/send; /iap/verify; /economy/*; /promote/*</t>
        </is>
      </c>
      <c r="G8" s="29" t="inlineStr">
        <is>
          <t>Wallet, ledger, catalogue, gifting, Android purchase verification, live-game and promotion transactions.</t>
        </is>
      </c>
      <c r="H8" s="29" t="inlineStr">
        <is>
          <t>Cognito, app-version policy, PostgreSQL, Redis, Google Play verification and domain schemas.</t>
        </is>
      </c>
      <c r="I8" s="29" t="inlineStr">
        <is>
          <t>Economy, Google Play, Postgres and Redis environment values.</t>
        </is>
      </c>
      <c r="J8" s="29" t="inlineStr">
        <is>
          <t>Authoritative server-side economy mutations and ledger reads for mounted contracts.</t>
        </is>
      </c>
      <c r="K8" s="29" t="inlineStr">
        <is>
          <t>backend/blyp-live-service/src/economy/economyRoutes.ts:37-377; backend/blyp-live-service/src/index.ts:81-88</t>
        </is>
      </c>
      <c r="L8" s="29" t="inlineStr">
        <is>
          <t>8bc0dcb2a1da1b21368c5536aaeef829d587f316</t>
        </is>
      </c>
      <c r="M8" s="29" t="inlineStr">
        <is>
          <t>Apple purchase verification, refunds, disputes, payout execution and operational reconciliation are not established by this route catalogue.</t>
        </is>
      </c>
    </row>
    <row r="9" ht="42" customHeight="1">
      <c r="A9" s="29" t="inlineStr">
        <is>
          <t>CMP-008</t>
        </is>
      </c>
      <c r="B9" s="29" t="inlineStr">
        <is>
          <t>Economy infrastructure</t>
        </is>
      </c>
      <c r="C9" s="29" t="inlineStr">
        <is>
          <t>Backend infrastructure adapter</t>
        </is>
      </c>
      <c r="D9" s="29" t="inlineStr">
        <is>
          <t>Knex/PostgreSQL, ioredis and BullMQ</t>
        </is>
      </c>
      <c r="E9" s="29" t="inlineStr">
        <is>
          <t>backend/blyp-live-service/src/economy/infra.ts; schema.ts</t>
        </is>
      </c>
      <c r="F9" s="29" t="inlineStr">
        <is>
          <t>getEconomyInfra; checkDb; checkRedis; ensureEconomySchema</t>
        </is>
      </c>
      <c r="G9" s="29" t="inlineStr">
        <is>
          <t>Database, cache, queue connection factories, readiness probes and economy schema bootstrap.</t>
        </is>
      </c>
      <c r="H9" s="29" t="inlineStr">
        <is>
          <t>POSTGRES_URL; REDIS_URL.</t>
        </is>
      </c>
      <c r="I9" s="29" t="inlineStr">
        <is>
          <t>render.yaml:30-45</t>
        </is>
      </c>
      <c r="J9" s="29" t="inlineStr">
        <is>
          <t>Infrastructure for economy persistence and coordination.</t>
        </is>
      </c>
      <c r="K9" s="29" t="inlineStr">
        <is>
          <t>backend/blyp-live-service/src/index.ts:96-116; backend/blyp-live-service/src/economy/infra.ts</t>
        </is>
      </c>
      <c r="L9" s="29" t="inlineStr">
        <is>
          <t>8bc0dcb2a1da1b21368c5536aaeef829d587f316</t>
        </is>
      </c>
      <c r="M9" s="29" t="inlineStr">
        <is>
          <t>The working tree contained a pre-existing modification to infra.ts; conclusions must record whether they reference HEAD or the live working copy.</t>
        </is>
      </c>
    </row>
    <row r="10" ht="42" customHeight="1">
      <c r="A10" s="29" t="inlineStr">
        <is>
          <t>CMP-009</t>
        </is>
      </c>
      <c r="B10" s="29" t="inlineStr">
        <is>
          <t>Firebase Functions media and operations pipeline</t>
        </is>
      </c>
      <c r="C10" s="29" t="inlineStr">
        <is>
          <t>Deployable serverless functions</t>
        </is>
      </c>
      <c r="D10" s="29" t="inlineStr">
        <is>
          <t>Firebase Functions Node 20</t>
        </is>
      </c>
      <c r="E10" s="29" t="inlineStr">
        <is>
          <t>functions/src/index.ts</t>
        </is>
      </c>
      <c r="F10" s="29" t="inlineStr">
        <is>
          <t>Storage, Firestore and scheduled triggers</t>
        </is>
      </c>
      <c r="G10" s="29" t="inlineStr">
        <is>
          <t>Live-segment transcoding, HLS manifests, thumbnails, stream analytics, cleanup, analytics retention and moderation aggregation.</t>
        </is>
      </c>
      <c r="H10" s="29" t="inlineStr">
        <is>
          <t>Firebase Admin, Cloud Storage, Firestore, FFmpeg and Sharp.</t>
        </is>
      </c>
      <c r="I10" s="29" t="inlineStr">
        <is>
          <t>functions/package.json; Firebase project configuration.</t>
        </is>
      </c>
      <c r="J10" s="29" t="inlineStr">
        <is>
          <t>Asynchronous media processing and derived operational records when deployed.</t>
        </is>
      </c>
      <c r="K10" s="29" t="inlineStr">
        <is>
          <t>functions/src/index.ts:25-400; functions/src/index.ts:419-854</t>
        </is>
      </c>
      <c r="L10" s="29" t="inlineStr">
        <is>
          <t>8bc0dcb2a1da1b21368c5536aaeef829d587f316</t>
        </is>
      </c>
      <c r="M10" s="29" t="inlineStr">
        <is>
          <t>Source presence does not prove current deployment, trigger health, capacity or production invocation history.</t>
        </is>
      </c>
    </row>
    <row r="11" ht="42" customHeight="1">
      <c r="A11" s="29" t="inlineStr">
        <is>
          <t>CMP-010</t>
        </is>
      </c>
      <c r="B11" s="29" t="inlineStr">
        <is>
          <t>AWS Cognito identity</t>
        </is>
      </c>
      <c r="C11" s="29" t="inlineStr">
        <is>
          <t>External identity service</t>
        </is>
      </c>
      <c r="D11" s="29" t="inlineStr">
        <is>
          <t>AWS Cognito</t>
        </is>
      </c>
      <c r="E11" s="29" t="inlineStr">
        <is>
          <t>src/config/amplify.js; backend auth middleware</t>
        </is>
      </c>
      <c r="F11" s="29" t="inlineStr">
        <is>
          <t>Mobile Amplify auth; backend JWT middleware</t>
        </is>
      </c>
      <c r="G11" s="29" t="inlineStr">
        <is>
          <t>Identity tokens used by live, economy, admin and socket contracts.</t>
        </is>
      </c>
      <c r="H11" s="29" t="inlineStr">
        <is>
          <t>Cognito user pool and client configuration.</t>
        </is>
      </c>
      <c r="I11" s="29" t="inlineStr">
        <is>
          <t>eas.json; render.yaml</t>
        </is>
      </c>
      <c r="J11" s="29" t="inlineStr">
        <is>
          <t>Server-validated identity for Cognito-protected backend contracts.</t>
        </is>
      </c>
      <c r="K11" s="29" t="inlineStr">
        <is>
          <t>App.js:417-423; backend/blyp-live-service/src/auth; render.yaml:18-23</t>
        </is>
      </c>
      <c r="L11" s="29" t="inlineStr">
        <is>
          <t>8bc0dcb2a1da1b21368c5536aaeef829d587f316</t>
        </is>
      </c>
      <c r="M11" s="29" t="inlineStr">
        <is>
          <t>Firebase Auth also exists, creating an identity-authority reconciliation requirement.</t>
        </is>
      </c>
    </row>
    <row r="12" ht="42" customHeight="1">
      <c r="A12" s="29" t="inlineStr">
        <is>
          <t>CMP-011</t>
        </is>
      </c>
      <c r="B12" s="29" t="inlineStr">
        <is>
          <t>AWS IVS Realtime</t>
        </is>
      </c>
      <c r="C12" s="29" t="inlineStr">
        <is>
          <t>External live media service</t>
        </is>
      </c>
      <c r="D12" s="29" t="inlineStr">
        <is>
          <t>AWS IVS Realtime</t>
        </is>
      </c>
      <c r="E12" s="29" t="inlineStr">
        <is>
          <t>backend live services and mobile live clients</t>
        </is>
      </c>
      <c r="F12" s="29" t="inlineStr">
        <is>
          <t>Stage/session creation and participant tokens</t>
        </is>
      </c>
      <c r="G12" s="29" t="inlineStr">
        <is>
          <t>Realtime host, viewer and approved-guest media participation.</t>
        </is>
      </c>
      <c r="H12" s="29" t="inlineStr">
        <is>
          <t>AWS credentials, IVS region and backend token issuance.</t>
        </is>
      </c>
      <c r="I12" s="29" t="inlineStr">
        <is>
          <t>render.yaml:16-27</t>
        </is>
      </c>
      <c r="J12" s="29" t="inlineStr">
        <is>
          <t>Managed realtime media plane; BLYP backend controls session and token issuance.</t>
        </is>
      </c>
      <c r="K12" s="29" t="inlineStr">
        <is>
          <t>backend/blyp-live-service/src/routes/liveRoutes.ts:32-493; render.yaml:16-27</t>
        </is>
      </c>
      <c r="L12" s="29" t="inlineStr">
        <is>
          <t>8bc0dcb2a1da1b21368c5536aaeef829d587f316</t>
        </is>
      </c>
      <c r="M12" s="29" t="inlineStr">
        <is>
          <t>Source integration is not proof of active quotas, account state, production credentials or successful device sessions.</t>
        </is>
      </c>
    </row>
    <row r="13" ht="42" customHeight="1">
      <c r="A13" s="29" t="inlineStr">
        <is>
          <t>CMP-012</t>
        </is>
      </c>
      <c r="B13" s="29" t="inlineStr">
        <is>
          <t>Firestore and Cloud Storage</t>
        </is>
      </c>
      <c r="C13" s="29" t="inlineStr">
        <is>
          <t>Managed data and object storage</t>
        </is>
      </c>
      <c r="D13" s="29" t="inlineStr">
        <is>
          <t>Firebase</t>
        </is>
      </c>
      <c r="E13" s="29" t="inlineStr">
        <is>
          <t>src/config/firebase.js; Firebase rules; functions/src/index.ts</t>
        </is>
      </c>
      <c r="F13" s="29" t="inlineStr">
        <is>
          <t>Auth, Firestore collections, Storage object paths and triggers</t>
        </is>
      </c>
      <c r="G13" s="29" t="inlineStr">
        <is>
          <t>Social content, messaging and live metadata; media objects; serverless event sources.</t>
        </is>
      </c>
      <c r="H13" s="29" t="inlineStr">
        <is>
          <t>Firebase project configuration and security rules.</t>
        </is>
      </c>
      <c r="I13" s="29" t="inlineStr">
        <is>
          <t>firebase.json; firestore.rules; storage.rules</t>
        </is>
      </c>
      <c r="J13" s="29" t="inlineStr">
        <is>
          <t>Collection-specific; client and function code both read and write.</t>
        </is>
      </c>
      <c r="K13" s="29" t="inlineStr">
        <is>
          <t>src/config/firebase.js:34-297; functions/src/index.ts:67-165</t>
        </is>
      </c>
      <c r="L13" s="29" t="inlineStr">
        <is>
          <t>8bc0dcb2a1da1b21368c5536aaeef829d587f316</t>
        </is>
      </c>
      <c r="M13" s="29" t="inlineStr">
        <is>
          <t>Multiple SDK modes and stub operation can change behaviour by build configuration.</t>
        </is>
      </c>
    </row>
    <row r="14" ht="42" customHeight="1">
      <c r="A14" s="29" t="inlineStr">
        <is>
          <t>CMP-013</t>
        </is>
      </c>
      <c r="B14" s="29" t="inlineStr">
        <is>
          <t>EAS build and submission configuration</t>
        </is>
      </c>
      <c r="C14" s="29" t="inlineStr">
        <is>
          <t>Build and release pipeline</t>
        </is>
      </c>
      <c r="D14" s="29" t="inlineStr">
        <is>
          <t>Expo Application Services</t>
        </is>
      </c>
      <c r="E14" s="29" t="inlineStr">
        <is>
          <t>eas.json; app.config.js</t>
        </is>
      </c>
      <c r="F14" s="29" t="inlineStr">
        <is>
          <t>eas build / submit profiles</t>
        </is>
      </c>
      <c r="G14" s="29" t="inlineStr">
        <is>
          <t>Produces development APKs, preview APKs and production Android App Bundles; defines submission targets.</t>
        </is>
      </c>
      <c r="H14" s="29" t="inlineStr">
        <is>
          <t>Expo project, signing credentials and store service accounts.</t>
        </is>
      </c>
      <c r="I14" s="29" t="inlineStr">
        <is>
          <t>eas.json</t>
        </is>
      </c>
      <c r="J14" s="29" t="inlineStr">
        <is>
          <t>Build configuration only; store release authority remains with Google Play and Apple.</t>
        </is>
      </c>
      <c r="K14" s="29" t="inlineStr">
        <is>
          <t>eas.json:1-55; app.config.js:27-103</t>
        </is>
      </c>
      <c r="L14" s="29" t="inlineStr">
        <is>
          <t>8bc0dcb2a1da1b21368c5536aaeef829d587f316</t>
        </is>
      </c>
      <c r="M14" s="29" t="inlineStr">
        <is>
          <t>Google Play submission targets the internal track; iOS submission identifiers are placeholders.</t>
        </is>
      </c>
    </row>
    <row r="15" ht="42" customHeight="1">
      <c r="A15" s="29" t="inlineStr">
        <is>
          <t>CMP-014</t>
        </is>
      </c>
      <c r="B15" s="29" t="inlineStr">
        <is>
          <t>Monitoring integrations</t>
        </is>
      </c>
      <c r="C15" s="29" t="inlineStr">
        <is>
          <t>Client observability adapters</t>
        </is>
      </c>
      <c r="D15" s="29" t="inlineStr">
        <is>
          <t>Sentry; Firebase Crashlytics; Firebase Performance; Firebase Messaging</t>
        </is>
      </c>
      <c r="E15" s="29" t="inlineStr">
        <is>
          <t>App.js; src/monitoring/sentry</t>
        </is>
      </c>
      <c r="F15" s="29" t="inlineStr">
        <is>
          <t>Deferred bootstrap and native Firebase hooks</t>
        </is>
      </c>
      <c r="G15" s="29" t="inlineStr">
        <is>
          <t>Crash/performance initialization and foreground message observation.</t>
        </is>
      </c>
      <c r="H15" s="29" t="inlineStr">
        <is>
          <t>Native Firebase modules and Sentry configuration.</t>
        </is>
      </c>
      <c r="I15" s="29" t="inlineStr">
        <is>
          <t>app.config.js; build environment.</t>
        </is>
      </c>
      <c r="J15" s="29" t="inlineStr">
        <is>
          <t>Diagnostic telemetry only.</t>
        </is>
      </c>
      <c r="K15" s="29" t="inlineStr">
        <is>
          <t>App.js:58-67; App.js:275-315; App.js:417-440</t>
        </is>
      </c>
      <c r="L15" s="29" t="inlineStr">
        <is>
          <t>8bc0dcb2a1da1b21368c5536aaeef829d587f316</t>
        </is>
      </c>
      <c r="M15" s="29" t="inlineStr">
        <is>
          <t>Foreground messaging logs data; this alone is not a complete push-notification delivery and deep-link path.</t>
        </is>
      </c>
    </row>
    <row r="16" ht="42" customHeight="1">
      <c r="A16" s="29" t="inlineStr">
        <is>
          <t>CMP-015</t>
        </is>
      </c>
      <c r="B16" s="29" t="inlineStr">
        <is>
          <t>Admin API surface</t>
        </is>
      </c>
      <c r="C16" s="29" t="inlineStr">
        <is>
          <t>Backend route family</t>
        </is>
      </c>
      <c r="D16" s="29" t="inlineStr">
        <is>
          <t>Express</t>
        </is>
      </c>
      <c r="E16" s="29" t="inlineStr">
        <is>
          <t>backend/blyp-live-service/src/admin</t>
        </is>
      </c>
      <c r="F16" s="29" t="inlineStr">
        <is>
          <t>/admin/*</t>
        </is>
      </c>
      <c r="G16" s="29" t="inlineStr">
        <is>
          <t>Admin authentication, app-version policy, users, capabilities and operational actions exposed by server routes.</t>
        </is>
      </c>
      <c r="H16" s="29" t="inlineStr">
        <is>
          <t>Cognito directory, allowlists or roles, backend services and data stores.</t>
        </is>
      </c>
      <c r="I16" s="29" t="inlineStr">
        <is>
          <t>ADMIN_ALLOWLIST_SUBS and related env values.</t>
        </is>
      </c>
      <c r="J16" s="29" t="inlineStr">
        <is>
          <t>Server-side administrator operations for implemented routes.</t>
        </is>
      </c>
      <c r="K16" s="29" t="inlineStr">
        <is>
          <t>backend/blyp-live-service/src/index.ts:77-86; backend/blyp-live-service/src/admin/adminRoutes.ts</t>
        </is>
      </c>
      <c r="L16" s="29" t="inlineStr">
        <is>
          <t>8bc0dcb2a1da1b21368c5536aaeef829d587f316</t>
        </is>
      </c>
      <c r="M16" s="29" t="inlineStr">
        <is>
          <t>No maintainable source for a separate web operations centre was found under admin/; only generated output and dependencies were present.</t>
        </is>
      </c>
    </row>
    <row r="17" ht="42" customHeight="1">
      <c r="A17" s="29" t="inlineStr">
        <is>
          <t>CMP-016</t>
        </is>
      </c>
      <c r="B17" s="29" t="inlineStr">
        <is>
          <t>Firebase HLS mobile live service</t>
        </is>
      </c>
      <c r="C17" s="29" t="inlineStr">
        <is>
          <t>Client live-media service</t>
        </is>
      </c>
      <c r="D17" s="29" t="inlineStr">
        <is>
          <t>React Native / Expo with Firebase</t>
        </is>
      </c>
      <c r="E17" s="29" t="inlineStr">
        <is>
          <t>src/services/HLSLiveStreamService.js; src/screens/LiveStreamScreen.js</t>
        </is>
      </c>
      <c r="F17" s="29" t="inlineStr">
        <is>
          <t>LiveStreamScreen host and viewer controls</t>
        </is>
      </c>
      <c r="G17" s="29" t="inlineStr">
        <is>
          <t>Creates Firestore live-stream records, records and uploads media segments, exposes current live state, subscribes viewers and ends streams.</t>
        </is>
      </c>
      <c r="H17" s="29" t="inlineStr">
        <is>
          <t>Firebase Auth, Firestore, Cloud Storage, Expo Camera and local media segments.</t>
        </is>
      </c>
      <c r="I17" s="29" t="inlineStr">
        <is>
          <t>Firebase build mode; camera and microphone permissions.</t>
        </is>
      </c>
      <c r="J17" s="29" t="inlineStr">
        <is>
          <t>Currently wired mobile live path for Firestore metadata and segment objects; separate from the AWS IVS backend path.</t>
        </is>
      </c>
      <c r="K17" s="29" t="inlineStr">
        <is>
          <t>src/services/HLSLiveStreamService.js:141-337; 580-780; src/screens/LiveStreamScreen.js</t>
        </is>
      </c>
      <c r="L17" s="29" t="inlineStr">
        <is>
          <t>8bc0dcb2a1da1b21368c5536aaeef829d587f316</t>
        </is>
      </c>
      <c r="M17" s="29" t="inlineStr">
        <is>
          <t>Signed-device runs remain contradictory and later candidates retained a black camera preview. Deployment of the serverless HLS processor is not proven.</t>
        </is>
      </c>
    </row>
    <row r="18" ht="42" customHeight="1">
      <c r="A18" s="29" t="inlineStr">
        <is>
          <t>CMP-017</t>
        </is>
      </c>
      <c r="B18" s="29" t="inlineStr">
        <is>
          <t>Client Firestore coin and gift service</t>
        </is>
      </c>
      <c r="C18" s="29" t="inlineStr">
        <is>
          <t>Client economy service</t>
        </is>
      </c>
      <c r="D18" s="29" t="inlineStr">
        <is>
          <t>React Native / Firebase Web SDK compatibility layer</t>
        </is>
      </c>
      <c r="E18" s="29" t="inlineStr">
        <is>
          <t>src/services/BlypCoinService.js</t>
        </is>
      </c>
      <c r="F18" s="29" t="inlineStr">
        <is>
          <t>getUserBalance; subscribeToBalance; addCoins; spendCoins; sendGift; getTransactionHistory; claimDailyReward</t>
        </is>
      </c>
      <c r="G18" s="29" t="inlineStr">
        <is>
          <t>Reads and mutates Firestore wallets, writes transactions and gifts, distributes a 70% receiver share and grants daily rewards.</t>
        </is>
      </c>
      <c r="H18" s="29" t="inlineStr">
        <is>
          <t>Firebase Auth context, Firestore wallets, transactions, gifts and users collections.</t>
        </is>
      </c>
      <c r="I18" s="29" t="inlineStr">
        <is>
          <t>Firebase compatibility mode and Firestore security rules.</t>
        </is>
      </c>
      <c r="J18" s="29" t="inlineStr">
        <is>
          <t>Currently wired mobile economy mutation path.</t>
        </is>
      </c>
      <c r="K18" s="29" t="inlineStr">
        <is>
          <t>src/services/BlypCoinService.js:22-334</t>
        </is>
      </c>
      <c r="L18" s="29" t="inlineStr">
        <is>
          <t>8bc0dcb2a1da1b21368c5536aaeef829d587f316</t>
        </is>
      </c>
      <c r="M18" s="29" t="inlineStr">
        <is>
          <t>Client-originated mutations conflict with the separately implemented hosted PostgreSQL economy authority and are not production-safe evidence by themselves.</t>
        </is>
      </c>
    </row>
    <row r="19" ht="42" customHeight="1">
      <c r="A19" s="29" t="inlineStr">
        <is>
          <t>CMP-018</t>
        </is>
      </c>
      <c r="B19" s="29" t="inlineStr">
        <is>
          <t>Feed gift picker and animation system</t>
        </is>
      </c>
      <c r="C19" s="29" t="inlineStr">
        <is>
          <t>User-facing client component</t>
        </is>
      </c>
      <c r="D19" s="29" t="inlineStr">
        <is>
          <t>React Native</t>
        </is>
      </c>
      <c r="E19" s="29" t="inlineStr">
        <is>
          <t>src/components/GiftSystem.js; src/screens/HomeScreen.js</t>
        </is>
      </c>
      <c r="F19" s="29" t="inlineStr">
        <is>
          <t>Gift action mounted on feed items</t>
        </is>
      </c>
      <c r="G19" s="29" t="inlineStr">
        <is>
          <t>Displays balance and gift catalogue, prevents self-send, requests confirmation, calls BlypCoinService.sendGift and renders local animations.</t>
        </is>
      </c>
      <c r="H19" s="29" t="inlineStr">
        <is>
          <t>BlypCoinService; authenticated user and creator identifiers.</t>
        </is>
      </c>
      <c r="I19" s="29" t="inlineStr">
        <is>
          <t>Gift catalogue embedded in the client.</t>
        </is>
      </c>
      <c r="J19" s="29" t="inlineStr">
        <is>
          <t>Presentation and invocation only; transaction authority currently resolves to client Firestore code.</t>
        </is>
      </c>
      <c r="K19" s="29" t="inlineStr">
        <is>
          <t>src/components/GiftSystem.js:65-144; 482-555; src/screens/HomeScreen.js:767-819; 947-999</t>
        </is>
      </c>
      <c r="L19" s="29" t="inlineStr">
        <is>
          <t>8bc0dcb2a1da1b21368c5536aaeef829d587f316</t>
        </is>
      </c>
      <c r="M19" s="29" t="inlineStr">
        <is>
          <t>The visible gifting flow is real and reachable, but no current executed gift and balance-reconciliation evidence was available.</t>
        </is>
      </c>
    </row>
    <row r="20" ht="42" customHeight="1">
      <c r="A20" s="29" t="inlineStr">
        <is>
          <t>CMP-019</t>
        </is>
      </c>
      <c r="B20" s="29" t="inlineStr">
        <is>
          <t>Currency store screen</t>
        </is>
      </c>
      <c r="C20" s="29" t="inlineStr">
        <is>
          <t>User-facing client screen</t>
        </is>
      </c>
      <c r="D20" s="29" t="inlineStr">
        <is>
          <t>React Native</t>
        </is>
      </c>
      <c r="E20" s="29" t="inlineStr">
        <is>
          <t>src/screens/CoinStoreScreen.js</t>
        </is>
      </c>
      <c r="F20" s="29" t="inlineStr">
        <is>
          <t>Currency Store route and Buy Coins actions</t>
        </is>
      </c>
      <c r="G20" s="29" t="inlineStr">
        <is>
          <t>Displays coin and gem packages, balances and purchase confirmation UI.</t>
        </is>
      </c>
      <c r="H20" s="29" t="inlineStr">
        <is>
          <t>BlypCoinService; GemService; client alerts.</t>
        </is>
      </c>
      <c r="I20" s="29" t="inlineStr">
        <is>
          <t>Hard-coded package metadata.</t>
        </is>
      </c>
      <c r="J20" s="29" t="inlineStr">
        <is>
          <t>Presentation only; current purchase path directly grants client-side balance after simulated confirmation.</t>
        </is>
      </c>
      <c r="K20" s="29" t="inlineStr">
        <is>
          <t>src/screens/CoinStoreScreen.js:74-203; 299-427</t>
        </is>
      </c>
      <c r="L20" s="29" t="inlineStr">
        <is>
          <t>8bc0dcb2a1da1b21368c5536aaeef829d587f316</t>
        </is>
      </c>
      <c r="M20" s="29" t="inlineStr">
        <is>
          <t>Real app-store billing is explicitly simulated and the screen is not wired to hosted /iap/verify in the reviewed source.</t>
        </is>
      </c>
    </row>
    <row r="21" ht="42" customHeight="1">
      <c r="A21" s="29" t="inlineStr">
        <is>
          <t>CMP-020</t>
        </is>
      </c>
      <c r="B21" s="29" t="inlineStr">
        <is>
          <t>Coin wallet card and history modal</t>
        </is>
      </c>
      <c r="C21" s="29" t="inlineStr">
        <is>
          <t>User-facing client component</t>
        </is>
      </c>
      <c r="D21" s="29" t="inlineStr">
        <is>
          <t>React Native</t>
        </is>
      </c>
      <c r="E21" s="29" t="inlineStr">
        <is>
          <t>src/components/BlypCoinWallet.js</t>
        </is>
      </c>
      <c r="F21" s="29" t="inlineStr">
        <is>
          <t>Wallet card, history, daily reward and Buy Coins actions</t>
        </is>
      </c>
      <c r="G21" s="29" t="inlineStr">
        <is>
          <t>Subscribes to Firestore balance, loads transaction history, claims daily rewards and links to the coin store.</t>
        </is>
      </c>
      <c r="H21" s="29" t="inlineStr">
        <is>
          <t>BlypCoinService; Firestore users and transactions.</t>
        </is>
      </c>
      <c r="I21" s="29" t="inlineStr">
        <is>
          <t>Firebase compatibility mode.</t>
        </is>
      </c>
      <c r="J21" s="29" t="inlineStr">
        <is>
          <t>Presentation and current client Firestore read/write path.</t>
        </is>
      </c>
      <c r="K21" s="29" t="inlineStr">
        <is>
          <t>src/components/BlypCoinWallet.js:27-84; 163-240</t>
        </is>
      </c>
      <c r="L21" s="29" t="inlineStr">
        <is>
          <t>8bc0dcb2a1da1b21368c5536aaeef829d587f316</t>
        </is>
      </c>
      <c r="M21" s="29" t="inlineStr">
        <is>
          <t>The wallet is reachable but does not demonstrate convergence with the hosted PostgreSQL ledger.</t>
        </is>
      </c>
    </row>
  </sheetData>
  <autoFilter ref="A1:M21"/>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FF6B6B"/>
    <outlinePr summaryBelow="1" summaryRight="1"/>
    <pageSetUpPr fitToPage="1"/>
  </sheetPr>
  <dimension ref="A1:E18"/>
  <sheetViews>
    <sheetView showGridLines="0" zoomScale="85" workbookViewId="0">
      <selection activeCell="A1" sqref="A1"/>
    </sheetView>
  </sheetViews>
  <sheetFormatPr baseColWidth="8" defaultRowHeight="15"/>
  <cols>
    <col width="30" customWidth="1" min="1" max="1"/>
    <col width="56" customWidth="1" min="2" max="2"/>
    <col width="38" customWidth="1" min="3" max="3"/>
    <col width="54" customWidth="1" min="4" max="4"/>
    <col width="50" customWidth="1" min="5" max="5"/>
  </cols>
  <sheetData>
    <row r="1" ht="46" customHeight="1">
      <c r="A1" s="31" t="inlineStr">
        <is>
          <t>Production-readiness gates</t>
        </is>
      </c>
    </row>
    <row r="2" ht="42" customHeight="1">
      <c r="A2" s="32" t="inlineStr">
        <is>
          <t>A feature cannot be approved as Production ready until every applicable gate is Pass on the exact release candidate and an accountable approver is recorded.</t>
        </is>
      </c>
    </row>
    <row r="4">
      <c r="A4" s="15" t="inlineStr">
        <is>
          <t>Gate</t>
        </is>
      </c>
      <c r="B4" s="15" t="inlineStr">
        <is>
          <t>Minimum production question</t>
        </is>
      </c>
      <c r="C4" s="15" t="inlineStr">
        <is>
          <t>Allowed status</t>
        </is>
      </c>
      <c r="D4" s="15" t="inlineStr">
        <is>
          <t>Pass requires</t>
        </is>
      </c>
      <c r="E4" s="15" t="inlineStr">
        <is>
          <t>Failure consequence</t>
        </is>
      </c>
    </row>
    <row r="5" ht="58" customHeight="1">
      <c r="A5" s="29" t="inlineStr">
        <is>
          <t>Scope and acceptance</t>
        </is>
      </c>
      <c r="B5" s="29" t="inlineStr">
        <is>
          <t>Is the production behaviour and acceptance criterion explicitly approved?</t>
        </is>
      </c>
      <c r="C5" s="29" t="inlineStr">
        <is>
          <t>Pass / Fail / Not assessed / N/A / Unknown</t>
        </is>
      </c>
      <c r="D5" s="29" t="inlineStr">
        <is>
          <t>Approved scope and testable acceptance criteria.</t>
        </is>
      </c>
      <c r="E5" s="29" t="inlineStr">
        <is>
          <t>No accountable completeness decision.</t>
        </is>
      </c>
    </row>
    <row r="6" ht="58" customHeight="1">
      <c r="A6" s="29" t="inlineStr">
        <is>
          <t>Architecture and authority</t>
        </is>
      </c>
      <c r="B6" s="29" t="inlineStr">
        <is>
          <t>Is there one authoritative runtime and data path without conflicting implementations?</t>
        </is>
      </c>
      <c r="C6" s="29" t="inlineStr">
        <is>
          <t>Pass / Fail / Not assessed / N/A / Unknown</t>
        </is>
      </c>
      <c r="D6" s="29" t="inlineStr">
        <is>
          <t>Authoritative ownership and dependency boundaries are explicit.</t>
        </is>
      </c>
      <c r="E6" s="29" t="inlineStr">
        <is>
          <t>Conflicting writes, identity or service paths block release.</t>
        </is>
      </c>
    </row>
    <row r="7" ht="58" customHeight="1">
      <c r="A7" s="29" t="inlineStr">
        <is>
          <t>Functional behaviour</t>
        </is>
      </c>
      <c r="B7" s="29" t="inlineStr">
        <is>
          <t>Does the complete intended journey work, including failure and recovery paths?</t>
        </is>
      </c>
      <c r="C7" s="29" t="inlineStr">
        <is>
          <t>Pass / Fail / Not assessed / N/A / Unknown</t>
        </is>
      </c>
      <c r="D7" s="29" t="inlineStr">
        <is>
          <t>Happy path, failure path and recovery acceptance pass.</t>
        </is>
      </c>
      <c r="E7" s="29" t="inlineStr">
        <is>
          <t>Development or correction remains.</t>
        </is>
      </c>
    </row>
    <row r="8" ht="58" customHeight="1">
      <c r="A8" s="29" t="inlineStr">
        <is>
          <t>Identity and permissions</t>
        </is>
      </c>
      <c r="B8" s="29" t="inlineStr">
        <is>
          <t>Are authentication, authorization, tenancy and actor permissions enforced server-side where required?</t>
        </is>
      </c>
      <c r="C8" s="29" t="inlineStr">
        <is>
          <t>Pass / Fail / Not assessed / N/A / Unknown</t>
        </is>
      </c>
      <c r="D8" s="29" t="inlineStr">
        <is>
          <t>Negative authorization tests pass on the release candidate.</t>
        </is>
      </c>
      <c r="E8" s="29" t="inlineStr">
        <is>
          <t>Unauthorized action or data exposure risk.</t>
        </is>
      </c>
    </row>
    <row r="9" ht="58" customHeight="1">
      <c r="A9" s="29" t="inlineStr">
        <is>
          <t>Data integrity</t>
        </is>
      </c>
      <c r="B9" s="29" t="inlineStr">
        <is>
          <t>Are writes, idempotency, concurrency, migration, retention and reconciliation addressed?</t>
        </is>
      </c>
      <c r="C9" s="29" t="inlineStr">
        <is>
          <t>Pass / Fail / Not assessed / N/A / Unknown</t>
        </is>
      </c>
      <c r="D9" s="29" t="inlineStr">
        <is>
          <t>Invariants and recovery are tested against production-equivalent data paths.</t>
        </is>
      </c>
      <c r="E9" s="29" t="inlineStr">
        <is>
          <t>Loss, duplication, divergence or irreconcilable state risk.</t>
        </is>
      </c>
    </row>
    <row r="10" ht="58" customHeight="1">
      <c r="A10" s="29" t="inlineStr">
        <is>
          <t>Privacy and consent</t>
        </is>
      </c>
      <c r="B10" s="29" t="inlineStr">
        <is>
          <t>Are collection, visibility, consent, deletion and age requirements satisfied?</t>
        </is>
      </c>
      <c r="C10" s="29" t="inlineStr">
        <is>
          <t>Pass / Fail / Not assessed / N/A / Unknown</t>
        </is>
      </c>
      <c r="D10" s="29" t="inlineStr">
        <is>
          <t>Approved privacy flows and retention/deletion evidence.</t>
        </is>
      </c>
      <c r="E10" s="29" t="inlineStr">
        <is>
          <t>Privacy or consent blocker.</t>
        </is>
      </c>
    </row>
    <row r="11" ht="58" customHeight="1">
      <c r="A11" s="29" t="inlineStr">
        <is>
          <t>Safety and abuse</t>
        </is>
      </c>
      <c r="B11" s="29" t="inlineStr">
        <is>
          <t>Are moderation, reporting, rate limits, fraud and misuse controls present as applicable?</t>
        </is>
      </c>
      <c r="C11" s="29" t="inlineStr">
        <is>
          <t>Pass / Fail / Not assessed / N/A / Unknown</t>
        </is>
      </c>
      <c r="D11" s="29" t="inlineStr">
        <is>
          <t>Abuse scenarios and operator actions are verified.</t>
        </is>
      </c>
      <c r="E11" s="29" t="inlineStr">
        <is>
          <t>Unsafe or unmanageable public behaviour.</t>
        </is>
      </c>
    </row>
    <row r="12" ht="58" customHeight="1">
      <c r="A12" s="29" t="inlineStr">
        <is>
          <t>Commerce and entitlement</t>
        </is>
      </c>
      <c r="B12" s="29" t="inlineStr">
        <is>
          <t>Are price, purchase, entitlement, refund, payout and store authority correct as applicable?</t>
        </is>
      </c>
      <c r="C12" s="29" t="inlineStr">
        <is>
          <t>Pass / Fail / Not assessed / N/A / Unknown</t>
        </is>
      </c>
      <c r="D12" s="29" t="inlineStr">
        <is>
          <t>Provider-sandbox, replay, refund and reconciliation checks pass.</t>
        </is>
      </c>
      <c r="E12" s="29" t="inlineStr">
        <is>
          <t>Financial loss, consumer harm or entitlement inconsistency.</t>
        </is>
      </c>
    </row>
    <row r="13" ht="58" customHeight="1">
      <c r="A13" s="29" t="inlineStr">
        <is>
          <t>Security</t>
        </is>
      </c>
      <c r="B13" s="29" t="inlineStr">
        <is>
          <t>Are secrets, transport, storage, validation, dependencies and attack surfaces assessed?</t>
        </is>
      </c>
      <c r="C13" s="29" t="inlineStr">
        <is>
          <t>Pass / Fail / Not assessed / N/A / Unknown</t>
        </is>
      </c>
      <c r="D13" s="29" t="inlineStr">
        <is>
          <t>Security review and required remediation complete.</t>
        </is>
      </c>
      <c r="E13" s="29" t="inlineStr">
        <is>
          <t>Unaccepted exploit or credential risk.</t>
        </is>
      </c>
    </row>
    <row r="14" ht="58" customHeight="1">
      <c r="A14" s="29" t="inlineStr">
        <is>
          <t>Reliability and scale</t>
        </is>
      </c>
      <c r="B14" s="29" t="inlineStr">
        <is>
          <t>Are service limits, retries, degradation, load and dependency failure understood?</t>
        </is>
      </c>
      <c r="C14" s="29" t="inlineStr">
        <is>
          <t>Pass / Fail / Not assessed / N/A / Unknown</t>
        </is>
      </c>
      <c r="D14" s="29" t="inlineStr">
        <is>
          <t>Accepted load and resilience evidence.</t>
        </is>
      </c>
      <c r="E14" s="29" t="inlineStr">
        <is>
          <t>Unbounded failure or unsafe degradation.</t>
        </is>
      </c>
    </row>
    <row r="15" ht="58" customHeight="1">
      <c r="A15" s="29" t="inlineStr">
        <is>
          <t>Observability and operations</t>
        </is>
      </c>
      <c r="B15" s="29" t="inlineStr">
        <is>
          <t>Are metrics, logs, alerts, support ownership, rollback and stop controls approved?</t>
        </is>
      </c>
      <c r="C15" s="29" t="inlineStr">
        <is>
          <t>Pass / Fail / Not assessed / N/A / Unknown</t>
        </is>
      </c>
      <c r="D15" s="29" t="inlineStr">
        <is>
          <t>Named owners can detect, diagnose and safely stop or recover the feature.</t>
        </is>
      </c>
      <c r="E15" s="29" t="inlineStr">
        <is>
          <t>Production failure cannot be managed.</t>
        </is>
      </c>
    </row>
    <row r="16" ht="58" customHeight="1">
      <c r="A16" s="29" t="inlineStr">
        <is>
          <t>Accessibility and device coverage</t>
        </is>
      </c>
      <c r="B16" s="29" t="inlineStr">
        <is>
          <t>Does the final binary meet agreed accessibility and supported-device criteria?</t>
        </is>
      </c>
      <c r="C16" s="29" t="inlineStr">
        <is>
          <t>Pass / Fail / Not assessed / N/A / Unknown</t>
        </is>
      </c>
      <c r="D16" s="29" t="inlineStr">
        <is>
          <t>Accessibility and device matrix acceptance pass.</t>
        </is>
      </c>
      <c r="E16" s="29" t="inlineStr">
        <is>
          <t>Known unsupported or inaccessible user path.</t>
        </is>
      </c>
    </row>
    <row r="17" ht="58" customHeight="1">
      <c r="A17" s="29" t="inlineStr">
        <is>
          <t>Legal and policy</t>
        </is>
      </c>
      <c r="B17" s="29" t="inlineStr">
        <is>
          <t>Are applicable terms, notices, licences, store policy and jurisdictional decisions approved?</t>
        </is>
      </c>
      <c r="C17" s="29" t="inlineStr">
        <is>
          <t>Pass / Fail / Not assessed / N/A / Unknown</t>
        </is>
      </c>
      <c r="D17" s="29" t="inlineStr">
        <is>
          <t>Accountable legal/policy owners record approval.</t>
        </is>
      </c>
      <c r="E17" s="29" t="inlineStr">
        <is>
          <t>Release cannot be responsibly authorized.</t>
        </is>
      </c>
    </row>
    <row r="18" ht="58" customHeight="1">
      <c r="A18" s="29" t="inlineStr">
        <is>
          <t>Release-candidate verification</t>
        </is>
      </c>
      <c r="B18" s="29" t="inlineStr">
        <is>
          <t>Has the exact final build and production configuration passed acceptance?</t>
        </is>
      </c>
      <c r="C18" s="29" t="inlineStr">
        <is>
          <t>Pass / Fail / Not assessed / N/A / Unknown</t>
        </is>
      </c>
      <c r="D18" s="29" t="inlineStr">
        <is>
          <t>Build ID, environment, evidence and approver all match the release candidate.</t>
        </is>
      </c>
      <c r="E18" s="29" t="inlineStr">
        <is>
          <t>Evidence cannot be transferred to the shipping build.</t>
        </is>
      </c>
    </row>
  </sheetData>
  <mergeCells count="2">
    <mergeCell ref="A2:E2"/>
    <mergeCell ref="A1:E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6E7B7C"/>
    <outlinePr summaryBelow="1" summaryRight="1"/>
    <pageSetUpPr fitToPage="1"/>
  </sheetPr>
  <dimension ref="A1:F12"/>
  <sheetViews>
    <sheetView showGridLines="0" zoomScale="85" workbookViewId="0">
      <pane ySplit="1" topLeftCell="A2" activePane="bottomLeft" state="frozen"/>
      <selection pane="bottomLeft" activeCell="A1" sqref="A1"/>
    </sheetView>
  </sheetViews>
  <sheetFormatPr baseColWidth="8" defaultRowHeight="15"/>
  <cols>
    <col width="16" customWidth="1" min="1" max="1"/>
    <col width="36" customWidth="1" min="2" max="2"/>
    <col width="58" customWidth="1" min="3" max="3"/>
    <col width="46" customWidth="1" min="4" max="4"/>
    <col width="42" customWidth="1" min="5" max="5"/>
    <col width="72" customWidth="1" min="6" max="6"/>
  </cols>
  <sheetData>
    <row r="1" ht="34" customHeight="1">
      <c r="A1" s="15" t="inlineStr">
        <is>
          <t>Source ID</t>
        </is>
      </c>
      <c r="B1" s="15" t="inlineStr">
        <is>
          <t>Source or system</t>
        </is>
      </c>
      <c r="C1" s="15" t="inlineStr">
        <is>
          <t>Physical location</t>
        </is>
      </c>
      <c r="D1" s="15" t="inlineStr">
        <is>
          <t>Revision / date</t>
        </is>
      </c>
      <c r="E1" s="15" t="inlineStr">
        <is>
          <t>Evidence role</t>
        </is>
      </c>
      <c r="F1" s="15" t="inlineStr">
        <is>
          <t>Qualification / limitation</t>
        </is>
      </c>
    </row>
    <row r="2" ht="42" customHeight="1">
      <c r="A2" s="29" t="inlineStr">
        <is>
          <t>SRC-001</t>
        </is>
      </c>
      <c r="B2" s="29" t="inlineStr">
        <is>
          <t>BLYP product requirements</t>
        </is>
      </c>
      <c r="C2" s="29" t="inlineStr">
        <is>
          <t>/home/ubuntu/blyp_product_requirements.md</t>
        </is>
      </c>
      <c r="D2" s="29" t="inlineStr">
        <is>
          <t>Reviewed 2026-08-02</t>
        </is>
      </c>
      <c r="E2" s="29" t="inlineStr">
        <is>
          <t>Authoritative intended-feature definition</t>
        </is>
      </c>
      <c r="F2" s="29" t="inlineStr">
        <is>
          <t>Defines intended scope but does not prove implementation or approval.</t>
        </is>
      </c>
    </row>
    <row r="3" ht="42" customHeight="1">
      <c r="A3" s="29" t="inlineStr">
        <is>
          <t>SRC-002</t>
        </is>
      </c>
      <c r="B3" s="29" t="inlineStr">
        <is>
          <t>Normalized complete feature inventory</t>
        </is>
      </c>
      <c r="C3" s="29" t="inlineStr">
        <is>
          <t>/home/ubuntu/BLYP_COMPLETE_FEATURE_LIST.md</t>
        </is>
      </c>
      <c r="D3" s="29" t="inlineStr">
        <is>
          <t>633 rows / 30 areas</t>
        </is>
      </c>
      <c r="E3" s="29" t="inlineStr">
        <is>
          <t>Normalization source</t>
        </is>
      </c>
      <c r="F3" s="29" t="inlineStr">
        <is>
          <t>Preserves requirement wording and hierarchy.</t>
        </is>
      </c>
    </row>
    <row r="4" ht="42" customHeight="1">
      <c r="A4" s="29" t="inlineStr">
        <is>
          <t>SRC-003</t>
        </is>
      </c>
      <c r="B4" s="29" t="inlineStr">
        <is>
          <t>BLYP repository</t>
        </is>
      </c>
      <c r="C4" s="29" t="inlineStr">
        <is>
          <t>C:/Users/Alex/Blyp26</t>
        </is>
      </c>
      <c r="D4" s="29" t="inlineStr">
        <is>
          <t>8bc0dcb2a1da1b21368c5536aaeef829d587f316</t>
        </is>
      </c>
      <c r="E4" s="29" t="inlineStr">
        <is>
          <t>Primary implementation source</t>
        </is>
      </c>
      <c r="F4" s="29" t="inlineStr">
        <is>
          <t>Branch release/render-update-gate-2026304682-v2. A pre-existing working-tree change existed in economy infra.ts.</t>
        </is>
      </c>
    </row>
    <row r="5" ht="42" customHeight="1">
      <c r="A5" s="29" t="inlineStr">
        <is>
          <t>SRC-004</t>
        </is>
      </c>
      <c r="B5" s="29" t="inlineStr">
        <is>
          <t>Clean reviewed source snapshot</t>
        </is>
      </c>
      <c r="C5" s="29" t="inlineStr">
        <is>
          <t>/home/ubuntu/blyp-workbook/source-snapshot</t>
        </is>
      </c>
      <c r="D5" s="29" t="inlineStr">
        <is>
          <t>8bc0dcb2a1da1b21368c5536aaeef829d587f316</t>
        </is>
      </c>
      <c r="E5" s="29" t="inlineStr">
        <is>
          <t>Reproducible analysis source</t>
        </is>
      </c>
      <c r="F5" s="29" t="inlineStr">
        <is>
          <t>Generated from Git archive; excludes uncommitted working-tree content.</t>
        </is>
      </c>
    </row>
    <row r="6" ht="42" customHeight="1">
      <c r="A6" s="29" t="inlineStr">
        <is>
          <t>SRC-005</t>
        </is>
      </c>
      <c r="B6" s="29" t="inlineStr">
        <is>
          <t>Mobile app manifest and bootstrap</t>
        </is>
      </c>
      <c r="C6" s="29" t="inlineStr">
        <is>
          <t>package.json; App.js; app.config.js; eas.json</t>
        </is>
      </c>
      <c r="D6" s="29" t="inlineStr">
        <is>
          <t>8bc0dcb2a1da1b21368c5536aaeef829d587f316</t>
        </is>
      </c>
      <c r="E6" s="29" t="inlineStr">
        <is>
          <t>Mobile runtime, navigation, permissions and build profiles</t>
        </is>
      </c>
      <c r="F6" s="29" t="inlineStr">
        <is>
          <t>Build configuration does not prove store submission or production operation.</t>
        </is>
      </c>
    </row>
    <row r="7" ht="42" customHeight="1">
      <c r="A7" s="29" t="inlineStr">
        <is>
          <t>SRC-006</t>
        </is>
      </c>
      <c r="B7" s="29" t="inlineStr">
        <is>
          <t>BLYP live service</t>
        </is>
      </c>
      <c r="C7" s="29" t="inlineStr">
        <is>
          <t>backend/blyp-live-service</t>
        </is>
      </c>
      <c r="D7" s="29" t="inlineStr">
        <is>
          <t>8bc0dcb2a1da1b21368c5536aaeef829d587f316</t>
        </is>
      </c>
      <c r="E7" s="29" t="inlineStr">
        <is>
          <t>Primary hosted backend</t>
        </is>
      </c>
      <c r="F7" s="29" t="inlineStr">
        <is>
          <t>Independent TypeScript check passed; current deployment and production traffic were not directly observed.</t>
        </is>
      </c>
    </row>
    <row r="8" ht="42" customHeight="1">
      <c r="A8" s="29" t="inlineStr">
        <is>
          <t>SRC-007</t>
        </is>
      </c>
      <c r="B8" s="29" t="inlineStr">
        <is>
          <t>Firebase Functions</t>
        </is>
      </c>
      <c r="C8" s="29" t="inlineStr">
        <is>
          <t>functions</t>
        </is>
      </c>
      <c r="D8" s="29" t="inlineStr">
        <is>
          <t>8bc0dcb2a1da1b21368c5536aaeef829d587f316</t>
        </is>
      </c>
      <c r="E8" s="29" t="inlineStr">
        <is>
          <t>Serverless media and operations processing</t>
        </is>
      </c>
      <c r="F8" s="29" t="inlineStr">
        <is>
          <t>Independent TypeScript check passed; deployment and trigger invocation were not directly observed.</t>
        </is>
      </c>
    </row>
    <row r="9" ht="42" customHeight="1">
      <c r="A9" s="29" t="inlineStr">
        <is>
          <t>SRC-008</t>
        </is>
      </c>
      <c r="B9" s="29" t="inlineStr">
        <is>
          <t>Signed Fold7 device evidence</t>
        </is>
      </c>
      <c r="C9" s="29" t="inlineStr">
        <is>
          <t>diagnostics/device_testing/FOLD7_SIGNED_RELEASE_20260731</t>
        </is>
      </c>
      <c r="D9" s="29" t="inlineStr">
        <is>
          <t>Build and runs dated 2026-07-31</t>
        </is>
      </c>
      <c r="E9" s="29" t="inlineStr">
        <is>
          <t>Historical physical-device observation</t>
        </is>
      </c>
      <c r="F9" s="29" t="inlineStr">
        <is>
          <t>Contains contradictory live-camera outcomes; preserved rather than selectively summarized.</t>
        </is>
      </c>
    </row>
    <row r="10" ht="42" customHeight="1">
      <c r="A10" s="29" t="inlineStr">
        <is>
          <t>SRC-009</t>
        </is>
      </c>
      <c r="B10" s="29" t="inlineStr">
        <is>
          <t>Economy diagnostic artefacts</t>
        </is>
      </c>
      <c r="C10" s="29" t="inlineStr">
        <is>
          <t>diagnostics/gift_engine; wallet_ledger; creator_earnings; live_monetisation; commerce_batch1</t>
        </is>
      </c>
      <c r="D10" s="29" t="inlineStr">
        <is>
          <t>2026-02-23 to 2026-03-24</t>
        </is>
      </c>
      <c r="E10" s="29" t="inlineStr">
        <is>
          <t>Historical implementation and verification leads</t>
        </is>
      </c>
      <c r="F10" s="29" t="inlineStr">
        <is>
          <t>Mostly installation or source-chain evidence; no current executed gift, store, entitlement or reconciliation proof.</t>
        </is>
      </c>
    </row>
    <row r="11" ht="42" customHeight="1">
      <c r="A11" s="29" t="inlineStr">
        <is>
          <t>SRC-010</t>
        </is>
      </c>
      <c r="B11" s="29" t="inlineStr">
        <is>
          <t>Current verification execution</t>
        </is>
      </c>
      <c r="C11" s="29" t="inlineStr">
        <is>
          <t>/home/ubuntu/blyp-workbook/runtime_verification.md</t>
        </is>
      </c>
      <c r="D11" s="29" t="inlineStr">
        <is>
          <t>Executed 2026-08-02</t>
        </is>
      </c>
      <c r="E11" s="29" t="inlineStr">
        <is>
          <t>Current test and static-build evidence</t>
        </is>
      </c>
      <c r="F11" s="29" t="inlineStr">
        <is>
          <t>Root Jest and TypeScript checks fail at infrastructure/configuration boundaries; backend and Functions TypeScript checks pass independently.</t>
        </is>
      </c>
    </row>
    <row r="12" ht="42" customHeight="1">
      <c r="A12" s="29" t="inlineStr">
        <is>
          <t>SRC-011</t>
        </is>
      </c>
      <c r="B12" s="29" t="inlineStr">
        <is>
          <t>Prior audit materials</t>
        </is>
      </c>
      <c r="C12" s="29" t="inlineStr">
        <is>
          <t>/home/ubuntu/blyp_audit_deliverables; /home/ubuntu/BLYP_PRODUCT_AND_PRODUCTION_STATUS.md</t>
        </is>
      </c>
      <c r="D12" s="29" t="inlineStr">
        <is>
          <t>Historical</t>
        </is>
      </c>
      <c r="E12" s="29" t="inlineStr">
        <is>
          <t>Evidence leads and prior conclusions</t>
        </is>
      </c>
      <c r="F12" s="29" t="inlineStr">
        <is>
          <t>Never treated as independent proof of feature behaviour or production readiness.</t>
        </is>
      </c>
    </row>
  </sheetData>
  <autoFilter ref="A1:F12"/>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68D391"/>
    <outlinePr summaryBelow="1" summaryRight="1"/>
    <pageSetUpPr fitToPage="1"/>
  </sheetPr>
  <dimension ref="A1:H6"/>
  <sheetViews>
    <sheetView showGridLines="0" zoomScale="85"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8" customWidth="1" min="3" max="3"/>
    <col width="58" customWidth="1" min="4" max="4"/>
    <col width="64" customWidth="1" min="5" max="5"/>
    <col width="22" customWidth="1" min="6" max="6"/>
    <col width="22" customWidth="1" min="7" max="7"/>
    <col width="34" customWidth="1" min="8" max="8"/>
  </cols>
  <sheetData>
    <row r="1" ht="34" customHeight="1">
      <c r="A1" s="15" t="inlineStr">
        <is>
          <t>Change ID</t>
        </is>
      </c>
      <c r="B1" s="15" t="inlineStr">
        <is>
          <t>Date</t>
        </is>
      </c>
      <c r="C1" s="15" t="inlineStr">
        <is>
          <t>Feature IDs / scope</t>
        </is>
      </c>
      <c r="D1" s="15" t="inlineStr">
        <is>
          <t>Decision or change</t>
        </is>
      </c>
      <c r="E1" s="15" t="inlineStr">
        <is>
          <t>Evidence / rationale</t>
        </is>
      </c>
      <c r="F1" s="15" t="inlineStr">
        <is>
          <t>Owner</t>
        </is>
      </c>
      <c r="G1" s="15" t="inlineStr">
        <is>
          <t>Approved by</t>
        </is>
      </c>
      <c r="H1" s="15" t="inlineStr">
        <is>
          <t>Next review</t>
        </is>
      </c>
    </row>
    <row r="2" ht="42" customHeight="1">
      <c r="A2" s="29" t="inlineStr">
        <is>
          <t>DEC-001</t>
        </is>
      </c>
      <c r="B2" s="29" t="inlineStr">
        <is>
          <t>2026-08-02</t>
        </is>
      </c>
      <c r="C2" s="29" t="inlineStr">
        <is>
          <t>All 633 records</t>
        </is>
      </c>
      <c r="D2" s="29" t="inlineStr">
        <is>
          <t>Implementation, reachability, completeness, verification and production conclusion remain separate dimensions.</t>
        </is>
      </c>
      <c r="E2" s="29" t="inlineStr">
        <is>
          <t>Evidence contract established for the workbook.</t>
        </is>
      </c>
      <c r="F2" s="29" t="inlineStr">
        <is>
          <t>Manus AI</t>
        </is>
      </c>
      <c r="G2" s="29" t="inlineStr"/>
      <c r="H2" s="29" t="inlineStr">
        <is>
          <t>Accountable product review</t>
        </is>
      </c>
    </row>
    <row r="3" ht="42" customHeight="1">
      <c r="A3" s="29" t="inlineStr">
        <is>
          <t>DEC-002</t>
        </is>
      </c>
      <c r="B3" s="29" t="inlineStr">
        <is>
          <t>2026-08-02</t>
        </is>
      </c>
      <c r="C3" s="29" t="inlineStr">
        <is>
          <t>All 633 records</t>
        </is>
      </c>
      <c r="D3" s="29" t="inlineStr">
        <is>
          <t>No record is marked Production ready without complete gates, exact release-candidate evidence and accountable approval.</t>
        </is>
      </c>
      <c r="E3" s="29" t="inlineStr">
        <is>
          <t>No approvals were supplied during the source review.</t>
        </is>
      </c>
      <c r="F3" s="29" t="inlineStr">
        <is>
          <t>Manus AI</t>
        </is>
      </c>
      <c r="G3" s="29" t="inlineStr"/>
      <c r="H3" s="29" t="inlineStr">
        <is>
          <t>Production review board</t>
        </is>
      </c>
    </row>
    <row r="4" ht="42" customHeight="1">
      <c r="A4" s="29" t="inlineStr">
        <is>
          <t>DEC-003</t>
        </is>
      </c>
      <c r="B4" s="29" t="inlineStr">
        <is>
          <t>2026-08-02</t>
        </is>
      </c>
      <c r="C4" s="29" t="inlineStr">
        <is>
          <t>BLYP-07-*</t>
        </is>
      </c>
      <c r="D4" s="29" t="inlineStr">
        <is>
          <t>Live streaming is recorded as implemented and user-reachable, but production-blocked.</t>
        </is>
      </c>
      <c r="E4" s="29" t="inlineStr">
        <is>
          <t>Firebase HLS source path plus contradictory signed-device evidence and a separate AWS IVS backend path.</t>
        </is>
      </c>
      <c r="F4" s="29" t="inlineStr">
        <is>
          <t>Manus AI</t>
        </is>
      </c>
      <c r="G4" s="29" t="inlineStr"/>
      <c r="H4" s="29" t="inlineStr">
        <is>
          <t>After authoritative live architecture decision</t>
        </is>
      </c>
    </row>
    <row r="5" ht="42" customHeight="1">
      <c r="A5" s="29" t="inlineStr">
        <is>
          <t>DEC-004</t>
        </is>
      </c>
      <c r="B5" s="29" t="inlineStr">
        <is>
          <t>2026-08-02</t>
        </is>
      </c>
      <c r="C5" s="29" t="inlineStr">
        <is>
          <t>BLYP-14-*</t>
        </is>
      </c>
      <c r="D5" s="29" t="inlineStr">
        <is>
          <t>Wallet and gifting are recorded as implemented, but production-blocked by conflicting economy authorities.</t>
        </is>
      </c>
      <c r="E5" s="29" t="inlineStr">
        <is>
          <t>Visible client Firestore path and separate hosted PostgreSQL authority both exist; no current reconciliation proof.</t>
        </is>
      </c>
      <c r="F5" s="29" t="inlineStr">
        <is>
          <t>Manus AI</t>
        </is>
      </c>
      <c r="G5" s="29" t="inlineStr"/>
      <c r="H5" s="29" t="inlineStr">
        <is>
          <t>After hosted-only economy cutover verification</t>
        </is>
      </c>
    </row>
    <row r="6" ht="42" customHeight="1">
      <c r="A6" s="29" t="inlineStr">
        <is>
          <t>DEC-005</t>
        </is>
      </c>
      <c r="B6" s="29" t="inlineStr">
        <is>
          <t>2026-08-02</t>
        </is>
      </c>
      <c r="C6" s="29" t="inlineStr">
        <is>
          <t>Unmapped claims</t>
        </is>
      </c>
      <c r="D6" s="29" t="inlineStr">
        <is>
          <t>Any positive area-level label without an exact feature-level physical mapping is recorded as Unknown.</t>
        </is>
      </c>
      <c r="E6" s="29" t="inlineStr">
        <is>
          <t>Prevents broad audit labels from becoming unsupported feature-level facts.</t>
        </is>
      </c>
      <c r="F6" s="29" t="inlineStr">
        <is>
          <t>Manus AI</t>
        </is>
      </c>
      <c r="G6" s="29" t="inlineStr"/>
      <c r="H6" s="29" t="inlineStr">
        <is>
          <t>When exact evidence is added</t>
        </is>
      </c>
    </row>
  </sheetData>
  <autoFilter ref="A1:H6"/>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6E7B7C"/>
    <outlinePr summaryBelow="1" summaryRight="1"/>
    <pageSetUpPr fitToPage="1"/>
  </sheetPr>
  <dimension ref="A1:H11"/>
  <sheetViews>
    <sheetView showGridLines="0" zoomScale="85" workbookViewId="0">
      <selection activeCell="A1" sqref="A1"/>
    </sheetView>
  </sheetViews>
  <sheetFormatPr baseColWidth="8" defaultRowHeight="15"/>
  <cols>
    <col width="22" customWidth="1" min="1" max="1"/>
    <col width="24" customWidth="1" min="2" max="2"/>
    <col width="22" customWidth="1" min="3" max="3"/>
    <col width="27" customWidth="1" min="4" max="4"/>
    <col width="22" customWidth="1" min="5" max="5"/>
    <col width="25" customWidth="1" min="6" max="6"/>
    <col width="22" customWidth="1" min="7" max="7"/>
    <col width="23" customWidth="1" min="8" max="8"/>
  </cols>
  <sheetData>
    <row r="1">
      <c r="A1" s="15" t="inlineStr">
        <is>
          <t>Intended Scope</t>
        </is>
      </c>
      <c r="B1" s="15" t="inlineStr">
        <is>
          <t>Implementation State</t>
        </is>
      </c>
      <c r="C1" s="15" t="inlineStr">
        <is>
          <t>Reachability</t>
        </is>
      </c>
      <c r="D1" s="15" t="inlineStr">
        <is>
          <t>Functional Completeness</t>
        </is>
      </c>
      <c r="E1" s="15" t="inlineStr">
        <is>
          <t>Verification State</t>
        </is>
      </c>
      <c r="F1" s="15" t="inlineStr">
        <is>
          <t>Production Conclusion</t>
        </is>
      </c>
      <c r="G1" s="15" t="inlineStr">
        <is>
          <t>Gate Status</t>
        </is>
      </c>
      <c r="H1" s="15" t="inlineStr">
        <is>
          <t>Evidence Confidence</t>
        </is>
      </c>
    </row>
    <row r="2">
      <c r="A2" s="17" t="inlineStr">
        <is>
          <t>Required</t>
        </is>
      </c>
      <c r="B2" s="17" t="inlineStr">
        <is>
          <t>Not found</t>
        </is>
      </c>
      <c r="C2" s="17" t="inlineStr">
        <is>
          <t>Not wired</t>
        </is>
      </c>
      <c r="D2" s="17" t="inlineStr">
        <is>
          <t>Not started</t>
        </is>
      </c>
      <c r="E2" s="17" t="inlineStr">
        <is>
          <t>Not verified</t>
        </is>
      </c>
      <c r="F2" s="17" t="inlineStr">
        <is>
          <t>Not assessed</t>
        </is>
      </c>
      <c r="G2" s="17" t="inlineStr">
        <is>
          <t>Pass</t>
        </is>
      </c>
      <c r="H2" s="17" t="inlineStr">
        <is>
          <t>High</t>
        </is>
      </c>
    </row>
    <row r="3">
      <c r="A3" s="17" t="inlineStr">
        <is>
          <t>Optional</t>
        </is>
      </c>
      <c r="B3" s="17" t="inlineStr">
        <is>
          <t>Scaffold only</t>
        </is>
      </c>
      <c r="C3" s="17" t="inlineStr">
        <is>
          <t>Hidden or flag-gated</t>
        </is>
      </c>
      <c r="D3" s="17" t="inlineStr">
        <is>
          <t>Incomplete</t>
        </is>
      </c>
      <c r="E3" s="17" t="inlineStr">
        <is>
          <t>Source traced</t>
        </is>
      </c>
      <c r="F3" s="17" t="inlineStr">
        <is>
          <t>Blocked</t>
        </is>
      </c>
      <c r="G3" s="17" t="inlineStr">
        <is>
          <t>Fail</t>
        </is>
      </c>
      <c r="H3" s="17" t="inlineStr">
        <is>
          <t>Medium</t>
        </is>
      </c>
    </row>
    <row r="4">
      <c r="A4" s="17" t="inlineStr">
        <is>
          <t>Deferred</t>
        </is>
      </c>
      <c r="B4" s="17" t="inlineStr">
        <is>
          <t>UI only</t>
        </is>
      </c>
      <c r="C4" s="17" t="inlineStr">
        <is>
          <t>Developer only</t>
        </is>
      </c>
      <c r="D4" s="17" t="inlineStr">
        <is>
          <t>Complete against stated requirement</t>
        </is>
      </c>
      <c r="E4" s="17" t="inlineStr">
        <is>
          <t>Build verified</t>
        </is>
      </c>
      <c r="F4" s="17" t="inlineStr">
        <is>
          <t>Development required</t>
        </is>
      </c>
      <c r="G4" s="17" t="inlineStr">
        <is>
          <t>Not assessed</t>
        </is>
      </c>
      <c r="H4" s="17" t="inlineStr">
        <is>
          <t>Low</t>
        </is>
      </c>
    </row>
    <row r="5">
      <c r="A5" s="17" t="inlineStr">
        <is>
          <t>Out of scope</t>
        </is>
      </c>
      <c r="B5" s="17" t="inlineStr">
        <is>
          <t>Backend only</t>
        </is>
      </c>
      <c r="C5" s="17" t="inlineStr">
        <is>
          <t>Internally reachable</t>
        </is>
      </c>
      <c r="D5" s="17" t="inlineStr">
        <is>
          <t>Not assessable</t>
        </is>
      </c>
      <c r="E5" s="17" t="inlineStr">
        <is>
          <t>Automated test passed</t>
        </is>
      </c>
      <c r="F5" s="17" t="inlineStr">
        <is>
          <t>Ready for production validation</t>
        </is>
      </c>
      <c r="G5" s="17" t="inlineStr">
        <is>
          <t>Not applicable</t>
        </is>
      </c>
      <c r="H5" s="17" t="inlineStr">
        <is>
          <t>Unrated</t>
        </is>
      </c>
    </row>
    <row r="6">
      <c r="A6" s="17" t="inlineStr">
        <is>
          <t>Unknown</t>
        </is>
      </c>
      <c r="B6" s="17" t="inlineStr">
        <is>
          <t>Partial</t>
        </is>
      </c>
      <c r="C6" s="17" t="inlineStr">
        <is>
          <t>User reachable</t>
        </is>
      </c>
      <c r="D6" s="17" t="inlineStr">
        <is>
          <t>Unknown</t>
        </is>
      </c>
      <c r="E6" s="17" t="inlineStr">
        <is>
          <t>Emulator observed</t>
        </is>
      </c>
      <c r="F6" s="17" t="inlineStr">
        <is>
          <t>Production ready</t>
        </is>
      </c>
      <c r="G6" s="17" t="inlineStr">
        <is>
          <t>Unknown</t>
        </is>
      </c>
    </row>
    <row r="7">
      <c r="B7" s="17" t="inlineStr">
        <is>
          <t>End-to-end present</t>
        </is>
      </c>
      <c r="C7" s="17" t="inlineStr">
        <is>
          <t>Operator reachable</t>
        </is>
      </c>
      <c r="E7" s="17" t="inlineStr">
        <is>
          <t>Physical device observed</t>
        </is>
      </c>
      <c r="F7" s="17" t="inlineStr">
        <is>
          <t>Not applicable</t>
        </is>
      </c>
    </row>
    <row r="8">
      <c r="B8" s="17" t="inlineStr">
        <is>
          <t>Conflicting implementations</t>
        </is>
      </c>
      <c r="C8" s="17" t="inlineStr">
        <is>
          <t>Unknown</t>
        </is>
      </c>
      <c r="E8" s="17" t="inlineStr">
        <is>
          <t>Service observed</t>
        </is>
      </c>
      <c r="F8" s="17" t="inlineStr">
        <is>
          <t>Unknown</t>
        </is>
      </c>
    </row>
    <row r="9">
      <c r="B9" s="17" t="inlineStr">
        <is>
          <t>Unknown</t>
        </is>
      </c>
      <c r="E9" s="17" t="inlineStr">
        <is>
          <t>Release-candidate acceptance passed</t>
        </is>
      </c>
    </row>
    <row r="10">
      <c r="E10" s="17" t="inlineStr">
        <is>
          <t>Conflicting evidence</t>
        </is>
      </c>
    </row>
    <row r="11">
      <c r="E11" s="17" t="inlineStr">
        <is>
          <t>Unknown</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 AI</dc:creator>
  <dc:title xmlns:dc="http://purl.org/dc/elements/1.1/">BLYP Authoritative Product Workbook</dc:title>
  <dc:description xmlns:dc="http://purl.org/dc/elements/1.1/">633 BLYP feature records mapped to source, runtime paths, verification evidence and production gates.</dc:description>
  <dc:subject xmlns:dc="http://purl.org/dc/elements/1.1/">Evidence-backed feature implementation and production-readiness register</dc:subject>
  <dcterms:created xmlns:dcterms="http://purl.org/dc/terms/" xmlns:xsi="http://www.w3.org/2001/XMLSchema-instance" xsi:type="dcterms:W3CDTF">2026-08-02T04:33:11Z</dcterms:created>
  <dcterms:modified xmlns:dcterms="http://purl.org/dc/terms/" xmlns:xsi="http://www.w3.org/2001/XMLSchema-instance" xsi:type="dcterms:W3CDTF">2026-08-02T04:33:16Z</dcterms:modified>
  <cp:keywords>BLYP, product register, evidence, production readiness, feature inventory</cp:keywords>
</cp:coreProperties>
</file>